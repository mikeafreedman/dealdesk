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Sale Analysis" sheetId="4" state="visible" r:id="rId6"/>
    <sheet name="Cash Waterfall" sheetId="5" state="visible" r:id="rId7"/>
    <sheet name="Returns Summary" sheetId="6" state="visible" r:id="rId8"/>
    <sheet name="Sensitivity" sheetId="7" state="visible" r:id="rId9"/>
  </sheets>
  <definedNames>
    <definedName function="false" hidden="false" localSheetId="1" name="_xlnm.Print_Area" vbProcedure="false">Assumptions!$A$1:$H$205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<sst xmlns="http://schemas.openxmlformats.org/spreadsheetml/2006/main" count="570" uniqueCount="350">
  <si>
    <t xml:space="preserve">DEALDESK CRE UNDERWRITING</t>
  </si>
  <si>
    <t xml:space="preserve">Investment Underwriting Model</t>
  </si>
  <si>
    <t xml:space="preserve">Property Type:</t>
  </si>
  <si>
    <t xml:space="preserve">Project Type:</t>
  </si>
  <si>
    <t xml:space="preserve">Units:</t>
  </si>
  <si>
    <t xml:space="preserve">Building SF:</t>
  </si>
  <si>
    <t xml:space="preserve">KEY METRICS</t>
  </si>
  <si>
    <t xml:space="preserve">Purchase Price</t>
  </si>
  <si>
    <t xml:space="preserve">Price Per Unit</t>
  </si>
  <si>
    <t xml:space="preserve">Total Project Cost</t>
  </si>
  <si>
    <t xml:space="preserve">Total Equity</t>
  </si>
  <si>
    <t xml:space="preserve">Year 1 NOI</t>
  </si>
  <si>
    <t xml:space="preserve">Going-In Cap Rate</t>
  </si>
  <si>
    <t xml:space="preserve">Year 1 Cash-on-Cash</t>
  </si>
  <si>
    <t xml:space="preserve">Year 1 DSCR</t>
  </si>
  <si>
    <t xml:space="preserve">Equity Multiple</t>
  </si>
  <si>
    <t xml:space="preserve">Hold Period</t>
  </si>
  <si>
    <t xml:space="preserve">LP IRR</t>
  </si>
  <si>
    <t xml:space="preserve">Levered IRR</t>
  </si>
  <si>
    <t xml:space="preserve">CONFIDENTIAL</t>
  </si>
  <si>
    <t xml:space="preserve">Prepared by DealDesk CRE Underwriting.</t>
  </si>
  <si>
    <t xml:space="preserve">DEALDESK — UNDERWRITING ASSUMPTIONS</t>
  </si>
  <si>
    <t xml:space="preserve">All blue values are editable inputs. Change any blue cell to model different scenarios.</t>
  </si>
  <si>
    <t xml:space="preserve">  1. PROPERTY INFORMATION</t>
  </si>
  <si>
    <t xml:space="preserve">Property Name</t>
  </si>
  <si>
    <t xml:space="preserve">Sample Property</t>
  </si>
  <si>
    <t xml:space="preserve">Address</t>
  </si>
  <si>
    <t xml:space="preserve">123 Main St, Philadelphia, PA 19103</t>
  </si>
  <si>
    <t xml:space="preserve">Property Type</t>
  </si>
  <si>
    <t xml:space="preserve">Multifamily</t>
  </si>
  <si>
    <t xml:space="preserve">Project Type</t>
  </si>
  <si>
    <t xml:space="preserve">Sale</t>
  </si>
  <si>
    <t xml:space="preserve">Number of Units</t>
  </si>
  <si>
    <t xml:space="preserve">Gross Building Area (SF)</t>
  </si>
  <si>
    <t xml:space="preserve">Lot Size (SF)</t>
  </si>
  <si>
    <t xml:space="preserve">Year Built</t>
  </si>
  <si>
    <t xml:space="preserve">Acquisition Date</t>
  </si>
  <si>
    <t xml:space="preserve">2026-01-01</t>
  </si>
  <si>
    <t xml:space="preserve">Hold Period (Years)</t>
  </si>
  <si>
    <t xml:space="preserve">  2. ACQUISITION</t>
  </si>
  <si>
    <t xml:space="preserve">Transfer Tax Rate</t>
  </si>
  <si>
    <t xml:space="preserve">Transfer Tax Amount</t>
  </si>
  <si>
    <t xml:space="preserve">Closing Costs</t>
  </si>
  <si>
    <t xml:space="preserve">Total Acquisition Cost</t>
  </si>
  <si>
    <t xml:space="preserve">Price Per SF</t>
  </si>
  <si>
    <t xml:space="preserve">  3. SOURCES &amp; USES</t>
  </si>
  <si>
    <t xml:space="preserve">Enter $0 for items not applicable.</t>
  </si>
  <si>
    <t xml:space="preserve">  USES — Acquisition</t>
  </si>
  <si>
    <t xml:space="preserve">  Purchase Price</t>
  </si>
  <si>
    <t xml:space="preserve">  Transfer Tax</t>
  </si>
  <si>
    <t xml:space="preserve">  Tenant Buyout</t>
  </si>
  <si>
    <t xml:space="preserve">  USES — Professional &amp; Due Diligence</t>
  </si>
  <si>
    <t xml:space="preserve">  Legal — Closing &amp; Borrowing</t>
  </si>
  <si>
    <t xml:space="preserve">  Title Insurance</t>
  </si>
  <si>
    <t xml:space="preserve">  Legal — Bank</t>
  </si>
  <si>
    <t xml:space="preserve">  Appraisal</t>
  </si>
  <si>
    <t xml:space="preserve">  Environmental (Phase I/II)</t>
  </si>
  <si>
    <t xml:space="preserve">  Architect</t>
  </si>
  <si>
    <t xml:space="preserve">  Structural Engineer</t>
  </si>
  <si>
    <t xml:space="preserve">  GeoTech</t>
  </si>
  <si>
    <t xml:space="preserve">  Surveyor</t>
  </si>
  <si>
    <t xml:space="preserve">  Civil Engineer</t>
  </si>
  <si>
    <t xml:space="preserve">  MEPs</t>
  </si>
  <si>
    <t xml:space="preserve">  Legal — Zoning</t>
  </si>
  <si>
    <t xml:space="preserve">  USES — Financing Costs</t>
  </si>
  <si>
    <t xml:space="preserve">  Acquisition Fee</t>
  </si>
  <si>
    <t xml:space="preserve">  Mortgage Interest (Carry)</t>
  </si>
  <si>
    <t xml:space="preserve">  Mortgage Fees / Origination</t>
  </si>
  <si>
    <t xml:space="preserve">  Mezzanine Interest</t>
  </si>
  <si>
    <t xml:space="preserve">  USES — Soft Costs</t>
  </si>
  <si>
    <t xml:space="preserve">  Working Capital</t>
  </si>
  <si>
    <t xml:space="preserve">  Marketing</t>
  </si>
  <si>
    <t xml:space="preserve">  Real Estate Tax (Carry)</t>
  </si>
  <si>
    <t xml:space="preserve">  Property / BR / Contractor Ins.</t>
  </si>
  <si>
    <t xml:space="preserve">  Development Fee</t>
  </si>
  <si>
    <t xml:space="preserve">  Development Equity Pref Return</t>
  </si>
  <si>
    <t xml:space="preserve">  Permits / Expediting</t>
  </si>
  <si>
    <t xml:space="preserve">  USES — Hard Costs</t>
  </si>
  <si>
    <t xml:space="preserve">  Stormwater Management System</t>
  </si>
  <si>
    <t xml:space="preserve">  Demolition &amp; Site Work</t>
  </si>
  <si>
    <t xml:space="preserve">  Construction — Hard Costs</t>
  </si>
  <si>
    <t xml:space="preserve">  Construction — Reserve</t>
  </si>
  <si>
    <t xml:space="preserve">  GC Profit &amp; Overhead</t>
  </si>
  <si>
    <t xml:space="preserve">  4. INITIAL FINANCING</t>
  </si>
  <si>
    <t xml:space="preserve">Loan-to-Value (LTV)</t>
  </si>
  <si>
    <t xml:space="preserve">Initial Loan Amount</t>
  </si>
  <si>
    <t xml:space="preserve">Interest Rate</t>
  </si>
  <si>
    <t xml:space="preserve">Amortization (Years)</t>
  </si>
  <si>
    <t xml:space="preserve">Loan Term (Years)</t>
  </si>
  <si>
    <t xml:space="preserve">Origination Fee (%)</t>
  </si>
  <si>
    <t xml:space="preserve">Origination Fee ($)</t>
  </si>
  <si>
    <t xml:space="preserve">Interest-Only Period (Months)</t>
  </si>
  <si>
    <t xml:space="preserve">Monthly Payment (P&amp;I)</t>
  </si>
  <si>
    <t xml:space="preserve">Annual Debt Service</t>
  </si>
  <si>
    <t xml:space="preserve">  SOURCES</t>
  </si>
  <si>
    <t xml:space="preserve">  Senior Debt</t>
  </si>
  <si>
    <t xml:space="preserve">  Mezzanine Debt</t>
  </si>
  <si>
    <t xml:space="preserve">  GP Equity</t>
  </si>
  <si>
    <t xml:space="preserve">  LP Equity</t>
  </si>
  <si>
    <t xml:space="preserve">  Tax Credit Equity</t>
  </si>
  <si>
    <t xml:space="preserve">  Grants / Subsidies</t>
  </si>
  <si>
    <t xml:space="preserve">TOTAL USES</t>
  </si>
  <si>
    <t xml:space="preserve">TOTAL SOURCES</t>
  </si>
  <si>
    <t xml:space="preserve">TOTAL EQUITY REQUIRED</t>
  </si>
  <si>
    <t xml:space="preserve">Surplus / (Gap)</t>
  </si>
  <si>
    <t xml:space="preserve">  5. REFINANCE 1</t>
  </si>
  <si>
    <t xml:space="preserve">Refi 1 — Active? (1=Yes, 0=No)</t>
  </si>
  <si>
    <t xml:space="preserve">Set to 1 to activate</t>
  </si>
  <si>
    <t xml:space="preserve">Refi 1 — Timing (Year)</t>
  </si>
  <si>
    <t xml:space="preserve">Refi 1 — Appraised Value</t>
  </si>
  <si>
    <t xml:space="preserve">Refi 1 — LTV</t>
  </si>
  <si>
    <t xml:space="preserve">Refi 1 — New Loan Amount</t>
  </si>
  <si>
    <t xml:space="preserve">Refi 1 — Interest Rate</t>
  </si>
  <si>
    <t xml:space="preserve">Refi 1 — Amortization (Yrs)</t>
  </si>
  <si>
    <t xml:space="preserve">Refi 1 — Loan Term (Yrs)</t>
  </si>
  <si>
    <t xml:space="preserve">Refi 1 — Origination Fee (%)</t>
  </si>
  <si>
    <t xml:space="preserve">Refi 1 — Prepayment Penalty (%)</t>
  </si>
  <si>
    <t xml:space="preserve">Refi 1 — Closing Costs ($)</t>
  </si>
  <si>
    <t xml:space="preserve">  6. REFINANCE 2</t>
  </si>
  <si>
    <t xml:space="preserve">Refi 2 — Active? (1=Yes, 0=No)</t>
  </si>
  <si>
    <t xml:space="preserve">Refi 2 — Timing (Year)</t>
  </si>
  <si>
    <t xml:space="preserve">Refi 2 — Appraised Value</t>
  </si>
  <si>
    <t xml:space="preserve">Refi 2 — LTV</t>
  </si>
  <si>
    <t xml:space="preserve">Refi 2 — New Loan Amount</t>
  </si>
  <si>
    <t xml:space="preserve">Refi 2 — Interest Rate</t>
  </si>
  <si>
    <t xml:space="preserve">Refi 2 — Amortization (Yrs)</t>
  </si>
  <si>
    <t xml:space="preserve">Refi 2 — Loan Term (Yrs)</t>
  </si>
  <si>
    <t xml:space="preserve">Refi 2 — Origination Fee (%)</t>
  </si>
  <si>
    <t xml:space="preserve">Refi 2 — Prepayment Penalty (%)</t>
  </si>
  <si>
    <t xml:space="preserve">Refi 2 — Closing Costs ($)</t>
  </si>
  <si>
    <t xml:space="preserve">  7. REFINANCE 3</t>
  </si>
  <si>
    <t xml:space="preserve">Refi 3 — Active? (1=Yes, 0=No)</t>
  </si>
  <si>
    <t xml:space="preserve">Refi 3 — Timing (Year)</t>
  </si>
  <si>
    <t xml:space="preserve">Refi 3 — Appraised Value</t>
  </si>
  <si>
    <t xml:space="preserve">Refi 3 — LTV</t>
  </si>
  <si>
    <t xml:space="preserve">Refi 3 — New Loan Amount</t>
  </si>
  <si>
    <t xml:space="preserve">Refi 3 — Interest Rate</t>
  </si>
  <si>
    <t xml:space="preserve">Refi 3 — Amortization (Yrs)</t>
  </si>
  <si>
    <t xml:space="preserve">Refi 3 — Loan Term (Yrs)</t>
  </si>
  <si>
    <t xml:space="preserve">Refi 3 — Origination Fee (%)</t>
  </si>
  <si>
    <t xml:space="preserve">Refi 3 — Prepayment Penalty (%)</t>
  </si>
  <si>
    <t xml:space="preserve">Refi 3 — Closing Costs ($)</t>
  </si>
  <si>
    <t xml:space="preserve">  8. OPERATING ASSUMPTIONS — INCOME</t>
  </si>
  <si>
    <t xml:space="preserve">Vacancy &amp; Bad Debt Rate</t>
  </si>
  <si>
    <t xml:space="preserve">Annual Rent Growth</t>
  </si>
  <si>
    <t xml:space="preserve">Annual Expense Growth</t>
  </si>
  <si>
    <t xml:space="preserve">Loss to Lease (%)</t>
  </si>
  <si>
    <t xml:space="preserve">CAM Reimbursements (Year 1)</t>
  </si>
  <si>
    <t xml:space="preserve">Fee Income (Year 1)</t>
  </si>
  <si>
    <t xml:space="preserve">  9. OPERATING EXPENSES — FIXED (Year 1 Values)</t>
  </si>
  <si>
    <t xml:space="preserve">Real Estate Taxes</t>
  </si>
  <si>
    <t xml:space="preserve">Insurance</t>
  </si>
  <si>
    <t xml:space="preserve">Gas</t>
  </si>
  <si>
    <t xml:space="preserve">Water &amp; Sewer</t>
  </si>
  <si>
    <t xml:space="preserve">Electric</t>
  </si>
  <si>
    <t xml:space="preserve">License / Inspections</t>
  </si>
  <si>
    <t xml:space="preserve">Trash Removal</t>
  </si>
  <si>
    <t xml:space="preserve">Total Fixed Expenses</t>
  </si>
  <si>
    <t xml:space="preserve">  10. OPERATING EXPENSES — VARIABLE (Year 1 Values)</t>
  </si>
  <si>
    <t xml:space="preserve">Management Fee (% of EGI)</t>
  </si>
  <si>
    <t xml:space="preserve">Salaries</t>
  </si>
  <si>
    <t xml:space="preserve">Repairs</t>
  </si>
  <si>
    <t xml:space="preserve">Exterminator</t>
  </si>
  <si>
    <t xml:space="preserve">Cleaning / Maintenance</t>
  </si>
  <si>
    <t xml:space="preserve">Turnover</t>
  </si>
  <si>
    <t xml:space="preserve">Advertising</t>
  </si>
  <si>
    <t xml:space="preserve">Landscape / Snow</t>
  </si>
  <si>
    <t xml:space="preserve">Admin / Legal / Acct.</t>
  </si>
  <si>
    <t xml:space="preserve">Office / Phone / Supplies</t>
  </si>
  <si>
    <t xml:space="preserve">Miscellaneous</t>
  </si>
  <si>
    <t xml:space="preserve">Total Variable Expenses (ex. Mgmt)</t>
  </si>
  <si>
    <t xml:space="preserve">  11. BELOW-THE-LINE ITEMS</t>
  </si>
  <si>
    <t xml:space="preserve">Commissions (Year 1)</t>
  </si>
  <si>
    <t xml:space="preserve">Capital Reserves ($/unit/year)</t>
  </si>
  <si>
    <t xml:space="preserve">Renovations (Year 1)</t>
  </si>
  <si>
    <t xml:space="preserve">  12. EXIT ASSUMPTIONS</t>
  </si>
  <si>
    <t xml:space="preserve">Exit Cap Rate</t>
  </si>
  <si>
    <t xml:space="preserve">Disposition Costs (% of Sale)</t>
  </si>
  <si>
    <t xml:space="preserve">  13. WATERFALL / PARTNERSHIP STRUCTURE</t>
  </si>
  <si>
    <t xml:space="preserve">GP Equity Contribution (%)</t>
  </si>
  <si>
    <t xml:space="preserve">0% = no GP co-invest</t>
  </si>
  <si>
    <t xml:space="preserve">LP Equity Contribution (%)</t>
  </si>
  <si>
    <t xml:space="preserve">Waterfall Type (1=Full, 0=Simple)</t>
  </si>
  <si>
    <t xml:space="preserve">1 = tiered promote</t>
  </si>
  <si>
    <t xml:space="preserve">Simple Split — LP %</t>
  </si>
  <si>
    <t xml:space="preserve">Only used if Type = 0</t>
  </si>
  <si>
    <t xml:space="preserve">Simple Split — GP %</t>
  </si>
  <si>
    <t xml:space="preserve">  FULL WATERFALL — TIER STRUCTURE</t>
  </si>
  <si>
    <t xml:space="preserve">  Tier 1: Preferred Return (Hurdle)</t>
  </si>
  <si>
    <t xml:space="preserve">LP 100% / GP 0%</t>
  </si>
  <si>
    <t xml:space="preserve">  Tier 2: IRR Hurdle</t>
  </si>
  <si>
    <t xml:space="preserve">  Tier 2: LP Share</t>
  </si>
  <si>
    <t xml:space="preserve">GP gets 30%</t>
  </si>
  <si>
    <t xml:space="preserve">  Tier 3: IRR Hurdle</t>
  </si>
  <si>
    <t xml:space="preserve">  Tier 3: LP Share</t>
  </si>
  <si>
    <t xml:space="preserve">GP gets 40%</t>
  </si>
  <si>
    <t xml:space="preserve">  Tier 4: IRR Hurdle</t>
  </si>
  <si>
    <t xml:space="preserve">  Tier 4: LP Share</t>
  </si>
  <si>
    <t xml:space="preserve">GP gets 70%</t>
  </si>
  <si>
    <t xml:space="preserve">  Tier 5: IRR Hurdle</t>
  </si>
  <si>
    <t xml:space="preserve">  Tier 5: LP Share</t>
  </si>
  <si>
    <t xml:space="preserve">GP gets 80%</t>
  </si>
  <si>
    <t xml:space="preserve">  Tier 6 (above Tier 5): LP Share</t>
  </si>
  <si>
    <t xml:space="preserve">GP gets 90%</t>
  </si>
  <si>
    <t xml:space="preserve">  14. EQUITY MULTIPLE HURDLES (if EM method used)</t>
  </si>
  <si>
    <t xml:space="preserve">  Tier 1 EM Hurdle</t>
  </si>
  <si>
    <t xml:space="preserve">  Tier 2 EM Hurdle</t>
  </si>
  <si>
    <t xml:space="preserve">  Tier 3 EM Hurdle</t>
  </si>
  <si>
    <t xml:space="preserve">  15. SENSITIVITY ANALYSIS RANGES</t>
  </si>
  <si>
    <t xml:space="preserve">Define the axes of the sensitivity matrix.</t>
  </si>
  <si>
    <t xml:space="preserve">Rent Growth — Low</t>
  </si>
  <si>
    <t xml:space="preserve">Rent Growth — High</t>
  </si>
  <si>
    <t xml:space="preserve">Rent Growth — Step</t>
  </si>
  <si>
    <t xml:space="preserve">Exit Cap — Low</t>
  </si>
  <si>
    <t xml:space="preserve">Exit Cap — High</t>
  </si>
  <si>
    <t xml:space="preserve">Exit Cap — Step</t>
  </si>
  <si>
    <t xml:space="preserve">SOURCES &amp; USES</t>
  </si>
  <si>
    <t xml:space="preserve">All values reference Assumptions tab. No hardcoded numbers.</t>
  </si>
  <si>
    <t xml:space="preserve">Line Item</t>
  </si>
  <si>
    <t xml:space="preserve">Amount</t>
  </si>
  <si>
    <t xml:space="preserve">% of Total</t>
  </si>
  <si>
    <t xml:space="preserve">Acquisition Costs</t>
  </si>
  <si>
    <t xml:space="preserve">  Subtotal — Acquisition Costs</t>
  </si>
  <si>
    <t xml:space="preserve">Professional &amp; Due Diligence</t>
  </si>
  <si>
    <t xml:space="preserve">  Subtotal — Professional &amp; Due Diligence</t>
  </si>
  <si>
    <t xml:space="preserve">Financing Costs</t>
  </si>
  <si>
    <t xml:space="preserve">  Subtotal — Financing Costs</t>
  </si>
  <si>
    <t xml:space="preserve">Soft Costs</t>
  </si>
  <si>
    <t xml:space="preserve">  RE Tax (Carry)</t>
  </si>
  <si>
    <t xml:space="preserve">  Prop / BR / Contr Insurance</t>
  </si>
  <si>
    <t xml:space="preserve">  Dev Equity Pref Return</t>
  </si>
  <si>
    <t xml:space="preserve">  Subtotal — Soft Costs</t>
  </si>
  <si>
    <t xml:space="preserve">Hard Costs</t>
  </si>
  <si>
    <t xml:space="preserve">  Stormwater Mgmt</t>
  </si>
  <si>
    <t xml:space="preserve">  Subtotal — Hard Costs</t>
  </si>
  <si>
    <t xml:space="preserve">Sources</t>
  </si>
  <si>
    <t xml:space="preserve">SURPLUS / (GAP)</t>
  </si>
  <si>
    <t xml:space="preserve">SALE ANALYSIS</t>
  </si>
  <si>
    <t xml:space="preserve">Total project cost vs. net sale proceeds. Covers flips, build-to-sell, and land sales.</t>
  </si>
  <si>
    <t xml:space="preserve">  TOTAL PROJECT COST</t>
  </si>
  <si>
    <t xml:space="preserve">Transfer Tax &amp; Closing</t>
  </si>
  <si>
    <t xml:space="preserve">Professional &amp; DD Costs</t>
  </si>
  <si>
    <t xml:space="preserve">Hard Costs (Construction/Reno)</t>
  </si>
  <si>
    <t xml:space="preserve">TOTAL PROJECT COST</t>
  </si>
  <si>
    <t xml:space="preserve">  CARRY COSTS &amp; TIMELINE</t>
  </si>
  <si>
    <t xml:space="preserve">Construction/Reno Period (Months)</t>
  </si>
  <si>
    <t xml:space="preserve">Marketing / Sale Period (Months)</t>
  </si>
  <si>
    <t xml:space="preserve">Total Hold Period (Months)</t>
  </si>
  <si>
    <t xml:space="preserve">Basis</t>
  </si>
  <si>
    <t xml:space="preserve">Total Cost</t>
  </si>
  <si>
    <t xml:space="preserve">  Loan Interest Carry</t>
  </si>
  <si>
    <t xml:space="preserve">Monthly</t>
  </si>
  <si>
    <t xml:space="preserve">  Real Estate Taxes</t>
  </si>
  <si>
    <t xml:space="preserve">  Insurance</t>
  </si>
  <si>
    <t xml:space="preserve">  Utilities</t>
  </si>
  <si>
    <t xml:space="preserve">  Property Maintenance</t>
  </si>
  <si>
    <t xml:space="preserve">  HOA / Condo Fees</t>
  </si>
  <si>
    <t xml:space="preserve">  Marketing / Advertising</t>
  </si>
  <si>
    <t xml:space="preserve">Total</t>
  </si>
  <si>
    <t xml:space="preserve">  Staging / Showing Costs</t>
  </si>
  <si>
    <t xml:space="preserve">  TOTAL CARRY COSTS</t>
  </si>
  <si>
    <t xml:space="preserve">ALL-IN BASIS (Project Cost + Carry)</t>
  </si>
  <si>
    <t xml:space="preserve">  SALE PROCEEDS</t>
  </si>
  <si>
    <t xml:space="preserve">Gross Sale Price (ARV)</t>
  </si>
  <si>
    <t xml:space="preserve">Less: Broker Commission (%)</t>
  </si>
  <si>
    <t xml:space="preserve">Less: Commission Amount</t>
  </si>
  <si>
    <t xml:space="preserve">Less: Transfer Tax</t>
  </si>
  <si>
    <t xml:space="preserve">Less: Other Closing Costs</t>
  </si>
  <si>
    <t xml:space="preserve">Less: Loan Payoff</t>
  </si>
  <si>
    <t xml:space="preserve">NET SALE PROCEEDS</t>
  </si>
  <si>
    <t xml:space="preserve">  PROFIT &amp; RETURNS</t>
  </si>
  <si>
    <t xml:space="preserve">Net Sale Proceeds</t>
  </si>
  <si>
    <t xml:space="preserve">Less: Total Equity Invested</t>
  </si>
  <si>
    <t xml:space="preserve">NET PROFIT</t>
  </si>
  <si>
    <t xml:space="preserve">Profit Margin (% of Sale)</t>
  </si>
  <si>
    <t xml:space="preserve">Return on Equity</t>
  </si>
  <si>
    <t xml:space="preserve">Return on Cost</t>
  </si>
  <si>
    <t xml:space="preserve">Hold Period (Months)</t>
  </si>
  <si>
    <t xml:space="preserve">Annualized ROE</t>
  </si>
  <si>
    <t xml:space="preserve">CASH WATERFALL — SALE</t>
  </si>
  <si>
    <t xml:space="preserve">Single capital event: money in at close, money out at sale.</t>
  </si>
  <si>
    <t xml:space="preserve">  PARTNERSHIP STRUCTURE</t>
  </si>
  <si>
    <t xml:space="preserve">Total Equity Required</t>
  </si>
  <si>
    <t xml:space="preserve">GP Equity ($)</t>
  </si>
  <si>
    <t xml:space="preserve">LP Equity ($)</t>
  </si>
  <si>
    <t xml:space="preserve">  MONEY IN — EQUITY INVESTED</t>
  </si>
  <si>
    <t xml:space="preserve">Total Equity Invested</t>
  </si>
  <si>
    <t xml:space="preserve">  MONEY OUT — NET SALE PROCEEDS</t>
  </si>
  <si>
    <t xml:space="preserve">  Gross Sale Price (ARV)</t>
  </si>
  <si>
    <t xml:space="preserve">  Less: Broker Commission</t>
  </si>
  <si>
    <t xml:space="preserve">  Less: Transfer Tax</t>
  </si>
  <si>
    <t xml:space="preserve">  Less: Other Closing Costs</t>
  </si>
  <si>
    <t xml:space="preserve">  Less: Loan Payoff</t>
  </si>
  <si>
    <t xml:space="preserve">  PROJECT TIMELINE</t>
  </si>
  <si>
    <t xml:space="preserve">Months</t>
  </si>
  <si>
    <t xml:space="preserve">Construction / Renovation Period</t>
  </si>
  <si>
    <t xml:space="preserve">Marketing / Sale Period</t>
  </si>
  <si>
    <t xml:space="preserve">  PROJECT-LEVEL RETURNS</t>
  </si>
  <si>
    <t xml:space="preserve">Value</t>
  </si>
  <si>
    <t xml:space="preserve">Net Profit</t>
  </si>
  <si>
    <t xml:space="preserve">Total Return on Equity</t>
  </si>
  <si>
    <t xml:space="preserve">Project IRR (Annualized)</t>
  </si>
  <si>
    <t xml:space="preserve">  LP / GP DISTRIBUTION</t>
  </si>
  <si>
    <t xml:space="preserve">LP Share of Proceeds</t>
  </si>
  <si>
    <t xml:space="preserve">GP Share of Proceeds</t>
  </si>
  <si>
    <t xml:space="preserve">LP RETURNS</t>
  </si>
  <si>
    <t xml:space="preserve">LP Equity Invested</t>
  </si>
  <si>
    <t xml:space="preserve">LP Total Distributions</t>
  </si>
  <si>
    <t xml:space="preserve">LP Profit</t>
  </si>
  <si>
    <t xml:space="preserve">LP Equity Multiple</t>
  </si>
  <si>
    <t xml:space="preserve">LP Annualized ROE</t>
  </si>
  <si>
    <t xml:space="preserve">GP RETURNS</t>
  </si>
  <si>
    <t xml:space="preserve">GP Equity Invested</t>
  </si>
  <si>
    <t xml:space="preserve">GP Total Distributions</t>
  </si>
  <si>
    <t xml:space="preserve">GP Profit</t>
  </si>
  <si>
    <t xml:space="preserve">GP Equity Multiple</t>
  </si>
  <si>
    <t xml:space="preserve">GP Annualized ROE</t>
  </si>
  <si>
    <t xml:space="preserve">VERIFICATION: LP + GP = Net Proceeds</t>
  </si>
  <si>
    <t xml:space="preserve">(Should equal $0)</t>
  </si>
  <si>
    <t xml:space="preserve">RETURNS SUMMARY</t>
  </si>
  <si>
    <t xml:space="preserve">All values reference other tabs. No hardcoded numbers.</t>
  </si>
  <si>
    <t xml:space="preserve">Investment Overview</t>
  </si>
  <si>
    <t xml:space="preserve">Property</t>
  </si>
  <si>
    <t xml:space="preserve">Return Metrics</t>
  </si>
  <si>
    <t xml:space="preserve">Gross Sale Price</t>
  </si>
  <si>
    <t xml:space="preserve">Equity Multiple &amp; Distributions</t>
  </si>
  <si>
    <t xml:space="preserve">Total Operating CF</t>
  </si>
  <si>
    <t xml:space="preserve">Total Refi Proceeds</t>
  </si>
  <si>
    <t xml:space="preserve">Net Exit Proceeds</t>
  </si>
  <si>
    <t xml:space="preserve">Total Distributions</t>
  </si>
  <si>
    <t xml:space="preserve">EQUITY MULTIPLE</t>
  </si>
  <si>
    <t xml:space="preserve">LP IRR (from Waterfall)</t>
  </si>
  <si>
    <t xml:space="preserve">GP IRR</t>
  </si>
  <si>
    <t xml:space="preserve">Levered IRR (Property)</t>
  </si>
  <si>
    <t xml:space="preserve">SENSITIVITY ANALYSIS</t>
  </si>
  <si>
    <t xml:space="preserve">How key returns change across different scenarios. Rent Growth (columns) × Exit Cap Rate (rows).</t>
  </si>
  <si>
    <t xml:space="preserve">LEVERED IRR</t>
  </si>
  <si>
    <t xml:space="preserve">Project-level IRR under different rent growth and exit cap assumptions</t>
  </si>
  <si>
    <t xml:space="preserve">Project-level equity multiple under different scenarios</t>
  </si>
  <si>
    <t xml:space="preserve">Exit Cap ↓  Rent Growth →</t>
  </si>
  <si>
    <t xml:space="preserve">—</t>
  </si>
  <si>
    <t xml:space="preserve">Values calculated by Python underwriting script (requires iterative IRR calculation).</t>
  </si>
  <si>
    <t xml:space="preserve">Values calculated by Python underwriting script.</t>
  </si>
  <si>
    <t xml:space="preserve">  OPERATING METRICS SENSITIVITY</t>
  </si>
  <si>
    <t xml:space="preserve">YEAR 1 NOI</t>
  </si>
  <si>
    <t xml:space="preserve">YEAR 1 CASH-ON-CASH RETURN</t>
  </si>
  <si>
    <t xml:space="preserve">Vacancy Rate (columns) × Expense Growth (rows)</t>
  </si>
  <si>
    <t xml:space="preserve">Purchase Price (columns) × LTV (rows)</t>
  </si>
  <si>
    <t xml:space="preserve">Exp Growth ↓  Vacancy →</t>
  </si>
  <si>
    <t xml:space="preserve">LTV ↓  Price →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</si>
</sst>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$#,##0;&quot;($&quot;#,##0\);\-"/>
    <numFmt numFmtId="167" formatCode="0.00%"/>
    <numFmt numFmtId="168" formatCode="0.0%"/>
    <numFmt numFmtId="169" formatCode="0.00\x"/>
    <numFmt numFmtId="170" formatCode="0&quot; years&quot;"/>
    <numFmt numFmtId="171" formatCode="@"/>
    <numFmt numFmtId="172" formatCode="0"/>
    <numFmt numFmtId="173" formatCode="\$#,##0.00;&quot;($&quot;#,##0.00\);\-"/>
    <numFmt numFmtId="174" formatCode="0.0\x"/>
    <numFmt numFmtId="175" formatCode="0.00"/>
    <numFmt numFmtId="176" formatCode="\$#,##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3E6844"/>
      <name val="Century Gothic"/>
      <family val="0"/>
      <charset val="1"/>
    </font>
    <font>
      <sz val="14"/>
      <color rgb="FF8B7355"/>
      <name val="Century Gothic"/>
      <family val="0"/>
      <charset val="1"/>
    </font>
    <font>
      <b val="true"/>
      <sz val="18"/>
      <color rgb="FF2A2820"/>
      <name val="Century Gothic"/>
      <family val="0"/>
      <charset val="1"/>
    </font>
    <font>
      <sz val="12"/>
      <color rgb="FF7A7568"/>
      <name val="Century Gothic"/>
      <family val="0"/>
      <charset val="1"/>
    </font>
    <font>
      <sz val="10"/>
      <color rgb="FF2A2820"/>
      <name val="Century Gothic"/>
      <family val="0"/>
      <charset val="1"/>
    </font>
    <font>
      <sz val="10"/>
      <color rgb="FF008000"/>
      <name val="Century Gothic"/>
      <family val="0"/>
      <charset val="1"/>
    </font>
    <font>
      <b val="true"/>
      <sz val="12"/>
      <color rgb="FF3E6844"/>
      <name val="Century Gothic"/>
      <family val="0"/>
      <charset val="1"/>
    </font>
    <font>
      <b val="true"/>
      <sz val="10"/>
      <color rgb="FF008000"/>
      <name val="Century Gothic"/>
      <family val="0"/>
      <charset val="1"/>
    </font>
    <font>
      <b val="true"/>
      <sz val="10"/>
      <color rgb="FF9B4D4D"/>
      <name val="Century Gothic"/>
      <family val="0"/>
      <charset val="1"/>
    </font>
    <font>
      <i val="true"/>
      <sz val="9"/>
      <color rgb="FF7A7568"/>
      <name val="Century Gothic"/>
      <family val="0"/>
      <charset val="1"/>
    </font>
    <font>
      <b val="true"/>
      <sz val="20"/>
      <color rgb="FFFFFFFF"/>
      <name val="Century Gothic"/>
      <family val="0"/>
      <charset val="1"/>
    </font>
    <font>
      <sz val="11"/>
      <color rgb="FFE8F0E9"/>
      <name val="Century Gothic"/>
      <family val="0"/>
      <charset val="1"/>
    </font>
    <font>
      <sz val="10"/>
      <name val="Century Gothic"/>
      <family val="0"/>
      <charset val="1"/>
    </font>
    <font>
      <b val="true"/>
      <sz val="13"/>
      <color rgb="FFFFFFFF"/>
      <name val="Century Gothic"/>
      <family val="0"/>
      <charset val="1"/>
    </font>
    <font>
      <b val="true"/>
      <sz val="10"/>
      <color rgb="FF0000FF"/>
      <name val="Century Gothic"/>
      <family val="0"/>
      <charset val="1"/>
    </font>
    <font>
      <sz val="10"/>
      <color rgb="FF3E6844"/>
      <name val="Century Gothic"/>
      <family val="0"/>
      <charset val="1"/>
    </font>
    <font>
      <b val="true"/>
      <sz val="10"/>
      <color rgb="FF2A2820"/>
      <name val="Century Gothic"/>
      <family val="0"/>
      <charset val="1"/>
    </font>
    <font>
      <sz val="10"/>
      <color rgb="FF000000"/>
      <name val="Century Gothic"/>
      <family val="0"/>
      <charset val="1"/>
    </font>
    <font>
      <b val="true"/>
      <sz val="10"/>
      <color rgb="FFFFFFFF"/>
      <name val="Century Gothic"/>
      <family val="0"/>
      <charset val="1"/>
    </font>
    <font>
      <b val="true"/>
      <sz val="11"/>
      <color rgb="FF3E6844"/>
      <name val="Century Gothic"/>
      <family val="0"/>
      <charset val="1"/>
    </font>
    <font>
      <b val="true"/>
      <sz val="16"/>
      <color rgb="FF2A2820"/>
      <name val="Century Gothic"/>
      <family val="0"/>
      <charset val="1"/>
    </font>
    <font>
      <b val="true"/>
      <sz val="9"/>
      <color rgb="FFFFFFFF"/>
      <name val="Century Gothic"/>
      <family val="0"/>
      <charset val="1"/>
    </font>
    <font>
      <b val="true"/>
      <sz val="10"/>
      <color rgb="FF3E6844"/>
      <name val="Century Gothic"/>
      <family val="0"/>
      <charset val="1"/>
    </font>
    <font>
      <b val="true"/>
      <sz val="10"/>
      <color rgb="FF6B5740"/>
      <name val="Century Gothic"/>
      <family val="0"/>
      <charset val="1"/>
    </font>
    <font>
      <b val="true"/>
      <sz val="10"/>
      <color rgb="FF8B7355"/>
      <name val="Century Gothic"/>
      <family val="0"/>
      <charset val="1"/>
    </font>
    <font>
      <b val="true"/>
      <sz val="10"/>
      <color rgb="FFA89278"/>
      <name val="Century Gothic"/>
      <family val="0"/>
      <charset val="1"/>
    </font>
    <font>
      <b val="true"/>
      <sz val="18"/>
      <color rgb="FFFFFFFF"/>
      <name val="Century Gothic"/>
      <family val="0"/>
      <charset val="1"/>
    </font>
    <font>
      <sz val="10"/>
      <color rgb="FFE8F0E9"/>
      <name val="Century Gothic"/>
      <family val="0"/>
      <charset val="1"/>
    </font>
    <font>
      <b val="true"/>
      <sz val="11"/>
      <color rgb="FFFFFFFF"/>
      <name val="Century Gothic"/>
      <family val="0"/>
      <charset val="1"/>
    </font>
    <font>
      <b val="true"/>
      <sz val="12"/>
      <color rgb="FF2A2820"/>
      <name val="Century Gothic"/>
      <family val="0"/>
      <charset val="1"/>
    </font>
    <font>
      <b val="true"/>
      <sz val="10"/>
      <name val="Century Gothic"/>
      <family val="0"/>
      <charset val="1"/>
    </font>
    <font>
      <b val="true"/>
      <sz val="14"/>
      <color rgb="FF3E6844"/>
      <name val="Century Gothic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FAF8F5"/>
        <bgColor rgb="FFFBF6E8"/>
      </patternFill>
    </fill>
    <fill>
      <patternFill patternType="solid">
        <fgColor rgb="FFE8F0E9"/>
        <bgColor rgb="FFEAF2EC"/>
      </patternFill>
    </fill>
    <fill>
      <patternFill patternType="solid">
        <fgColor rgb="FFF2F4EC"/>
        <bgColor rgb="FFEAF2EC"/>
      </patternFill>
    </fill>
    <fill>
      <patternFill patternType="solid">
        <fgColor rgb="FF2A2820"/>
        <bgColor rgb="FF333300"/>
      </patternFill>
    </fill>
    <fill>
      <patternFill patternType="solid">
        <fgColor rgb="FF3E6844"/>
        <bgColor rgb="FF6B5740"/>
      </patternFill>
    </fill>
    <fill>
      <patternFill patternType="solid">
        <fgColor rgb="FFFFFFF0"/>
        <bgColor rgb="FFFFFFFF"/>
      </patternFill>
    </fill>
    <fill>
      <patternFill patternType="solid">
        <fgColor rgb="FFE5E8DE"/>
        <bgColor rgb="FFE8F0E9"/>
      </patternFill>
    </fill>
    <fill>
      <patternFill patternType="solid">
        <fgColor rgb="FF6B5740"/>
        <bgColor rgb="FF9B4D4D"/>
      </patternFill>
    </fill>
    <fill>
      <patternFill patternType="solid">
        <fgColor rgb="FF8B7355"/>
        <bgColor rgb="FF7A7568"/>
      </patternFill>
    </fill>
    <fill>
      <patternFill patternType="solid">
        <fgColor rgb="FFA89278"/>
        <bgColor rgb="FF8B7355"/>
      </patternFill>
    </fill>
    <fill>
      <patternFill patternType="solid">
        <fgColor rgb="FF9B4D4D"/>
        <bgColor rgb="FF993366"/>
      </patternFill>
    </fill>
    <fill>
      <patternFill patternType="solid">
        <fgColor rgb="FFEAF2EC"/>
        <bgColor rgb="FFE8F0E9"/>
      </patternFill>
    </fill>
    <fill>
      <patternFill patternType="solid">
        <fgColor rgb="FFF5EAEA"/>
        <bgColor rgb="FFF2F4EC"/>
      </patternFill>
    </fill>
    <fill>
      <patternFill patternType="solid">
        <fgColor rgb="FFFBF6E8"/>
        <bgColor rgb="FFFAF8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11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0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9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1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2" fillId="1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1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12" fillId="1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4" fontId="18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0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2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6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8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32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33" fillId="1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8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6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26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6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5" fontId="26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35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23" fillId="1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2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7355"/>
      <rgbColor rgb="FF800080"/>
      <rgbColor rgb="FF008080"/>
      <rgbColor rgb="FFD4C9B8"/>
      <rgbColor rgb="FF7A7568"/>
      <rgbColor rgb="FF9999FF"/>
      <rgbColor rgb="FF9B4D4D"/>
      <rgbColor rgb="FFFBF6E8"/>
      <rgbColor rgb="FFEAF2EC"/>
      <rgbColor rgb="FF660066"/>
      <rgbColor rgb="FFFF8080"/>
      <rgbColor rgb="FF0066CC"/>
      <rgbColor rgb="FFF5EA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E9"/>
      <rgbColor rgb="FFE5E8DE"/>
      <rgbColor rgb="FFFFFFF0"/>
      <rgbColor rgb="FFFAF8F5"/>
      <rgbColor rgb="FFFF99CC"/>
      <rgbColor rgb="FFCC99FF"/>
      <rgbColor rgb="FFF2F4EC"/>
      <rgbColor rgb="FF3366FF"/>
      <rgbColor rgb="FF33CCCC"/>
      <rgbColor rgb="FF99CC00"/>
      <rgbColor rgb="FFFFCC00"/>
      <rgbColor rgb="FFFF9900"/>
      <rgbColor rgb="FFFF6600"/>
      <rgbColor rgb="FF6B5740"/>
      <rgbColor rgb="FFA89278"/>
      <rgbColor rgb="FF003366"/>
      <rgbColor rgb="FF3E6844"/>
      <rgbColor rgb="FF003300"/>
      <rgbColor rgb="FF333300"/>
      <rgbColor rgb="FF993300"/>
      <rgbColor rgb="FF993366"/>
      <rgbColor rgb="FF333399"/>
      <rgbColor rgb="FF2A28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1361160</xdr:colOff>
      <xdr:row>7</xdr:row>
      <xdr:rowOff>122760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713600" cy="1713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820"/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4" min="3" style="1" width="25"/>
    <col collapsed="false" customWidth="true" hidden="false" outlineLevel="0" max="5" min="5" style="1" width="5"/>
  </cols>
  <sheetData>
    <row r="1" customFormat="false" ht="15" hidden="false" customHeight="true" outlineLevel="0" collapsed="false">
      <c r="A1" s="2"/>
      <c r="B1" s="2"/>
      <c r="C1" s="2"/>
      <c r="D1" s="2"/>
    </row>
    <row r="2" customFormat="false" ht="26.25" hidden="false" customHeight="true" outlineLevel="0" collapsed="false">
      <c r="A2" s="2"/>
      <c r="B2" s="3" t="s">
        <v>0</v>
      </c>
      <c r="C2" s="3"/>
      <c r="D2" s="3"/>
    </row>
    <row r="3" customFormat="false" ht="17.25" hidden="false" customHeight="true" outlineLevel="0" collapsed="false">
      <c r="A3" s="2"/>
      <c r="B3" s="4" t="s">
        <v>1</v>
      </c>
      <c r="C3" s="4"/>
      <c r="D3" s="4"/>
    </row>
    <row r="4" customFormat="false" ht="15" hidden="false" customHeight="true" outlineLevel="0" collapsed="false">
      <c r="A4" s="2"/>
      <c r="B4" s="2"/>
      <c r="C4" s="2"/>
      <c r="D4" s="2"/>
    </row>
    <row r="5" customFormat="false" ht="21.75" hidden="false" customHeight="true" outlineLevel="0" collapsed="false">
      <c r="A5" s="2"/>
      <c r="B5" s="5" t="str">
        <f aca="false">Assumptions!C5</f>
        <v>Sample Property</v>
      </c>
      <c r="C5" s="5"/>
      <c r="D5" s="5"/>
    </row>
    <row r="6" customFormat="false" ht="15" hidden="false" customHeight="true" outlineLevel="0" collapsed="false">
      <c r="A6" s="2"/>
      <c r="B6" s="6" t="str">
        <f aca="false">Assumptions!C6</f>
        <v>123 Main St, Philadelphia, PA 19103</v>
      </c>
      <c r="C6" s="6"/>
      <c r="D6" s="6"/>
    </row>
    <row r="7" customFormat="false" ht="15" hidden="false" customHeight="true" outlineLevel="0" collapsed="false">
      <c r="A7" s="2"/>
      <c r="B7" s="2"/>
      <c r="C7" s="2"/>
      <c r="D7" s="2"/>
    </row>
    <row r="8" customFormat="false" ht="15" hidden="false" customHeight="true" outlineLevel="0" collapsed="false">
      <c r="A8" s="2"/>
      <c r="B8" s="7" t="s">
        <v>2</v>
      </c>
      <c r="C8" s="8" t="str">
        <f aca="false">Assumptions!C7</f>
        <v>Multifamily</v>
      </c>
      <c r="D8" s="2"/>
    </row>
    <row r="9" customFormat="false" ht="15" hidden="false" customHeight="true" outlineLevel="0" collapsed="false">
      <c r="A9" s="2"/>
      <c r="B9" s="7" t="s">
        <v>3</v>
      </c>
      <c r="C9" s="8" t="str">
        <f aca="false">Assumptions!C8</f>
        <v>Sale</v>
      </c>
      <c r="D9" s="2"/>
    </row>
    <row r="10" customFormat="false" ht="15" hidden="false" customHeight="true" outlineLevel="0" collapsed="false">
      <c r="A10" s="2"/>
      <c r="B10" s="7" t="s">
        <v>4</v>
      </c>
      <c r="C10" s="9" t="n">
        <f aca="false">Assumptions!C9</f>
        <v>20</v>
      </c>
      <c r="D10" s="2"/>
    </row>
    <row r="11" customFormat="false" ht="15" hidden="false" customHeight="true" outlineLevel="0" collapsed="false">
      <c r="A11" s="2"/>
      <c r="B11" s="7" t="s">
        <v>5</v>
      </c>
      <c r="C11" s="9" t="n">
        <f aca="false">Assumptions!C10</f>
        <v>18000</v>
      </c>
      <c r="D11" s="2"/>
    </row>
    <row r="12" customFormat="false" ht="15" hidden="false" customHeight="true" outlineLevel="0" collapsed="false">
      <c r="A12" s="2"/>
      <c r="B12" s="2"/>
      <c r="C12" s="2"/>
      <c r="D12" s="2"/>
    </row>
    <row r="13" customFormat="false" ht="15" hidden="false" customHeight="true" outlineLevel="0" collapsed="false">
      <c r="A13" s="2"/>
      <c r="B13" s="10" t="s">
        <v>6</v>
      </c>
      <c r="C13" s="10"/>
      <c r="D13" s="10"/>
    </row>
    <row r="14" customFormat="false" ht="15" hidden="false" customHeight="true" outlineLevel="0" collapsed="false">
      <c r="A14" s="2"/>
      <c r="B14" s="11" t="s">
        <v>7</v>
      </c>
      <c r="C14" s="12" t="n">
        <f aca="false">Assumptions!C17</f>
        <v>2500000</v>
      </c>
      <c r="D14" s="2"/>
    </row>
    <row r="15" customFormat="false" ht="15" hidden="false" customHeight="true" outlineLevel="0" collapsed="false">
      <c r="A15" s="2"/>
      <c r="B15" s="7" t="s">
        <v>8</v>
      </c>
      <c r="C15" s="13" t="n">
        <f aca="false">Assumptions!C22</f>
        <v>125000</v>
      </c>
      <c r="D15" s="2"/>
    </row>
    <row r="16" customFormat="false" ht="15" hidden="false" customHeight="true" outlineLevel="0" collapsed="false">
      <c r="A16" s="2"/>
      <c r="B16" s="11" t="s">
        <v>9</v>
      </c>
      <c r="C16" s="12" t="n">
        <f aca="false">Assumptions!C89</f>
        <v>2721950</v>
      </c>
      <c r="D16" s="2"/>
    </row>
    <row r="17" customFormat="false" ht="15" hidden="false" customHeight="true" outlineLevel="0" collapsed="false">
      <c r="A17" s="2"/>
      <c r="B17" s="7" t="s">
        <v>10</v>
      </c>
      <c r="C17" s="13" t="n">
        <f aca="false">Assumptions!C91</f>
        <v>971950</v>
      </c>
      <c r="D17" s="2"/>
    </row>
    <row r="18" customFormat="false" ht="15" hidden="false" customHeight="true" outlineLevel="0" collapsed="false">
      <c r="A18" s="2"/>
      <c r="B18" s="11" t="s">
        <v>11</v>
      </c>
      <c r="C18" s="12" t="n">
        <f aca="false">'Returns Summary'!B12</f>
        <v>0</v>
      </c>
      <c r="D18" s="2"/>
    </row>
    <row r="19" customFormat="false" ht="15" hidden="false" customHeight="true" outlineLevel="0" collapsed="false">
      <c r="A19" s="2"/>
      <c r="B19" s="7" t="s">
        <v>12</v>
      </c>
      <c r="C19" s="14" t="n">
        <f aca="false">'Returns Summary'!B13</f>
        <v>0</v>
      </c>
      <c r="D19" s="2"/>
    </row>
    <row r="20" customFormat="false" ht="15" hidden="false" customHeight="true" outlineLevel="0" collapsed="false">
      <c r="A20" s="2"/>
      <c r="B20" s="11" t="s">
        <v>13</v>
      </c>
      <c r="C20" s="15" t="n">
        <f aca="false">'Returns Summary'!B14</f>
        <v>0</v>
      </c>
      <c r="D20" s="2"/>
    </row>
    <row r="21" customFormat="false" ht="15" hidden="false" customHeight="true" outlineLevel="0" collapsed="false">
      <c r="A21" s="2"/>
      <c r="B21" s="7" t="s">
        <v>14</v>
      </c>
      <c r="C21" s="16" t="n">
        <f aca="false">'Returns Summary'!B15</f>
        <v>0</v>
      </c>
      <c r="D21" s="2"/>
    </row>
    <row r="22" customFormat="false" ht="15" hidden="false" customHeight="true" outlineLevel="0" collapsed="false">
      <c r="A22" s="2"/>
      <c r="B22" s="11" t="s">
        <v>15</v>
      </c>
      <c r="C22" s="17" t="n">
        <f aca="false">'Returns Summary'!B25</f>
        <v>-1.80050414115952</v>
      </c>
      <c r="D22" s="2"/>
    </row>
    <row r="23" customFormat="false" ht="15" hidden="false" customHeight="true" outlineLevel="0" collapsed="false">
      <c r="A23" s="2"/>
      <c r="B23" s="7" t="s">
        <v>16</v>
      </c>
      <c r="C23" s="18" t="n">
        <f aca="false">Assumptions!C14</f>
        <v>10</v>
      </c>
      <c r="D23" s="2"/>
    </row>
    <row r="24" customFormat="false" ht="15" hidden="false" customHeight="true" outlineLevel="0" collapsed="false">
      <c r="A24" s="2"/>
      <c r="B24" s="7" t="s">
        <v>17</v>
      </c>
      <c r="C24" s="14" t="n">
        <f aca="false">'Cash Waterfall'!D41</f>
        <v>0</v>
      </c>
      <c r="D24" s="2"/>
    </row>
    <row r="25" customFormat="false" ht="15" hidden="false" customHeight="true" outlineLevel="0" collapsed="false">
      <c r="A25" s="2"/>
      <c r="B25" s="7" t="s">
        <v>18</v>
      </c>
      <c r="C25" s="14" t="n">
        <f aca="false">'Cash Waterfall'!D30</f>
        <v>0</v>
      </c>
      <c r="D25" s="2"/>
    </row>
    <row r="26" customFormat="false" ht="15" hidden="false" customHeight="true" outlineLevel="0" collapsed="false">
      <c r="A26" s="2"/>
      <c r="B26" s="19" t="s">
        <v>19</v>
      </c>
      <c r="C26" s="19"/>
      <c r="D26" s="19"/>
    </row>
    <row r="27" customFormat="false" ht="15" hidden="false" customHeight="true" outlineLevel="0" collapsed="false">
      <c r="A27" s="2"/>
      <c r="B27" s="20" t="s">
        <v>20</v>
      </c>
      <c r="C27" s="20"/>
      <c r="D27" s="20"/>
    </row>
  </sheetData>
  <mergeCells count="7">
    <mergeCell ref="B2:D2"/>
    <mergeCell ref="B3:D3"/>
    <mergeCell ref="B5:D5"/>
    <mergeCell ref="B6:D6"/>
    <mergeCell ref="B13:D13"/>
    <mergeCell ref="B26:D26"/>
    <mergeCell ref="B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H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36"/>
    <col collapsed="false" customWidth="true" hidden="false" outlineLevel="0" max="6" min="6" style="1" width="18"/>
    <col collapsed="false" customWidth="true" hidden="false" outlineLevel="0" max="7" min="7" style="1" width="3"/>
    <col collapsed="false" customWidth="true" hidden="false" outlineLevel="0" max="8" min="8" style="1" width="28"/>
  </cols>
  <sheetData>
    <row r="1" customFormat="false" ht="39.75" hidden="false" customHeight="true" outlineLevel="0" collapsed="false">
      <c r="A1" s="21" t="s">
        <v>21</v>
      </c>
      <c r="B1" s="21"/>
      <c r="C1" s="21"/>
      <c r="D1" s="21"/>
      <c r="E1" s="21"/>
      <c r="F1" s="21"/>
      <c r="G1" s="21"/>
      <c r="H1" s="21"/>
    </row>
    <row r="2" customFormat="false" ht="15" hidden="false" customHeight="true" outlineLevel="0" collapsed="false">
      <c r="A2" s="22" t="s">
        <v>22</v>
      </c>
      <c r="B2" s="22"/>
      <c r="C2" s="22"/>
      <c r="D2" s="22"/>
      <c r="E2" s="22"/>
      <c r="F2" s="22"/>
      <c r="G2" s="22"/>
      <c r="H2" s="22"/>
    </row>
    <row r="3" customFormat="false" ht="7.5" hidden="false" customHeight="true" outlineLevel="0" collapsed="false">
      <c r="A3" s="23"/>
      <c r="B3" s="23"/>
      <c r="C3" s="23"/>
      <c r="D3" s="23"/>
      <c r="E3" s="2"/>
      <c r="F3" s="2"/>
      <c r="G3" s="2"/>
      <c r="H3" s="2"/>
    </row>
    <row r="4" customFormat="false" ht="27.75" hidden="false" customHeight="true" outlineLevel="0" collapsed="false">
      <c r="A4" s="24"/>
      <c r="B4" s="25" t="s">
        <v>23</v>
      </c>
      <c r="C4" s="25"/>
      <c r="D4" s="25"/>
      <c r="E4" s="25"/>
      <c r="F4" s="25"/>
      <c r="G4" s="25"/>
      <c r="H4" s="25"/>
    </row>
    <row r="5" customFormat="false" ht="15" hidden="false" customHeight="true" outlineLevel="0" collapsed="false">
      <c r="A5" s="23"/>
      <c r="B5" s="26" t="s">
        <v>24</v>
      </c>
      <c r="C5" s="27" t="s">
        <v>25</v>
      </c>
      <c r="D5" s="23"/>
      <c r="E5" s="2"/>
      <c r="F5" s="2"/>
      <c r="G5" s="2"/>
      <c r="H5" s="2"/>
    </row>
    <row r="6" customFormat="false" ht="15" hidden="false" customHeight="true" outlineLevel="0" collapsed="false">
      <c r="A6" s="23"/>
      <c r="B6" s="26" t="s">
        <v>26</v>
      </c>
      <c r="C6" s="27" t="s">
        <v>27</v>
      </c>
      <c r="D6" s="23"/>
      <c r="E6" s="2"/>
      <c r="F6" s="2"/>
      <c r="G6" s="2"/>
      <c r="H6" s="2"/>
    </row>
    <row r="7" customFormat="false" ht="15" hidden="false" customHeight="true" outlineLevel="0" collapsed="false">
      <c r="A7" s="23"/>
      <c r="B7" s="26" t="s">
        <v>28</v>
      </c>
      <c r="C7" s="27" t="s">
        <v>29</v>
      </c>
      <c r="D7" s="23"/>
      <c r="E7" s="2"/>
      <c r="F7" s="2"/>
      <c r="G7" s="2"/>
      <c r="H7" s="2"/>
    </row>
    <row r="8" customFormat="false" ht="15" hidden="false" customHeight="true" outlineLevel="0" collapsed="false">
      <c r="A8" s="23"/>
      <c r="B8" s="26" t="s">
        <v>30</v>
      </c>
      <c r="C8" s="27" t="s">
        <v>31</v>
      </c>
      <c r="D8" s="23"/>
      <c r="E8" s="2"/>
      <c r="F8" s="2"/>
      <c r="G8" s="2"/>
      <c r="H8" s="2"/>
    </row>
    <row r="9" customFormat="false" ht="15" hidden="false" customHeight="true" outlineLevel="0" collapsed="false">
      <c r="A9" s="23"/>
      <c r="B9" s="26" t="s">
        <v>32</v>
      </c>
      <c r="C9" s="28" t="n">
        <v>20</v>
      </c>
      <c r="D9" s="23"/>
      <c r="E9" s="2"/>
      <c r="F9" s="2"/>
      <c r="G9" s="2"/>
      <c r="H9" s="2"/>
    </row>
    <row r="10" customFormat="false" ht="15" hidden="false" customHeight="true" outlineLevel="0" collapsed="false">
      <c r="A10" s="23"/>
      <c r="B10" s="26" t="s">
        <v>33</v>
      </c>
      <c r="C10" s="28" t="n">
        <v>18000</v>
      </c>
      <c r="D10" s="23"/>
      <c r="E10" s="2"/>
      <c r="F10" s="2"/>
      <c r="G10" s="2"/>
      <c r="H10" s="2"/>
    </row>
    <row r="11" customFormat="false" ht="15" hidden="false" customHeight="true" outlineLevel="0" collapsed="false">
      <c r="A11" s="23"/>
      <c r="B11" s="26" t="s">
        <v>34</v>
      </c>
      <c r="C11" s="28" t="n">
        <v>8500</v>
      </c>
      <c r="D11" s="23"/>
      <c r="E11" s="2"/>
      <c r="F11" s="2"/>
      <c r="G11" s="2"/>
      <c r="H11" s="2"/>
    </row>
    <row r="12" customFormat="false" ht="15" hidden="false" customHeight="true" outlineLevel="0" collapsed="false">
      <c r="A12" s="23"/>
      <c r="B12" s="26" t="s">
        <v>35</v>
      </c>
      <c r="C12" s="29" t="n">
        <v>1965</v>
      </c>
      <c r="D12" s="23"/>
      <c r="E12" s="2"/>
      <c r="F12" s="2"/>
      <c r="G12" s="2"/>
      <c r="H12" s="2"/>
    </row>
    <row r="13" customFormat="false" ht="15" hidden="false" customHeight="true" outlineLevel="0" collapsed="false">
      <c r="A13" s="23"/>
      <c r="B13" s="26" t="s">
        <v>36</v>
      </c>
      <c r="C13" s="27" t="s">
        <v>37</v>
      </c>
      <c r="D13" s="23"/>
      <c r="E13" s="2"/>
      <c r="F13" s="2"/>
      <c r="G13" s="2"/>
      <c r="H13" s="2"/>
    </row>
    <row r="14" customFormat="false" ht="15" hidden="false" customHeight="true" outlineLevel="0" collapsed="false">
      <c r="A14" s="23"/>
      <c r="B14" s="26" t="s">
        <v>38</v>
      </c>
      <c r="C14" s="28" t="n">
        <v>10</v>
      </c>
      <c r="D14" s="23"/>
      <c r="E14" s="2"/>
      <c r="F14" s="2"/>
      <c r="G14" s="2"/>
      <c r="H14" s="2"/>
    </row>
    <row r="15" customFormat="false" ht="7.5" hidden="false" customHeight="true" outlineLevel="0" collapsed="false">
      <c r="A15" s="23"/>
      <c r="B15" s="23"/>
      <c r="C15" s="23"/>
      <c r="D15" s="23"/>
      <c r="E15" s="2"/>
      <c r="F15" s="2"/>
      <c r="G15" s="2"/>
      <c r="H15" s="2"/>
    </row>
    <row r="16" customFormat="false" ht="27.75" hidden="false" customHeight="true" outlineLevel="0" collapsed="false">
      <c r="A16" s="24"/>
      <c r="B16" s="25" t="s">
        <v>39</v>
      </c>
      <c r="C16" s="25"/>
      <c r="D16" s="25"/>
      <c r="E16" s="25"/>
      <c r="F16" s="25"/>
      <c r="G16" s="25"/>
      <c r="H16" s="25"/>
    </row>
    <row r="17" customFormat="false" ht="15" hidden="false" customHeight="true" outlineLevel="0" collapsed="false">
      <c r="A17" s="23"/>
      <c r="B17" s="26" t="s">
        <v>7</v>
      </c>
      <c r="C17" s="30" t="n">
        <v>2500000</v>
      </c>
      <c r="D17" s="23"/>
      <c r="E17" s="2"/>
      <c r="F17" s="2"/>
      <c r="G17" s="2"/>
      <c r="H17" s="2"/>
    </row>
    <row r="18" customFormat="false" ht="15" hidden="false" customHeight="true" outlineLevel="0" collapsed="false">
      <c r="A18" s="23"/>
      <c r="B18" s="26" t="s">
        <v>40</v>
      </c>
      <c r="C18" s="31" t="n">
        <v>0.04278</v>
      </c>
      <c r="D18" s="23"/>
      <c r="E18" s="2"/>
      <c r="F18" s="2"/>
      <c r="G18" s="2"/>
      <c r="H18" s="2"/>
    </row>
    <row r="19" customFormat="false" ht="15" hidden="false" customHeight="true" outlineLevel="0" collapsed="false">
      <c r="A19" s="23"/>
      <c r="B19" s="26" t="s">
        <v>41</v>
      </c>
      <c r="C19" s="32" t="n">
        <f aca="false">C17*C18</f>
        <v>106950</v>
      </c>
      <c r="D19" s="23"/>
      <c r="E19" s="2"/>
      <c r="F19" s="2"/>
      <c r="G19" s="2"/>
      <c r="H19" s="2"/>
    </row>
    <row r="20" customFormat="false" ht="15" hidden="false" customHeight="true" outlineLevel="0" collapsed="false">
      <c r="A20" s="23"/>
      <c r="B20" s="26" t="s">
        <v>42</v>
      </c>
      <c r="C20" s="30" t="n">
        <v>75000</v>
      </c>
      <c r="D20" s="23"/>
      <c r="E20" s="2"/>
      <c r="F20" s="2"/>
      <c r="G20" s="2"/>
      <c r="H20" s="2"/>
    </row>
    <row r="21" customFormat="false" ht="15" hidden="false" customHeight="true" outlineLevel="0" collapsed="false">
      <c r="A21" s="23"/>
      <c r="B21" s="33" t="s">
        <v>43</v>
      </c>
      <c r="C21" s="34" t="n">
        <f aca="false">C17+C19+C20</f>
        <v>2681950</v>
      </c>
      <c r="D21" s="23"/>
      <c r="E21" s="2"/>
      <c r="F21" s="2"/>
      <c r="G21" s="2"/>
      <c r="H21" s="2"/>
    </row>
    <row r="22" customFormat="false" ht="15" hidden="false" customHeight="true" outlineLevel="0" collapsed="false">
      <c r="A22" s="23"/>
      <c r="B22" s="26" t="s">
        <v>8</v>
      </c>
      <c r="C22" s="35" t="n">
        <f aca="false">IF(C9&gt;0,C17/C9,0)</f>
        <v>125000</v>
      </c>
      <c r="D22" s="23"/>
      <c r="E22" s="2"/>
      <c r="F22" s="2"/>
      <c r="G22" s="2"/>
      <c r="H22" s="2"/>
    </row>
    <row r="23" customFormat="false" ht="15" hidden="false" customHeight="true" outlineLevel="0" collapsed="false">
      <c r="A23" s="23"/>
      <c r="B23" s="26" t="s">
        <v>44</v>
      </c>
      <c r="C23" s="36" t="n">
        <f aca="false">IF(C10&gt;0,C17/C10,0)</f>
        <v>138.888888888889</v>
      </c>
      <c r="D23" s="23"/>
      <c r="E23" s="2"/>
      <c r="F23" s="2"/>
      <c r="G23" s="2"/>
      <c r="H23" s="2"/>
    </row>
    <row r="24" customFormat="false" ht="7.5" hidden="false" customHeight="true" outlineLevel="0" collapsed="false">
      <c r="A24" s="23"/>
      <c r="B24" s="23"/>
      <c r="C24" s="23"/>
      <c r="D24" s="23"/>
      <c r="E24" s="2"/>
      <c r="F24" s="2"/>
      <c r="G24" s="2"/>
      <c r="H24" s="2"/>
    </row>
    <row r="25" customFormat="false" ht="27.75" hidden="false" customHeight="true" outlineLevel="0" collapsed="false">
      <c r="A25" s="24"/>
      <c r="B25" s="25" t="s">
        <v>45</v>
      </c>
      <c r="C25" s="25"/>
      <c r="D25" s="25"/>
      <c r="E25" s="25"/>
      <c r="F25" s="25"/>
      <c r="G25" s="25"/>
      <c r="H25" s="25"/>
    </row>
    <row r="26" customFormat="false" ht="15" hidden="false" customHeight="true" outlineLevel="0" collapsed="false">
      <c r="A26" s="23"/>
      <c r="B26" s="37" t="s">
        <v>46</v>
      </c>
      <c r="C26" s="23"/>
      <c r="D26" s="23"/>
      <c r="E26" s="2"/>
      <c r="F26" s="2"/>
      <c r="G26" s="2"/>
      <c r="H26" s="2"/>
    </row>
    <row r="27" customFormat="false" ht="15" hidden="false" customHeight="true" outlineLevel="0" collapsed="false">
      <c r="A27" s="23"/>
      <c r="B27" s="23"/>
      <c r="C27" s="23"/>
      <c r="D27" s="23"/>
      <c r="E27" s="2"/>
      <c r="F27" s="2"/>
      <c r="G27" s="2"/>
      <c r="H27" s="2"/>
    </row>
    <row r="28" customFormat="false" ht="21.75" hidden="false" customHeight="true" outlineLevel="0" collapsed="false">
      <c r="A28" s="23"/>
      <c r="B28" s="38" t="s">
        <v>47</v>
      </c>
      <c r="C28" s="38"/>
      <c r="D28" s="23"/>
      <c r="E28" s="2"/>
      <c r="F28" s="2"/>
      <c r="G28" s="2"/>
      <c r="H28" s="2"/>
    </row>
    <row r="29" customFormat="false" ht="15" hidden="false" customHeight="true" outlineLevel="0" collapsed="false">
      <c r="A29" s="23"/>
      <c r="B29" s="26" t="s">
        <v>48</v>
      </c>
      <c r="C29" s="32" t="n">
        <f aca="false">C17</f>
        <v>2500000</v>
      </c>
      <c r="D29" s="23"/>
      <c r="E29" s="2"/>
      <c r="F29" s="2"/>
      <c r="G29" s="2"/>
      <c r="H29" s="2"/>
    </row>
    <row r="30" customFormat="false" ht="15" hidden="false" customHeight="true" outlineLevel="0" collapsed="false">
      <c r="A30" s="23"/>
      <c r="B30" s="26" t="s">
        <v>49</v>
      </c>
      <c r="C30" s="32" t="n">
        <f aca="false">C19</f>
        <v>106950</v>
      </c>
      <c r="D30" s="23"/>
      <c r="E30" s="2"/>
      <c r="F30" s="2"/>
      <c r="G30" s="2"/>
      <c r="H30" s="2"/>
    </row>
    <row r="31" customFormat="false" ht="15" hidden="false" customHeight="true" outlineLevel="0" collapsed="false">
      <c r="A31" s="23"/>
      <c r="B31" s="26" t="s">
        <v>50</v>
      </c>
      <c r="C31" s="30" t="n">
        <v>0</v>
      </c>
      <c r="D31" s="23"/>
      <c r="E31" s="2"/>
      <c r="F31" s="2"/>
      <c r="G31" s="2"/>
      <c r="H31" s="2"/>
    </row>
    <row r="32" customFormat="false" ht="7.5" hidden="false" customHeight="true" outlineLevel="0" collapsed="false">
      <c r="A32" s="23"/>
      <c r="B32" s="23"/>
      <c r="C32" s="23"/>
      <c r="D32" s="23"/>
      <c r="E32" s="2"/>
      <c r="F32" s="2"/>
      <c r="G32" s="2"/>
      <c r="H32" s="2"/>
    </row>
    <row r="33" customFormat="false" ht="21.75" hidden="false" customHeight="true" outlineLevel="0" collapsed="false">
      <c r="A33" s="23"/>
      <c r="B33" s="39" t="s">
        <v>51</v>
      </c>
      <c r="C33" s="39"/>
      <c r="D33" s="23"/>
      <c r="E33" s="2"/>
      <c r="F33" s="2"/>
      <c r="G33" s="2"/>
      <c r="H33" s="2"/>
    </row>
    <row r="34" customFormat="false" ht="15" hidden="false" customHeight="true" outlineLevel="0" collapsed="false">
      <c r="A34" s="23"/>
      <c r="B34" s="26" t="s">
        <v>52</v>
      </c>
      <c r="C34" s="30" t="n">
        <v>25000</v>
      </c>
      <c r="D34" s="23"/>
      <c r="E34" s="2"/>
      <c r="F34" s="2"/>
      <c r="G34" s="2"/>
      <c r="H34" s="2"/>
    </row>
    <row r="35" customFormat="false" ht="15" hidden="false" customHeight="true" outlineLevel="0" collapsed="false">
      <c r="A35" s="23"/>
      <c r="B35" s="26" t="s">
        <v>53</v>
      </c>
      <c r="C35" s="30" t="n">
        <v>8000</v>
      </c>
      <c r="D35" s="23"/>
      <c r="E35" s="2"/>
      <c r="F35" s="2"/>
      <c r="G35" s="2"/>
      <c r="H35" s="2"/>
    </row>
    <row r="36" customFormat="false" ht="15" hidden="false" customHeight="true" outlineLevel="0" collapsed="false">
      <c r="A36" s="23"/>
      <c r="B36" s="26" t="s">
        <v>54</v>
      </c>
      <c r="C36" s="30" t="n">
        <v>5000</v>
      </c>
      <c r="D36" s="23"/>
      <c r="E36" s="2"/>
      <c r="F36" s="2"/>
      <c r="G36" s="2"/>
      <c r="H36" s="2"/>
    </row>
    <row r="37" customFormat="false" ht="15" hidden="false" customHeight="true" outlineLevel="0" collapsed="false">
      <c r="A37" s="23"/>
      <c r="B37" s="26" t="s">
        <v>55</v>
      </c>
      <c r="C37" s="30" t="n">
        <v>5000</v>
      </c>
      <c r="D37" s="23"/>
      <c r="E37" s="2"/>
      <c r="F37" s="2"/>
      <c r="G37" s="2"/>
      <c r="H37" s="2"/>
    </row>
    <row r="38" customFormat="false" ht="15" hidden="false" customHeight="true" outlineLevel="0" collapsed="false">
      <c r="A38" s="23"/>
      <c r="B38" s="26" t="s">
        <v>56</v>
      </c>
      <c r="C38" s="30" t="n">
        <v>6000</v>
      </c>
      <c r="D38" s="23"/>
      <c r="E38" s="2"/>
      <c r="F38" s="2"/>
      <c r="G38" s="2"/>
      <c r="H38" s="2"/>
    </row>
    <row r="39" customFormat="false" ht="15" hidden="false" customHeight="true" outlineLevel="0" collapsed="false">
      <c r="A39" s="23"/>
      <c r="B39" s="26" t="s">
        <v>57</v>
      </c>
      <c r="C39" s="30" t="n">
        <v>0</v>
      </c>
      <c r="D39" s="23"/>
      <c r="E39" s="2"/>
      <c r="F39" s="2"/>
      <c r="G39" s="2"/>
      <c r="H39" s="2"/>
    </row>
    <row r="40" customFormat="false" ht="15" hidden="false" customHeight="true" outlineLevel="0" collapsed="false">
      <c r="A40" s="23"/>
      <c r="B40" s="26" t="s">
        <v>58</v>
      </c>
      <c r="C40" s="30" t="n">
        <v>0</v>
      </c>
      <c r="D40" s="23"/>
      <c r="E40" s="2"/>
      <c r="F40" s="2"/>
      <c r="G40" s="2"/>
      <c r="H40" s="2"/>
    </row>
    <row r="41" customFormat="false" ht="15" hidden="false" customHeight="true" outlineLevel="0" collapsed="false">
      <c r="A41" s="23"/>
      <c r="B41" s="26" t="s">
        <v>59</v>
      </c>
      <c r="C41" s="30" t="n">
        <v>0</v>
      </c>
      <c r="D41" s="23"/>
      <c r="E41" s="2"/>
      <c r="F41" s="2"/>
      <c r="G41" s="2"/>
      <c r="H41" s="2"/>
    </row>
    <row r="42" customFormat="false" ht="15" hidden="false" customHeight="true" outlineLevel="0" collapsed="false">
      <c r="A42" s="23"/>
      <c r="B42" s="26" t="s">
        <v>60</v>
      </c>
      <c r="C42" s="30" t="n">
        <v>3500</v>
      </c>
      <c r="D42" s="23"/>
      <c r="E42" s="2"/>
      <c r="F42" s="2"/>
      <c r="G42" s="2"/>
      <c r="H42" s="2"/>
    </row>
    <row r="43" customFormat="false" ht="15" hidden="false" customHeight="true" outlineLevel="0" collapsed="false">
      <c r="A43" s="23"/>
      <c r="B43" s="26" t="s">
        <v>61</v>
      </c>
      <c r="C43" s="30" t="n">
        <v>0</v>
      </c>
      <c r="D43" s="23"/>
      <c r="E43" s="2"/>
      <c r="F43" s="2"/>
      <c r="G43" s="2"/>
      <c r="H43" s="2"/>
    </row>
    <row r="44" customFormat="false" ht="15" hidden="false" customHeight="true" outlineLevel="0" collapsed="false">
      <c r="A44" s="23"/>
      <c r="B44" s="26" t="s">
        <v>62</v>
      </c>
      <c r="C44" s="30" t="n">
        <v>0</v>
      </c>
      <c r="D44" s="23"/>
      <c r="E44" s="2"/>
      <c r="F44" s="2"/>
      <c r="G44" s="2"/>
      <c r="H44" s="2"/>
    </row>
    <row r="45" customFormat="false" ht="15" hidden="false" customHeight="true" outlineLevel="0" collapsed="false">
      <c r="A45" s="23"/>
      <c r="B45" s="26" t="s">
        <v>63</v>
      </c>
      <c r="C45" s="30" t="n">
        <v>0</v>
      </c>
      <c r="D45" s="23"/>
      <c r="E45" s="2"/>
      <c r="F45" s="2"/>
      <c r="G45" s="2"/>
      <c r="H45" s="2"/>
    </row>
    <row r="46" customFormat="false" ht="7.5" hidden="false" customHeight="true" outlineLevel="0" collapsed="false">
      <c r="A46" s="23"/>
      <c r="B46" s="23"/>
      <c r="C46" s="23"/>
      <c r="D46" s="23"/>
      <c r="E46" s="2"/>
      <c r="F46" s="2"/>
      <c r="G46" s="2"/>
      <c r="H46" s="2"/>
    </row>
    <row r="47" customFormat="false" ht="21.75" hidden="false" customHeight="true" outlineLevel="0" collapsed="false">
      <c r="A47" s="23"/>
      <c r="B47" s="40" t="s">
        <v>64</v>
      </c>
      <c r="C47" s="40"/>
      <c r="D47" s="23"/>
      <c r="E47" s="2"/>
      <c r="F47" s="2"/>
      <c r="G47" s="2"/>
      <c r="H47" s="2"/>
    </row>
    <row r="48" customFormat="false" ht="15" hidden="false" customHeight="true" outlineLevel="0" collapsed="false">
      <c r="A48" s="23"/>
      <c r="B48" s="26" t="s">
        <v>65</v>
      </c>
      <c r="C48" s="30" t="n">
        <v>25000</v>
      </c>
      <c r="D48" s="23"/>
      <c r="E48" s="2"/>
      <c r="F48" s="2"/>
      <c r="G48" s="2"/>
      <c r="H48" s="2"/>
    </row>
    <row r="49" customFormat="false" ht="15" hidden="false" customHeight="true" outlineLevel="0" collapsed="false">
      <c r="A49" s="23"/>
      <c r="B49" s="26" t="s">
        <v>66</v>
      </c>
      <c r="C49" s="30" t="n">
        <v>0</v>
      </c>
      <c r="D49" s="23"/>
      <c r="E49" s="2"/>
      <c r="F49" s="2"/>
      <c r="G49" s="2"/>
      <c r="H49" s="2"/>
    </row>
    <row r="50" customFormat="false" ht="15" hidden="false" customHeight="true" outlineLevel="0" collapsed="false">
      <c r="A50" s="23"/>
      <c r="B50" s="26" t="s">
        <v>67</v>
      </c>
      <c r="C50" s="32" t="n">
        <f aca="false">C71*C75</f>
        <v>17500</v>
      </c>
      <c r="D50" s="23"/>
      <c r="E50" s="2"/>
      <c r="F50" s="2"/>
      <c r="G50" s="2"/>
      <c r="H50" s="2"/>
    </row>
    <row r="51" customFormat="false" ht="15" hidden="false" customHeight="true" outlineLevel="0" collapsed="false">
      <c r="A51" s="23"/>
      <c r="B51" s="26" t="s">
        <v>68</v>
      </c>
      <c r="C51" s="30" t="n">
        <v>0</v>
      </c>
      <c r="D51" s="23"/>
      <c r="E51" s="2"/>
      <c r="F51" s="2"/>
      <c r="G51" s="2"/>
      <c r="H51" s="2"/>
    </row>
    <row r="52" customFormat="false" ht="7.5" hidden="false" customHeight="true" outlineLevel="0" collapsed="false">
      <c r="A52" s="23"/>
      <c r="B52" s="23"/>
      <c r="C52" s="23"/>
      <c r="D52" s="23"/>
      <c r="E52" s="2"/>
      <c r="F52" s="2"/>
      <c r="G52" s="2"/>
      <c r="H52" s="2"/>
    </row>
    <row r="53" customFormat="false" ht="21.75" hidden="false" customHeight="true" outlineLevel="0" collapsed="false">
      <c r="A53" s="23"/>
      <c r="B53" s="41" t="s">
        <v>69</v>
      </c>
      <c r="C53" s="41"/>
      <c r="D53" s="23"/>
      <c r="E53" s="2"/>
      <c r="F53" s="2"/>
      <c r="G53" s="2"/>
      <c r="H53" s="2"/>
    </row>
    <row r="54" customFormat="false" ht="15" hidden="false" customHeight="true" outlineLevel="0" collapsed="false">
      <c r="A54" s="23"/>
      <c r="B54" s="26" t="s">
        <v>70</v>
      </c>
      <c r="C54" s="30" t="n">
        <v>15000</v>
      </c>
      <c r="D54" s="23"/>
      <c r="E54" s="2"/>
      <c r="F54" s="2"/>
      <c r="G54" s="2"/>
      <c r="H54" s="2"/>
    </row>
    <row r="55" customFormat="false" ht="15" hidden="false" customHeight="true" outlineLevel="0" collapsed="false">
      <c r="A55" s="23"/>
      <c r="B55" s="26" t="s">
        <v>71</v>
      </c>
      <c r="C55" s="30" t="n">
        <v>5000</v>
      </c>
      <c r="D55" s="23"/>
      <c r="E55" s="2"/>
      <c r="F55" s="2"/>
      <c r="G55" s="2"/>
      <c r="H55" s="2"/>
    </row>
    <row r="56" customFormat="false" ht="15" hidden="false" customHeight="true" outlineLevel="0" collapsed="false">
      <c r="A56" s="23"/>
      <c r="B56" s="26" t="s">
        <v>72</v>
      </c>
      <c r="C56" s="30" t="n">
        <v>0</v>
      </c>
      <c r="D56" s="23"/>
      <c r="E56" s="2"/>
      <c r="F56" s="2"/>
      <c r="G56" s="2"/>
      <c r="H56" s="2"/>
    </row>
    <row r="57" customFormat="false" ht="15" hidden="false" customHeight="true" outlineLevel="0" collapsed="false">
      <c r="A57" s="23"/>
      <c r="B57" s="26" t="s">
        <v>73</v>
      </c>
      <c r="C57" s="30" t="n">
        <v>0</v>
      </c>
      <c r="D57" s="23"/>
      <c r="E57" s="2"/>
      <c r="F57" s="2"/>
      <c r="G57" s="2"/>
      <c r="H57" s="2"/>
    </row>
    <row r="58" customFormat="false" ht="15" hidden="false" customHeight="true" outlineLevel="0" collapsed="false">
      <c r="A58" s="23"/>
      <c r="B58" s="26" t="s">
        <v>74</v>
      </c>
      <c r="C58" s="30" t="n">
        <v>0</v>
      </c>
      <c r="D58" s="23"/>
      <c r="E58" s="2"/>
      <c r="F58" s="2"/>
      <c r="G58" s="2"/>
      <c r="H58" s="2"/>
    </row>
    <row r="59" customFormat="false" ht="15" hidden="false" customHeight="true" outlineLevel="0" collapsed="false">
      <c r="A59" s="23"/>
      <c r="B59" s="26" t="s">
        <v>75</v>
      </c>
      <c r="C59" s="30" t="n">
        <v>0</v>
      </c>
      <c r="D59" s="23"/>
      <c r="E59" s="2"/>
      <c r="F59" s="2"/>
      <c r="G59" s="2"/>
      <c r="H59" s="2"/>
    </row>
    <row r="60" customFormat="false" ht="15" hidden="false" customHeight="true" outlineLevel="0" collapsed="false">
      <c r="A60" s="23"/>
      <c r="B60" s="26" t="s">
        <v>76</v>
      </c>
      <c r="C60" s="30" t="n">
        <v>0</v>
      </c>
      <c r="D60" s="23"/>
      <c r="E60" s="2"/>
      <c r="F60" s="2"/>
      <c r="G60" s="2"/>
      <c r="H60" s="2"/>
    </row>
    <row r="61" customFormat="false" ht="7.5" hidden="false" customHeight="true" outlineLevel="0" collapsed="false">
      <c r="A61" s="23"/>
      <c r="B61" s="23"/>
      <c r="C61" s="23"/>
      <c r="D61" s="23"/>
      <c r="E61" s="2"/>
      <c r="F61" s="2"/>
      <c r="G61" s="2"/>
      <c r="H61" s="2"/>
    </row>
    <row r="62" customFormat="false" ht="21.75" hidden="false" customHeight="true" outlineLevel="0" collapsed="false">
      <c r="A62" s="23"/>
      <c r="B62" s="42" t="s">
        <v>77</v>
      </c>
      <c r="C62" s="42"/>
      <c r="D62" s="23"/>
      <c r="E62" s="2"/>
      <c r="F62" s="2"/>
      <c r="G62" s="2"/>
      <c r="H62" s="2"/>
    </row>
    <row r="63" customFormat="false" ht="15" hidden="false" customHeight="true" outlineLevel="0" collapsed="false">
      <c r="A63" s="23"/>
      <c r="B63" s="26" t="s">
        <v>78</v>
      </c>
      <c r="C63" s="30" t="n">
        <v>0</v>
      </c>
      <c r="D63" s="23"/>
      <c r="E63" s="2"/>
      <c r="F63" s="2"/>
      <c r="G63" s="2"/>
      <c r="H63" s="2"/>
    </row>
    <row r="64" customFormat="false" ht="15" hidden="false" customHeight="true" outlineLevel="0" collapsed="false">
      <c r="A64" s="23"/>
      <c r="B64" s="26" t="s">
        <v>79</v>
      </c>
      <c r="C64" s="30" t="n">
        <v>0</v>
      </c>
      <c r="D64" s="23"/>
      <c r="E64" s="2"/>
      <c r="F64" s="2"/>
      <c r="G64" s="2"/>
      <c r="H64" s="2"/>
    </row>
    <row r="65" customFormat="false" ht="15" hidden="false" customHeight="true" outlineLevel="0" collapsed="false">
      <c r="A65" s="23"/>
      <c r="B65" s="26" t="s">
        <v>80</v>
      </c>
      <c r="C65" s="30" t="n">
        <v>0</v>
      </c>
      <c r="D65" s="23"/>
      <c r="E65" s="2"/>
      <c r="F65" s="2"/>
      <c r="G65" s="2"/>
      <c r="H65" s="2"/>
    </row>
    <row r="66" customFormat="false" ht="15" hidden="false" customHeight="true" outlineLevel="0" collapsed="false">
      <c r="A66" s="23"/>
      <c r="B66" s="26" t="s">
        <v>81</v>
      </c>
      <c r="C66" s="30" t="n">
        <v>0</v>
      </c>
      <c r="D66" s="23"/>
      <c r="E66" s="2"/>
      <c r="F66" s="2"/>
      <c r="G66" s="2"/>
      <c r="H66" s="2"/>
    </row>
    <row r="67" customFormat="false" ht="15" hidden="false" customHeight="true" outlineLevel="0" collapsed="false">
      <c r="A67" s="23"/>
      <c r="B67" s="26" t="s">
        <v>82</v>
      </c>
      <c r="C67" s="30" t="n">
        <v>0</v>
      </c>
      <c r="D67" s="23"/>
      <c r="E67" s="2"/>
      <c r="F67" s="2"/>
      <c r="G67" s="2"/>
      <c r="H67" s="2"/>
    </row>
    <row r="68" customFormat="false" ht="7.5" hidden="false" customHeight="true" outlineLevel="0" collapsed="false">
      <c r="A68" s="23"/>
      <c r="B68" s="23"/>
      <c r="C68" s="23"/>
      <c r="D68" s="23"/>
      <c r="E68" s="2"/>
      <c r="F68" s="2"/>
      <c r="G68" s="2"/>
      <c r="H68" s="2"/>
    </row>
    <row r="69" customFormat="false" ht="27.75" hidden="false" customHeight="true" outlineLevel="0" collapsed="false">
      <c r="A69" s="24"/>
      <c r="B69" s="25" t="s">
        <v>83</v>
      </c>
      <c r="C69" s="25"/>
      <c r="D69" s="25"/>
      <c r="E69" s="25"/>
      <c r="F69" s="25"/>
      <c r="G69" s="25"/>
      <c r="H69" s="25"/>
    </row>
    <row r="70" customFormat="false" ht="15" hidden="false" customHeight="true" outlineLevel="0" collapsed="false">
      <c r="A70" s="23"/>
      <c r="B70" s="26" t="s">
        <v>84</v>
      </c>
      <c r="C70" s="43" t="n">
        <v>0.7</v>
      </c>
      <c r="D70" s="23"/>
      <c r="E70" s="2"/>
      <c r="F70" s="2"/>
      <c r="G70" s="2"/>
      <c r="H70" s="2"/>
    </row>
    <row r="71" customFormat="false" ht="15" hidden="false" customHeight="true" outlineLevel="0" collapsed="false">
      <c r="A71" s="23"/>
      <c r="B71" s="26" t="s">
        <v>85</v>
      </c>
      <c r="C71" s="32" t="n">
        <f aca="false">C17*C70</f>
        <v>1750000</v>
      </c>
      <c r="D71" s="23"/>
      <c r="E71" s="2"/>
      <c r="F71" s="2"/>
      <c r="G71" s="2"/>
      <c r="H71" s="2"/>
    </row>
    <row r="72" customFormat="false" ht="15" hidden="false" customHeight="true" outlineLevel="0" collapsed="false">
      <c r="A72" s="23"/>
      <c r="B72" s="26" t="s">
        <v>86</v>
      </c>
      <c r="C72" s="31" t="n">
        <v>0.065</v>
      </c>
      <c r="D72" s="23"/>
      <c r="E72" s="2"/>
      <c r="F72" s="2"/>
      <c r="G72" s="2"/>
      <c r="H72" s="2"/>
    </row>
    <row r="73" customFormat="false" ht="15" hidden="false" customHeight="true" outlineLevel="0" collapsed="false">
      <c r="A73" s="23"/>
      <c r="B73" s="26" t="s">
        <v>87</v>
      </c>
      <c r="C73" s="28" t="n">
        <v>30</v>
      </c>
      <c r="D73" s="23"/>
      <c r="E73" s="2"/>
      <c r="F73" s="2"/>
      <c r="G73" s="2"/>
      <c r="H73" s="2"/>
    </row>
    <row r="74" customFormat="false" ht="15" hidden="false" customHeight="true" outlineLevel="0" collapsed="false">
      <c r="A74" s="23"/>
      <c r="B74" s="26" t="s">
        <v>88</v>
      </c>
      <c r="C74" s="28" t="n">
        <v>10</v>
      </c>
      <c r="D74" s="23"/>
      <c r="E74" s="2"/>
      <c r="F74" s="2"/>
      <c r="G74" s="2"/>
      <c r="H74" s="2"/>
    </row>
    <row r="75" customFormat="false" ht="15" hidden="false" customHeight="true" outlineLevel="0" collapsed="false">
      <c r="A75" s="23"/>
      <c r="B75" s="26" t="s">
        <v>89</v>
      </c>
      <c r="C75" s="43" t="n">
        <v>0.01</v>
      </c>
      <c r="D75" s="23"/>
      <c r="E75" s="2"/>
      <c r="F75" s="2"/>
      <c r="G75" s="2"/>
      <c r="H75" s="2"/>
    </row>
    <row r="76" customFormat="false" ht="15" hidden="false" customHeight="true" outlineLevel="0" collapsed="false">
      <c r="A76" s="23"/>
      <c r="B76" s="26" t="s">
        <v>90</v>
      </c>
      <c r="C76" s="32" t="n">
        <f aca="false">C71*C75</f>
        <v>17500</v>
      </c>
      <c r="D76" s="23"/>
      <c r="E76" s="2"/>
      <c r="F76" s="2"/>
      <c r="G76" s="2"/>
      <c r="H76" s="2"/>
    </row>
    <row r="77" customFormat="false" ht="15" hidden="false" customHeight="true" outlineLevel="0" collapsed="false">
      <c r="A77" s="23"/>
      <c r="B77" s="26" t="s">
        <v>91</v>
      </c>
      <c r="C77" s="28" t="n">
        <v>0</v>
      </c>
      <c r="D77" s="23"/>
      <c r="E77" s="2"/>
      <c r="F77" s="2"/>
      <c r="G77" s="2"/>
      <c r="H77" s="2"/>
    </row>
    <row r="78" customFormat="false" ht="15" hidden="false" customHeight="true" outlineLevel="0" collapsed="false">
      <c r="A78" s="23"/>
      <c r="B78" s="26" t="s">
        <v>92</v>
      </c>
      <c r="C78" s="36" t="n">
        <f aca="false">IF(C73&gt;0,PMT(C72/12,C73*12,-C71),C71*C72/12)</f>
        <v>11061.1904111269</v>
      </c>
      <c r="D78" s="23"/>
      <c r="E78" s="2"/>
      <c r="F78" s="2"/>
      <c r="G78" s="2"/>
      <c r="H78" s="2"/>
    </row>
    <row r="79" customFormat="false" ht="15" hidden="false" customHeight="true" outlineLevel="0" collapsed="false">
      <c r="A79" s="23"/>
      <c r="B79" s="26" t="s">
        <v>93</v>
      </c>
      <c r="C79" s="35" t="n">
        <f aca="false">C78*12</f>
        <v>132734.284933522</v>
      </c>
      <c r="D79" s="23"/>
      <c r="E79" s="2"/>
      <c r="F79" s="2"/>
      <c r="G79" s="2"/>
      <c r="H79" s="2"/>
    </row>
    <row r="80" customFormat="false" ht="7.5" hidden="false" customHeight="true" outlineLevel="0" collapsed="false">
      <c r="A80" s="23"/>
      <c r="B80" s="23"/>
      <c r="C80" s="23"/>
      <c r="D80" s="23"/>
      <c r="E80" s="2"/>
      <c r="F80" s="2"/>
      <c r="G80" s="2"/>
      <c r="H80" s="2"/>
    </row>
    <row r="81" customFormat="false" ht="21.75" hidden="false" customHeight="true" outlineLevel="0" collapsed="false">
      <c r="A81" s="23"/>
      <c r="B81" s="38" t="s">
        <v>94</v>
      </c>
      <c r="C81" s="38"/>
      <c r="D81" s="23"/>
      <c r="E81" s="2"/>
      <c r="F81" s="2"/>
      <c r="G81" s="2"/>
      <c r="H81" s="2"/>
    </row>
    <row r="82" customFormat="false" ht="15" hidden="false" customHeight="true" outlineLevel="0" collapsed="false">
      <c r="A82" s="23"/>
      <c r="B82" s="26" t="s">
        <v>95</v>
      </c>
      <c r="C82" s="32" t="n">
        <f aca="false">C71</f>
        <v>1750000</v>
      </c>
      <c r="D82" s="23"/>
      <c r="E82" s="2"/>
      <c r="F82" s="2"/>
      <c r="G82" s="2"/>
      <c r="H82" s="2"/>
    </row>
    <row r="83" customFormat="false" ht="15" hidden="false" customHeight="true" outlineLevel="0" collapsed="false">
      <c r="A83" s="23"/>
      <c r="B83" s="26" t="s">
        <v>96</v>
      </c>
      <c r="C83" s="30" t="n">
        <v>0</v>
      </c>
      <c r="D83" s="23"/>
      <c r="E83" s="2"/>
      <c r="F83" s="2"/>
      <c r="G83" s="2"/>
      <c r="H83" s="2"/>
    </row>
    <row r="84" customFormat="false" ht="15" hidden="false" customHeight="true" outlineLevel="0" collapsed="false">
      <c r="A84" s="23"/>
      <c r="B84" s="26" t="s">
        <v>97</v>
      </c>
      <c r="C84" s="30" t="n">
        <v>0</v>
      </c>
      <c r="D84" s="23"/>
      <c r="E84" s="2"/>
      <c r="F84" s="2"/>
      <c r="G84" s="2"/>
      <c r="H84" s="2"/>
    </row>
    <row r="85" customFormat="false" ht="15" hidden="false" customHeight="true" outlineLevel="0" collapsed="false">
      <c r="A85" s="23"/>
      <c r="B85" s="26" t="s">
        <v>98</v>
      </c>
      <c r="C85" s="30" t="n">
        <v>0</v>
      </c>
      <c r="D85" s="23"/>
      <c r="E85" s="2"/>
      <c r="F85" s="2"/>
      <c r="G85" s="2"/>
      <c r="H85" s="2"/>
    </row>
    <row r="86" customFormat="false" ht="15" hidden="false" customHeight="true" outlineLevel="0" collapsed="false">
      <c r="A86" s="23"/>
      <c r="B86" s="26" t="s">
        <v>99</v>
      </c>
      <c r="C86" s="30" t="n">
        <v>0</v>
      </c>
      <c r="D86" s="23"/>
      <c r="E86" s="2"/>
      <c r="F86" s="2"/>
      <c r="G86" s="2"/>
      <c r="H86" s="2"/>
    </row>
    <row r="87" customFormat="false" ht="15" hidden="false" customHeight="true" outlineLevel="0" collapsed="false">
      <c r="A87" s="23"/>
      <c r="B87" s="26" t="s">
        <v>100</v>
      </c>
      <c r="C87" s="30" t="n">
        <v>0</v>
      </c>
      <c r="D87" s="23"/>
      <c r="E87" s="2"/>
      <c r="F87" s="2"/>
      <c r="G87" s="2"/>
      <c r="H87" s="2"/>
    </row>
    <row r="88" customFormat="false" ht="7.5" hidden="false" customHeight="true" outlineLevel="0" collapsed="false">
      <c r="A88" s="23"/>
      <c r="B88" s="23"/>
      <c r="C88" s="23"/>
      <c r="D88" s="23"/>
      <c r="E88" s="2"/>
      <c r="F88" s="2"/>
      <c r="G88" s="2"/>
      <c r="H88" s="2"/>
    </row>
    <row r="89" customFormat="false" ht="15" hidden="false" customHeight="true" outlineLevel="0" collapsed="false">
      <c r="A89" s="23"/>
      <c r="B89" s="33" t="s">
        <v>101</v>
      </c>
      <c r="C89" s="34" t="n">
        <f aca="false">SUM(C29:C31)+SUM(C34:C45)+SUM(C48:C51)+SUM(C54:C60)+SUM(C63:C67)</f>
        <v>2721950</v>
      </c>
      <c r="D89" s="23"/>
      <c r="E89" s="2"/>
      <c r="F89" s="2"/>
      <c r="G89" s="2"/>
      <c r="H89" s="2"/>
    </row>
    <row r="90" customFormat="false" ht="15" hidden="false" customHeight="true" outlineLevel="0" collapsed="false">
      <c r="A90" s="23"/>
      <c r="B90" s="33" t="s">
        <v>102</v>
      </c>
      <c r="C90" s="34" t="n">
        <f aca="false">SUM(C82:C87)</f>
        <v>1750000</v>
      </c>
      <c r="D90" s="23"/>
      <c r="E90" s="2"/>
      <c r="F90" s="2"/>
      <c r="G90" s="2"/>
      <c r="H90" s="2"/>
    </row>
    <row r="91" customFormat="false" ht="15" hidden="false" customHeight="true" outlineLevel="0" collapsed="false">
      <c r="A91" s="23"/>
      <c r="B91" s="44" t="s">
        <v>103</v>
      </c>
      <c r="C91" s="45" t="n">
        <f aca="false">C89-C82-C83</f>
        <v>971950</v>
      </c>
      <c r="D91" s="23"/>
      <c r="E91" s="2"/>
      <c r="F91" s="2"/>
      <c r="G91" s="2"/>
      <c r="H91" s="2"/>
    </row>
    <row r="92" customFormat="false" ht="15" hidden="false" customHeight="true" outlineLevel="0" collapsed="false">
      <c r="A92" s="23"/>
      <c r="B92" s="46" t="s">
        <v>104</v>
      </c>
      <c r="C92" s="47" t="n">
        <f aca="false">C90-C89</f>
        <v>-971950</v>
      </c>
      <c r="D92" s="23"/>
      <c r="E92" s="2"/>
      <c r="F92" s="2"/>
      <c r="G92" s="2"/>
      <c r="H92" s="2"/>
    </row>
    <row r="93" customFormat="false" ht="7.5" hidden="false" customHeight="true" outlineLevel="0" collapsed="false">
      <c r="A93" s="23"/>
      <c r="B93" s="23"/>
      <c r="C93" s="23"/>
      <c r="D93" s="23"/>
      <c r="E93" s="2"/>
      <c r="F93" s="2"/>
      <c r="G93" s="2"/>
      <c r="H93" s="2"/>
    </row>
    <row r="94" customFormat="false" ht="27.75" hidden="false" customHeight="true" outlineLevel="0" collapsed="false">
      <c r="A94" s="24"/>
      <c r="B94" s="25" t="s">
        <v>105</v>
      </c>
      <c r="C94" s="25"/>
      <c r="D94" s="25"/>
      <c r="E94" s="25"/>
      <c r="F94" s="25"/>
      <c r="G94" s="25"/>
      <c r="H94" s="25"/>
    </row>
    <row r="95" customFormat="false" ht="15" hidden="false" customHeight="true" outlineLevel="0" collapsed="false">
      <c r="A95" s="23"/>
      <c r="B95" s="26" t="s">
        <v>106</v>
      </c>
      <c r="C95" s="28" t="n">
        <v>0</v>
      </c>
      <c r="D95" s="23"/>
      <c r="E95" s="2"/>
      <c r="F95" s="2"/>
      <c r="G95" s="2"/>
      <c r="H95" s="37" t="s">
        <v>107</v>
      </c>
    </row>
    <row r="96" customFormat="false" ht="15" hidden="false" customHeight="true" outlineLevel="0" collapsed="false">
      <c r="A96" s="23"/>
      <c r="B96" s="26" t="s">
        <v>108</v>
      </c>
      <c r="C96" s="28" t="n">
        <v>5</v>
      </c>
      <c r="D96" s="23"/>
      <c r="E96" s="2"/>
      <c r="F96" s="2"/>
      <c r="G96" s="2"/>
      <c r="H96" s="2"/>
    </row>
    <row r="97" customFormat="false" ht="15" hidden="false" customHeight="true" outlineLevel="0" collapsed="false">
      <c r="A97" s="23"/>
      <c r="B97" s="26" t="s">
        <v>109</v>
      </c>
      <c r="C97" s="30" t="n">
        <v>3200000</v>
      </c>
      <c r="D97" s="23"/>
      <c r="E97" s="2"/>
      <c r="F97" s="2"/>
      <c r="G97" s="2"/>
      <c r="H97" s="2"/>
    </row>
    <row r="98" customFormat="false" ht="15" hidden="false" customHeight="true" outlineLevel="0" collapsed="false">
      <c r="A98" s="23"/>
      <c r="B98" s="26" t="s">
        <v>110</v>
      </c>
      <c r="C98" s="43" t="n">
        <v>0.7</v>
      </c>
      <c r="D98" s="23"/>
      <c r="E98" s="2"/>
      <c r="F98" s="2"/>
      <c r="G98" s="2"/>
      <c r="H98" s="2"/>
    </row>
    <row r="99" customFormat="false" ht="15" hidden="false" customHeight="true" outlineLevel="0" collapsed="false">
      <c r="A99" s="23"/>
      <c r="B99" s="26" t="s">
        <v>111</v>
      </c>
      <c r="C99" s="32" t="n">
        <f aca="false">C97*C98</f>
        <v>2240000</v>
      </c>
      <c r="D99" s="23"/>
      <c r="E99" s="2"/>
      <c r="F99" s="2"/>
      <c r="G99" s="2"/>
      <c r="H99" s="2"/>
    </row>
    <row r="100" customFormat="false" ht="15" hidden="false" customHeight="true" outlineLevel="0" collapsed="false">
      <c r="A100" s="23"/>
      <c r="B100" s="26" t="s">
        <v>112</v>
      </c>
      <c r="C100" s="31" t="n">
        <v>0.06</v>
      </c>
      <c r="D100" s="23"/>
      <c r="E100" s="2"/>
      <c r="F100" s="2"/>
      <c r="G100" s="2"/>
      <c r="H100" s="2"/>
    </row>
    <row r="101" customFormat="false" ht="15" hidden="false" customHeight="true" outlineLevel="0" collapsed="false">
      <c r="A101" s="23"/>
      <c r="B101" s="26" t="s">
        <v>113</v>
      </c>
      <c r="C101" s="28" t="n">
        <v>30</v>
      </c>
      <c r="D101" s="23"/>
      <c r="E101" s="2"/>
      <c r="F101" s="2"/>
      <c r="G101" s="2"/>
      <c r="H101" s="2"/>
    </row>
    <row r="102" customFormat="false" ht="15" hidden="false" customHeight="true" outlineLevel="0" collapsed="false">
      <c r="A102" s="23"/>
      <c r="B102" s="26" t="s">
        <v>114</v>
      </c>
      <c r="C102" s="28" t="n">
        <v>10</v>
      </c>
      <c r="D102" s="23"/>
      <c r="E102" s="2"/>
      <c r="F102" s="2"/>
      <c r="G102" s="2"/>
      <c r="H102" s="2"/>
    </row>
    <row r="103" customFormat="false" ht="15" hidden="false" customHeight="true" outlineLevel="0" collapsed="false">
      <c r="A103" s="23"/>
      <c r="B103" s="26" t="s">
        <v>115</v>
      </c>
      <c r="C103" s="43" t="n">
        <v>0.01</v>
      </c>
      <c r="D103" s="23"/>
      <c r="E103" s="2"/>
      <c r="F103" s="2"/>
      <c r="G103" s="2"/>
      <c r="H103" s="2"/>
    </row>
    <row r="104" customFormat="false" ht="15" hidden="false" customHeight="true" outlineLevel="0" collapsed="false">
      <c r="A104" s="23"/>
      <c r="B104" s="26" t="s">
        <v>116</v>
      </c>
      <c r="C104" s="43" t="n">
        <v>0.01</v>
      </c>
      <c r="D104" s="23"/>
      <c r="E104" s="2"/>
      <c r="F104" s="2"/>
      <c r="G104" s="2"/>
      <c r="H104" s="2"/>
    </row>
    <row r="105" customFormat="false" ht="15" hidden="false" customHeight="true" outlineLevel="0" collapsed="false">
      <c r="A105" s="23"/>
      <c r="B105" s="26" t="s">
        <v>117</v>
      </c>
      <c r="C105" s="30" t="n">
        <v>25000</v>
      </c>
      <c r="D105" s="23"/>
      <c r="E105" s="2"/>
      <c r="F105" s="2"/>
      <c r="G105" s="2"/>
      <c r="H105" s="2"/>
    </row>
    <row r="106" customFormat="false" ht="7.5" hidden="false" customHeight="true" outlineLevel="0" collapsed="false">
      <c r="A106" s="23"/>
      <c r="B106" s="23"/>
      <c r="C106" s="23"/>
      <c r="D106" s="23"/>
      <c r="E106" s="2"/>
      <c r="F106" s="2"/>
      <c r="G106" s="2"/>
      <c r="H106" s="2"/>
    </row>
    <row r="107" customFormat="false" ht="27.75" hidden="false" customHeight="true" outlineLevel="0" collapsed="false">
      <c r="A107" s="24"/>
      <c r="B107" s="25" t="s">
        <v>118</v>
      </c>
      <c r="C107" s="25"/>
      <c r="D107" s="25"/>
      <c r="E107" s="25"/>
      <c r="F107" s="25"/>
      <c r="G107" s="25"/>
      <c r="H107" s="25"/>
    </row>
    <row r="108" customFormat="false" ht="15" hidden="false" customHeight="true" outlineLevel="0" collapsed="false">
      <c r="A108" s="23"/>
      <c r="B108" s="26" t="s">
        <v>119</v>
      </c>
      <c r="C108" s="28" t="n">
        <v>0</v>
      </c>
      <c r="D108" s="23"/>
      <c r="E108" s="2"/>
      <c r="F108" s="2"/>
      <c r="G108" s="2"/>
      <c r="H108" s="37" t="s">
        <v>107</v>
      </c>
    </row>
    <row r="109" customFormat="false" ht="15" hidden="false" customHeight="true" outlineLevel="0" collapsed="false">
      <c r="A109" s="23"/>
      <c r="B109" s="26" t="s">
        <v>120</v>
      </c>
      <c r="C109" s="28" t="n">
        <v>8</v>
      </c>
      <c r="D109" s="23"/>
      <c r="E109" s="2"/>
      <c r="F109" s="2"/>
      <c r="G109" s="2"/>
      <c r="H109" s="2"/>
    </row>
    <row r="110" customFormat="false" ht="15" hidden="false" customHeight="true" outlineLevel="0" collapsed="false">
      <c r="A110" s="23"/>
      <c r="B110" s="26" t="s">
        <v>121</v>
      </c>
      <c r="C110" s="30" t="n">
        <v>3800000</v>
      </c>
      <c r="D110" s="23"/>
      <c r="E110" s="2"/>
      <c r="F110" s="2"/>
      <c r="G110" s="2"/>
      <c r="H110" s="2"/>
    </row>
    <row r="111" customFormat="false" ht="15" hidden="false" customHeight="true" outlineLevel="0" collapsed="false">
      <c r="A111" s="23"/>
      <c r="B111" s="26" t="s">
        <v>122</v>
      </c>
      <c r="C111" s="43" t="n">
        <v>0.65</v>
      </c>
      <c r="D111" s="23"/>
      <c r="E111" s="2"/>
      <c r="F111" s="2"/>
      <c r="G111" s="2"/>
      <c r="H111" s="2"/>
    </row>
    <row r="112" customFormat="false" ht="15" hidden="false" customHeight="true" outlineLevel="0" collapsed="false">
      <c r="A112" s="23"/>
      <c r="B112" s="26" t="s">
        <v>123</v>
      </c>
      <c r="C112" s="32" t="n">
        <f aca="false">C110*C111</f>
        <v>2470000</v>
      </c>
      <c r="D112" s="23"/>
      <c r="E112" s="2"/>
      <c r="F112" s="2"/>
      <c r="G112" s="2"/>
      <c r="H112" s="2"/>
    </row>
    <row r="113" customFormat="false" ht="15" hidden="false" customHeight="true" outlineLevel="0" collapsed="false">
      <c r="A113" s="23"/>
      <c r="B113" s="26" t="s">
        <v>124</v>
      </c>
      <c r="C113" s="31" t="n">
        <v>0.055</v>
      </c>
      <c r="D113" s="23"/>
      <c r="E113" s="2"/>
      <c r="F113" s="2"/>
      <c r="G113" s="2"/>
      <c r="H113" s="2"/>
    </row>
    <row r="114" customFormat="false" ht="15" hidden="false" customHeight="true" outlineLevel="0" collapsed="false">
      <c r="A114" s="23"/>
      <c r="B114" s="26" t="s">
        <v>125</v>
      </c>
      <c r="C114" s="28" t="n">
        <v>30</v>
      </c>
      <c r="D114" s="23"/>
      <c r="E114" s="2"/>
      <c r="F114" s="2"/>
      <c r="G114" s="2"/>
      <c r="H114" s="2"/>
    </row>
    <row r="115" customFormat="false" ht="15" hidden="false" customHeight="true" outlineLevel="0" collapsed="false">
      <c r="A115" s="23"/>
      <c r="B115" s="26" t="s">
        <v>126</v>
      </c>
      <c r="C115" s="28" t="n">
        <v>10</v>
      </c>
      <c r="D115" s="23"/>
      <c r="E115" s="2"/>
      <c r="F115" s="2"/>
      <c r="G115" s="2"/>
      <c r="H115" s="2"/>
    </row>
    <row r="116" customFormat="false" ht="15" hidden="false" customHeight="true" outlineLevel="0" collapsed="false">
      <c r="A116" s="23"/>
      <c r="B116" s="26" t="s">
        <v>127</v>
      </c>
      <c r="C116" s="43" t="n">
        <v>0.01</v>
      </c>
      <c r="D116" s="23"/>
      <c r="E116" s="2"/>
      <c r="F116" s="2"/>
      <c r="G116" s="2"/>
      <c r="H116" s="2"/>
    </row>
    <row r="117" customFormat="false" ht="15" hidden="false" customHeight="true" outlineLevel="0" collapsed="false">
      <c r="A117" s="23"/>
      <c r="B117" s="26" t="s">
        <v>128</v>
      </c>
      <c r="C117" s="43" t="n">
        <v>0.01</v>
      </c>
      <c r="D117" s="23"/>
      <c r="E117" s="2"/>
      <c r="F117" s="2"/>
      <c r="G117" s="2"/>
      <c r="H117" s="2"/>
    </row>
    <row r="118" customFormat="false" ht="15" hidden="false" customHeight="true" outlineLevel="0" collapsed="false">
      <c r="A118" s="23"/>
      <c r="B118" s="26" t="s">
        <v>129</v>
      </c>
      <c r="C118" s="30" t="n">
        <v>25000</v>
      </c>
      <c r="D118" s="23"/>
      <c r="E118" s="2"/>
      <c r="F118" s="2"/>
      <c r="G118" s="2"/>
      <c r="H118" s="2"/>
    </row>
    <row r="119" customFormat="false" ht="7.5" hidden="false" customHeight="true" outlineLevel="0" collapsed="false">
      <c r="A119" s="23"/>
      <c r="B119" s="23"/>
      <c r="C119" s="23"/>
      <c r="D119" s="23"/>
      <c r="E119" s="2"/>
      <c r="F119" s="2"/>
      <c r="G119" s="2"/>
      <c r="H119" s="2"/>
    </row>
    <row r="120" customFormat="false" ht="27.75" hidden="false" customHeight="true" outlineLevel="0" collapsed="false">
      <c r="A120" s="24"/>
      <c r="B120" s="25" t="s">
        <v>130</v>
      </c>
      <c r="C120" s="25"/>
      <c r="D120" s="25"/>
      <c r="E120" s="25"/>
      <c r="F120" s="25"/>
      <c r="G120" s="25"/>
      <c r="H120" s="25"/>
    </row>
    <row r="121" customFormat="false" ht="15" hidden="false" customHeight="true" outlineLevel="0" collapsed="false">
      <c r="A121" s="23"/>
      <c r="B121" s="26" t="s">
        <v>131</v>
      </c>
      <c r="C121" s="28" t="n">
        <v>0</v>
      </c>
      <c r="D121" s="23"/>
      <c r="E121" s="2"/>
      <c r="F121" s="2"/>
      <c r="G121" s="2"/>
      <c r="H121" s="37" t="s">
        <v>107</v>
      </c>
    </row>
    <row r="122" customFormat="false" ht="15" hidden="false" customHeight="true" outlineLevel="0" collapsed="false">
      <c r="A122" s="23"/>
      <c r="B122" s="26" t="s">
        <v>132</v>
      </c>
      <c r="C122" s="28" t="n">
        <v>0</v>
      </c>
      <c r="D122" s="23"/>
      <c r="E122" s="2"/>
      <c r="F122" s="2"/>
      <c r="G122" s="2"/>
      <c r="H122" s="2"/>
    </row>
    <row r="123" customFormat="false" ht="15" hidden="false" customHeight="true" outlineLevel="0" collapsed="false">
      <c r="A123" s="23"/>
      <c r="B123" s="26" t="s">
        <v>133</v>
      </c>
      <c r="C123" s="30" t="n">
        <v>0</v>
      </c>
      <c r="D123" s="23"/>
      <c r="E123" s="2"/>
      <c r="F123" s="2"/>
      <c r="G123" s="2"/>
      <c r="H123" s="2"/>
    </row>
    <row r="124" customFormat="false" ht="15" hidden="false" customHeight="true" outlineLevel="0" collapsed="false">
      <c r="A124" s="23"/>
      <c r="B124" s="26" t="s">
        <v>134</v>
      </c>
      <c r="C124" s="43" t="n">
        <v>0.65</v>
      </c>
      <c r="D124" s="23"/>
      <c r="E124" s="2"/>
      <c r="F124" s="2"/>
      <c r="G124" s="2"/>
      <c r="H124" s="2"/>
    </row>
    <row r="125" customFormat="false" ht="15" hidden="false" customHeight="true" outlineLevel="0" collapsed="false">
      <c r="A125" s="23"/>
      <c r="B125" s="26" t="s">
        <v>135</v>
      </c>
      <c r="C125" s="32" t="n">
        <f aca="false">C123*C124</f>
        <v>0</v>
      </c>
      <c r="D125" s="23"/>
      <c r="E125" s="2"/>
      <c r="F125" s="2"/>
      <c r="G125" s="2"/>
      <c r="H125" s="2"/>
    </row>
    <row r="126" customFormat="false" ht="15" hidden="false" customHeight="true" outlineLevel="0" collapsed="false">
      <c r="A126" s="23"/>
      <c r="B126" s="26" t="s">
        <v>136</v>
      </c>
      <c r="C126" s="31" t="n">
        <v>0.055</v>
      </c>
      <c r="D126" s="23"/>
      <c r="E126" s="2"/>
      <c r="F126" s="2"/>
      <c r="G126" s="2"/>
      <c r="H126" s="2"/>
    </row>
    <row r="127" customFormat="false" ht="15" hidden="false" customHeight="true" outlineLevel="0" collapsed="false">
      <c r="A127" s="23"/>
      <c r="B127" s="26" t="s">
        <v>137</v>
      </c>
      <c r="C127" s="28" t="n">
        <v>30</v>
      </c>
      <c r="D127" s="23"/>
      <c r="E127" s="2"/>
      <c r="F127" s="2"/>
      <c r="G127" s="2"/>
      <c r="H127" s="2"/>
    </row>
    <row r="128" customFormat="false" ht="15" hidden="false" customHeight="true" outlineLevel="0" collapsed="false">
      <c r="A128" s="23"/>
      <c r="B128" s="26" t="s">
        <v>138</v>
      </c>
      <c r="C128" s="28" t="n">
        <v>10</v>
      </c>
      <c r="D128" s="23"/>
      <c r="E128" s="2"/>
      <c r="F128" s="2"/>
      <c r="G128" s="2"/>
      <c r="H128" s="2"/>
    </row>
    <row r="129" customFormat="false" ht="15" hidden="false" customHeight="true" outlineLevel="0" collapsed="false">
      <c r="A129" s="23"/>
      <c r="B129" s="26" t="s">
        <v>139</v>
      </c>
      <c r="C129" s="43" t="n">
        <v>0.01</v>
      </c>
      <c r="D129" s="23"/>
      <c r="E129" s="2"/>
      <c r="F129" s="2"/>
      <c r="G129" s="2"/>
      <c r="H129" s="2"/>
    </row>
    <row r="130" customFormat="false" ht="15" hidden="false" customHeight="true" outlineLevel="0" collapsed="false">
      <c r="A130" s="23"/>
      <c r="B130" s="26" t="s">
        <v>140</v>
      </c>
      <c r="C130" s="43" t="n">
        <v>0</v>
      </c>
      <c r="D130" s="23"/>
      <c r="E130" s="2"/>
      <c r="F130" s="2"/>
      <c r="G130" s="2"/>
      <c r="H130" s="2"/>
    </row>
    <row r="131" customFormat="false" ht="15" hidden="false" customHeight="true" outlineLevel="0" collapsed="false">
      <c r="A131" s="23"/>
      <c r="B131" s="26" t="s">
        <v>141</v>
      </c>
      <c r="C131" s="30" t="n">
        <v>0</v>
      </c>
      <c r="D131" s="23"/>
      <c r="E131" s="2"/>
      <c r="F131" s="2"/>
      <c r="G131" s="2"/>
      <c r="H131" s="2"/>
    </row>
    <row r="132" customFormat="false" ht="7.5" hidden="false" customHeight="true" outlineLevel="0" collapsed="false">
      <c r="A132" s="23"/>
      <c r="B132" s="23"/>
      <c r="C132" s="23"/>
      <c r="D132" s="23"/>
      <c r="E132" s="2"/>
      <c r="F132" s="2"/>
      <c r="G132" s="2"/>
      <c r="H132" s="2"/>
    </row>
    <row r="133" customFormat="false" ht="27.75" hidden="false" customHeight="true" outlineLevel="0" collapsed="false">
      <c r="A133" s="24"/>
      <c r="B133" s="25" t="s">
        <v>142</v>
      </c>
      <c r="C133" s="25"/>
      <c r="D133" s="25"/>
      <c r="E133" s="25"/>
      <c r="F133" s="25"/>
      <c r="G133" s="25"/>
      <c r="H133" s="25"/>
    </row>
    <row r="134" customFormat="false" ht="15" hidden="false" customHeight="true" outlineLevel="0" collapsed="false">
      <c r="A134" s="23"/>
      <c r="B134" s="26" t="s">
        <v>143</v>
      </c>
      <c r="C134" s="43" t="n">
        <v>0.075</v>
      </c>
      <c r="D134" s="23"/>
      <c r="E134" s="2"/>
      <c r="F134" s="2"/>
      <c r="G134" s="2"/>
      <c r="H134" s="2"/>
    </row>
    <row r="135" customFormat="false" ht="15" hidden="false" customHeight="true" outlineLevel="0" collapsed="false">
      <c r="A135" s="23"/>
      <c r="B135" s="26" t="s">
        <v>144</v>
      </c>
      <c r="C135" s="43" t="n">
        <v>0.03</v>
      </c>
      <c r="D135" s="23"/>
      <c r="E135" s="2"/>
      <c r="F135" s="2"/>
      <c r="G135" s="2"/>
      <c r="H135" s="2"/>
    </row>
    <row r="136" customFormat="false" ht="15" hidden="false" customHeight="true" outlineLevel="0" collapsed="false">
      <c r="A136" s="23"/>
      <c r="B136" s="26" t="s">
        <v>145</v>
      </c>
      <c r="C136" s="43" t="n">
        <v>0.03</v>
      </c>
      <c r="D136" s="23"/>
      <c r="E136" s="2"/>
      <c r="F136" s="2"/>
      <c r="G136" s="2"/>
      <c r="H136" s="2"/>
    </row>
    <row r="137" customFormat="false" ht="15" hidden="false" customHeight="true" outlineLevel="0" collapsed="false">
      <c r="A137" s="23"/>
      <c r="B137" s="26" t="s">
        <v>146</v>
      </c>
      <c r="C137" s="43" t="n">
        <v>0.03</v>
      </c>
      <c r="D137" s="23"/>
      <c r="E137" s="2"/>
      <c r="F137" s="2"/>
      <c r="G137" s="2"/>
      <c r="H137" s="2"/>
    </row>
    <row r="138" customFormat="false" ht="15" hidden="false" customHeight="true" outlineLevel="0" collapsed="false">
      <c r="A138" s="23"/>
      <c r="B138" s="26" t="s">
        <v>147</v>
      </c>
      <c r="C138" s="30" t="n">
        <v>0</v>
      </c>
      <c r="D138" s="23"/>
      <c r="E138" s="2"/>
      <c r="F138" s="2"/>
      <c r="G138" s="2"/>
      <c r="H138" s="2"/>
    </row>
    <row r="139" customFormat="false" ht="15" hidden="false" customHeight="true" outlineLevel="0" collapsed="false">
      <c r="A139" s="23"/>
      <c r="B139" s="26" t="s">
        <v>148</v>
      </c>
      <c r="C139" s="30" t="n">
        <v>6000</v>
      </c>
      <c r="D139" s="23"/>
      <c r="E139" s="2"/>
      <c r="F139" s="2"/>
      <c r="G139" s="2"/>
      <c r="H139" s="2"/>
    </row>
    <row r="140" customFormat="false" ht="7.5" hidden="false" customHeight="true" outlineLevel="0" collapsed="false">
      <c r="A140" s="23"/>
      <c r="B140" s="23"/>
      <c r="C140" s="23"/>
      <c r="D140" s="23"/>
      <c r="E140" s="2"/>
      <c r="F140" s="2"/>
      <c r="G140" s="2"/>
      <c r="H140" s="2"/>
    </row>
    <row r="141" customFormat="false" ht="27.75" hidden="false" customHeight="true" outlineLevel="0" collapsed="false">
      <c r="A141" s="24"/>
      <c r="B141" s="25" t="s">
        <v>149</v>
      </c>
      <c r="C141" s="25"/>
      <c r="D141" s="25"/>
      <c r="E141" s="25"/>
      <c r="F141" s="25"/>
      <c r="G141" s="25"/>
      <c r="H141" s="25"/>
    </row>
    <row r="142" customFormat="false" ht="15" hidden="false" customHeight="true" outlineLevel="0" collapsed="false">
      <c r="A142" s="23"/>
      <c r="B142" s="26" t="s">
        <v>150</v>
      </c>
      <c r="C142" s="30" t="n">
        <v>45000</v>
      </c>
      <c r="D142" s="23"/>
      <c r="E142" s="2"/>
      <c r="F142" s="2"/>
      <c r="G142" s="2"/>
      <c r="H142" s="2"/>
    </row>
    <row r="143" customFormat="false" ht="15" hidden="false" customHeight="true" outlineLevel="0" collapsed="false">
      <c r="A143" s="23"/>
      <c r="B143" s="26" t="s">
        <v>151</v>
      </c>
      <c r="C143" s="30" t="n">
        <v>18000</v>
      </c>
      <c r="D143" s="23"/>
      <c r="E143" s="2"/>
      <c r="F143" s="2"/>
      <c r="G143" s="2"/>
      <c r="H143" s="2"/>
    </row>
    <row r="144" customFormat="false" ht="15" hidden="false" customHeight="true" outlineLevel="0" collapsed="false">
      <c r="A144" s="23"/>
      <c r="B144" s="26" t="s">
        <v>152</v>
      </c>
      <c r="C144" s="30" t="n">
        <v>12000</v>
      </c>
      <c r="D144" s="23"/>
      <c r="E144" s="2"/>
      <c r="F144" s="2"/>
      <c r="G144" s="2"/>
      <c r="H144" s="2"/>
    </row>
    <row r="145" customFormat="false" ht="15" hidden="false" customHeight="true" outlineLevel="0" collapsed="false">
      <c r="A145" s="23"/>
      <c r="B145" s="26" t="s">
        <v>153</v>
      </c>
      <c r="C145" s="30" t="n">
        <v>14000</v>
      </c>
      <c r="D145" s="23"/>
      <c r="E145" s="2"/>
      <c r="F145" s="2"/>
      <c r="G145" s="2"/>
      <c r="H145" s="2"/>
    </row>
    <row r="146" customFormat="false" ht="15" hidden="false" customHeight="true" outlineLevel="0" collapsed="false">
      <c r="A146" s="23"/>
      <c r="B146" s="26" t="s">
        <v>154</v>
      </c>
      <c r="C146" s="30" t="n">
        <v>10000</v>
      </c>
      <c r="D146" s="23"/>
      <c r="E146" s="2"/>
      <c r="F146" s="2"/>
      <c r="G146" s="2"/>
      <c r="H146" s="2"/>
    </row>
    <row r="147" customFormat="false" ht="15" hidden="false" customHeight="true" outlineLevel="0" collapsed="false">
      <c r="A147" s="23"/>
      <c r="B147" s="26" t="s">
        <v>155</v>
      </c>
      <c r="C147" s="30" t="n">
        <v>2500</v>
      </c>
      <c r="D147" s="23"/>
      <c r="E147" s="2"/>
      <c r="F147" s="2"/>
      <c r="G147" s="2"/>
      <c r="H147" s="2"/>
    </row>
    <row r="148" customFormat="false" ht="15" hidden="false" customHeight="true" outlineLevel="0" collapsed="false">
      <c r="A148" s="23"/>
      <c r="B148" s="26" t="s">
        <v>156</v>
      </c>
      <c r="C148" s="30" t="n">
        <v>8000</v>
      </c>
      <c r="D148" s="23"/>
      <c r="E148" s="2"/>
      <c r="F148" s="2"/>
      <c r="G148" s="2"/>
      <c r="H148" s="2"/>
    </row>
    <row r="149" customFormat="false" ht="15" hidden="false" customHeight="true" outlineLevel="0" collapsed="false">
      <c r="A149" s="23"/>
      <c r="B149" s="33" t="s">
        <v>157</v>
      </c>
      <c r="C149" s="34" t="n">
        <f aca="false">SUM(C142:C148)</f>
        <v>109500</v>
      </c>
      <c r="D149" s="23"/>
      <c r="E149" s="2"/>
      <c r="F149" s="2"/>
      <c r="G149" s="2"/>
      <c r="H149" s="2"/>
    </row>
    <row r="150" customFormat="false" ht="7.5" hidden="false" customHeight="true" outlineLevel="0" collapsed="false">
      <c r="A150" s="23"/>
      <c r="B150" s="23"/>
      <c r="C150" s="23"/>
      <c r="D150" s="23"/>
      <c r="E150" s="2"/>
      <c r="F150" s="2"/>
      <c r="G150" s="2"/>
      <c r="H150" s="2"/>
    </row>
    <row r="151" customFormat="false" ht="27.75" hidden="false" customHeight="true" outlineLevel="0" collapsed="false">
      <c r="A151" s="24"/>
      <c r="B151" s="25" t="s">
        <v>158</v>
      </c>
      <c r="C151" s="25"/>
      <c r="D151" s="25"/>
      <c r="E151" s="25"/>
      <c r="F151" s="25"/>
      <c r="G151" s="25"/>
      <c r="H151" s="25"/>
    </row>
    <row r="152" customFormat="false" ht="15" hidden="false" customHeight="true" outlineLevel="0" collapsed="false">
      <c r="A152" s="23"/>
      <c r="B152" s="26" t="s">
        <v>159</v>
      </c>
      <c r="C152" s="43" t="n">
        <v>0.06</v>
      </c>
      <c r="D152" s="23"/>
      <c r="E152" s="2"/>
      <c r="F152" s="2"/>
      <c r="G152" s="2"/>
      <c r="H152" s="2"/>
    </row>
    <row r="153" customFormat="false" ht="15" hidden="false" customHeight="true" outlineLevel="0" collapsed="false">
      <c r="A153" s="23"/>
      <c r="B153" s="26" t="s">
        <v>160</v>
      </c>
      <c r="C153" s="30" t="n">
        <v>24000</v>
      </c>
      <c r="D153" s="23"/>
      <c r="E153" s="2"/>
      <c r="F153" s="2"/>
      <c r="G153" s="2"/>
      <c r="H153" s="2"/>
    </row>
    <row r="154" customFormat="false" ht="15" hidden="false" customHeight="true" outlineLevel="0" collapsed="false">
      <c r="A154" s="23"/>
      <c r="B154" s="26" t="s">
        <v>161</v>
      </c>
      <c r="C154" s="30" t="n">
        <v>8000</v>
      </c>
      <c r="D154" s="23"/>
      <c r="E154" s="2"/>
      <c r="F154" s="2"/>
      <c r="G154" s="2"/>
      <c r="H154" s="2"/>
    </row>
    <row r="155" customFormat="false" ht="15" hidden="false" customHeight="true" outlineLevel="0" collapsed="false">
      <c r="A155" s="23"/>
      <c r="B155" s="26" t="s">
        <v>162</v>
      </c>
      <c r="C155" s="30" t="n">
        <v>3600</v>
      </c>
      <c r="D155" s="23"/>
      <c r="E155" s="2"/>
      <c r="F155" s="2"/>
      <c r="G155" s="2"/>
      <c r="H155" s="2"/>
    </row>
    <row r="156" customFormat="false" ht="15" hidden="false" customHeight="true" outlineLevel="0" collapsed="false">
      <c r="A156" s="23"/>
      <c r="B156" s="26" t="s">
        <v>163</v>
      </c>
      <c r="C156" s="30" t="n">
        <v>6000</v>
      </c>
      <c r="D156" s="23"/>
      <c r="E156" s="2"/>
      <c r="F156" s="2"/>
      <c r="G156" s="2"/>
      <c r="H156" s="2"/>
    </row>
    <row r="157" customFormat="false" ht="15" hidden="false" customHeight="true" outlineLevel="0" collapsed="false">
      <c r="A157" s="23"/>
      <c r="B157" s="26" t="s">
        <v>164</v>
      </c>
      <c r="C157" s="30" t="n">
        <v>5000</v>
      </c>
      <c r="D157" s="23"/>
      <c r="E157" s="2"/>
      <c r="F157" s="2"/>
      <c r="G157" s="2"/>
      <c r="H157" s="2"/>
    </row>
    <row r="158" customFormat="false" ht="15" hidden="false" customHeight="true" outlineLevel="0" collapsed="false">
      <c r="A158" s="23"/>
      <c r="B158" s="26" t="s">
        <v>165</v>
      </c>
      <c r="C158" s="30" t="n">
        <v>4000</v>
      </c>
      <c r="D158" s="23"/>
      <c r="E158" s="2"/>
      <c r="F158" s="2"/>
      <c r="G158" s="2"/>
      <c r="H158" s="2"/>
    </row>
    <row r="159" customFormat="false" ht="15" hidden="false" customHeight="true" outlineLevel="0" collapsed="false">
      <c r="A159" s="23"/>
      <c r="B159" s="26" t="s">
        <v>166</v>
      </c>
      <c r="C159" s="30" t="n">
        <v>6000</v>
      </c>
      <c r="D159" s="23"/>
      <c r="E159" s="2"/>
      <c r="F159" s="2"/>
      <c r="G159" s="2"/>
      <c r="H159" s="2"/>
    </row>
    <row r="160" customFormat="false" ht="15" hidden="false" customHeight="true" outlineLevel="0" collapsed="false">
      <c r="A160" s="23"/>
      <c r="B160" s="26" t="s">
        <v>167</v>
      </c>
      <c r="C160" s="30" t="n">
        <v>5000</v>
      </c>
      <c r="D160" s="23"/>
      <c r="E160" s="2"/>
      <c r="F160" s="2"/>
      <c r="G160" s="2"/>
      <c r="H160" s="2"/>
    </row>
    <row r="161" customFormat="false" ht="15" hidden="false" customHeight="true" outlineLevel="0" collapsed="false">
      <c r="A161" s="23"/>
      <c r="B161" s="26" t="s">
        <v>168</v>
      </c>
      <c r="C161" s="30" t="n">
        <v>3000</v>
      </c>
      <c r="D161" s="23"/>
      <c r="E161" s="2"/>
      <c r="F161" s="2"/>
      <c r="G161" s="2"/>
      <c r="H161" s="2"/>
    </row>
    <row r="162" customFormat="false" ht="15" hidden="false" customHeight="true" outlineLevel="0" collapsed="false">
      <c r="A162" s="23"/>
      <c r="B162" s="26" t="s">
        <v>169</v>
      </c>
      <c r="C162" s="30" t="n">
        <v>2000</v>
      </c>
      <c r="D162" s="23"/>
      <c r="E162" s="2"/>
      <c r="F162" s="2"/>
      <c r="G162" s="2"/>
      <c r="H162" s="2"/>
    </row>
    <row r="163" customFormat="false" ht="15" hidden="false" customHeight="true" outlineLevel="0" collapsed="false">
      <c r="A163" s="23"/>
      <c r="B163" s="33" t="s">
        <v>170</v>
      </c>
      <c r="C163" s="34" t="n">
        <f aca="false">SUM(C153:C162)</f>
        <v>66600</v>
      </c>
      <c r="D163" s="23"/>
      <c r="E163" s="2"/>
      <c r="F163" s="2"/>
      <c r="G163" s="2"/>
      <c r="H163" s="2"/>
    </row>
    <row r="164" customFormat="false" ht="7.5" hidden="false" customHeight="true" outlineLevel="0" collapsed="false">
      <c r="A164" s="23"/>
      <c r="B164" s="23"/>
      <c r="C164" s="23"/>
      <c r="D164" s="23"/>
      <c r="E164" s="2"/>
      <c r="F164" s="2"/>
      <c r="G164" s="2"/>
      <c r="H164" s="2"/>
    </row>
    <row r="165" customFormat="false" ht="27.75" hidden="false" customHeight="true" outlineLevel="0" collapsed="false">
      <c r="A165" s="24"/>
      <c r="B165" s="25" t="s">
        <v>171</v>
      </c>
      <c r="C165" s="25"/>
      <c r="D165" s="25"/>
      <c r="E165" s="25"/>
      <c r="F165" s="25"/>
      <c r="G165" s="25"/>
      <c r="H165" s="25"/>
    </row>
    <row r="166" customFormat="false" ht="15" hidden="false" customHeight="true" outlineLevel="0" collapsed="false">
      <c r="A166" s="23"/>
      <c r="B166" s="26" t="s">
        <v>172</v>
      </c>
      <c r="C166" s="30" t="n">
        <v>0</v>
      </c>
      <c r="D166" s="23"/>
      <c r="E166" s="2"/>
      <c r="F166" s="2"/>
      <c r="G166" s="2"/>
      <c r="H166" s="2"/>
    </row>
    <row r="167" customFormat="false" ht="15" hidden="false" customHeight="true" outlineLevel="0" collapsed="false">
      <c r="A167" s="23"/>
      <c r="B167" s="26" t="s">
        <v>173</v>
      </c>
      <c r="C167" s="30" t="n">
        <v>400</v>
      </c>
      <c r="D167" s="23"/>
      <c r="E167" s="2"/>
      <c r="F167" s="2"/>
      <c r="G167" s="2"/>
      <c r="H167" s="2"/>
    </row>
    <row r="168" customFormat="false" ht="15" hidden="false" customHeight="true" outlineLevel="0" collapsed="false">
      <c r="A168" s="23"/>
      <c r="B168" s="26" t="s">
        <v>174</v>
      </c>
      <c r="C168" s="30" t="n">
        <v>0</v>
      </c>
      <c r="D168" s="23"/>
      <c r="E168" s="2"/>
      <c r="F168" s="2"/>
      <c r="G168" s="2"/>
      <c r="H168" s="2"/>
    </row>
    <row r="169" customFormat="false" ht="7.5" hidden="false" customHeight="true" outlineLevel="0" collapsed="false">
      <c r="A169" s="23"/>
      <c r="B169" s="23"/>
      <c r="C169" s="23"/>
      <c r="D169" s="23"/>
      <c r="E169" s="2"/>
      <c r="F169" s="2"/>
      <c r="G169" s="2"/>
      <c r="H169" s="2"/>
    </row>
    <row r="170" customFormat="false" ht="27.75" hidden="false" customHeight="true" outlineLevel="0" collapsed="false">
      <c r="A170" s="24"/>
      <c r="B170" s="25" t="s">
        <v>175</v>
      </c>
      <c r="C170" s="25"/>
      <c r="D170" s="25"/>
      <c r="E170" s="25"/>
      <c r="F170" s="25"/>
      <c r="G170" s="25"/>
      <c r="H170" s="25"/>
    </row>
    <row r="171" customFormat="false" ht="15" hidden="false" customHeight="true" outlineLevel="0" collapsed="false">
      <c r="A171" s="23"/>
      <c r="B171" s="26" t="s">
        <v>176</v>
      </c>
      <c r="C171" s="31" t="n">
        <v>0.07</v>
      </c>
      <c r="D171" s="23"/>
      <c r="E171" s="2"/>
      <c r="F171" s="2"/>
      <c r="G171" s="2"/>
      <c r="H171" s="2"/>
    </row>
    <row r="172" customFormat="false" ht="15" hidden="false" customHeight="true" outlineLevel="0" collapsed="false">
      <c r="A172" s="23"/>
      <c r="B172" s="26" t="s">
        <v>177</v>
      </c>
      <c r="C172" s="43" t="n">
        <v>0.02</v>
      </c>
      <c r="D172" s="23"/>
      <c r="E172" s="2"/>
      <c r="F172" s="2"/>
      <c r="G172" s="2"/>
      <c r="H172" s="2"/>
    </row>
    <row r="173" customFormat="false" ht="7.5" hidden="false" customHeight="true" outlineLevel="0" collapsed="false">
      <c r="A173" s="23"/>
      <c r="B173" s="23"/>
      <c r="C173" s="23"/>
      <c r="D173" s="23"/>
      <c r="E173" s="2"/>
      <c r="F173" s="2"/>
      <c r="G173" s="2"/>
      <c r="H173" s="2"/>
    </row>
    <row r="174" customFormat="false" ht="27.75" hidden="false" customHeight="true" outlineLevel="0" collapsed="false">
      <c r="A174" s="24"/>
      <c r="B174" s="25" t="s">
        <v>178</v>
      </c>
      <c r="C174" s="25"/>
      <c r="D174" s="25"/>
      <c r="E174" s="25"/>
      <c r="F174" s="25"/>
      <c r="G174" s="25"/>
      <c r="H174" s="25"/>
    </row>
    <row r="175" customFormat="false" ht="15" hidden="false" customHeight="true" outlineLevel="0" collapsed="false">
      <c r="A175" s="23"/>
      <c r="B175" s="26" t="s">
        <v>179</v>
      </c>
      <c r="C175" s="43" t="n">
        <v>0</v>
      </c>
      <c r="D175" s="23"/>
      <c r="E175" s="2"/>
      <c r="F175" s="2"/>
      <c r="G175" s="2"/>
      <c r="H175" s="37" t="s">
        <v>180</v>
      </c>
    </row>
    <row r="176" customFormat="false" ht="15" hidden="false" customHeight="true" outlineLevel="0" collapsed="false">
      <c r="A176" s="23"/>
      <c r="B176" s="26" t="s">
        <v>181</v>
      </c>
      <c r="C176" s="48" t="n">
        <f aca="false">1-C175</f>
        <v>1</v>
      </c>
      <c r="D176" s="23"/>
      <c r="E176" s="2"/>
      <c r="F176" s="2"/>
      <c r="G176" s="2"/>
      <c r="H176" s="2"/>
    </row>
    <row r="177" customFormat="false" ht="15" hidden="false" customHeight="true" outlineLevel="0" collapsed="false">
      <c r="A177" s="23"/>
      <c r="B177" s="26" t="s">
        <v>182</v>
      </c>
      <c r="C177" s="28" t="n">
        <v>1</v>
      </c>
      <c r="D177" s="23"/>
      <c r="E177" s="2"/>
      <c r="F177" s="2"/>
      <c r="G177" s="2"/>
      <c r="H177" s="37" t="s">
        <v>183</v>
      </c>
    </row>
    <row r="178" customFormat="false" ht="15" hidden="false" customHeight="true" outlineLevel="0" collapsed="false">
      <c r="A178" s="23"/>
      <c r="B178" s="26" t="s">
        <v>184</v>
      </c>
      <c r="C178" s="43" t="n">
        <v>0.8</v>
      </c>
      <c r="D178" s="23"/>
      <c r="E178" s="2"/>
      <c r="F178" s="2"/>
      <c r="G178" s="2"/>
      <c r="H178" s="37" t="s">
        <v>185</v>
      </c>
    </row>
    <row r="179" customFormat="false" ht="15" hidden="false" customHeight="true" outlineLevel="0" collapsed="false">
      <c r="A179" s="23"/>
      <c r="B179" s="26" t="s">
        <v>186</v>
      </c>
      <c r="C179" s="43" t="n">
        <v>0.2</v>
      </c>
      <c r="D179" s="23"/>
      <c r="E179" s="2"/>
      <c r="F179" s="2"/>
      <c r="G179" s="2"/>
      <c r="H179" s="2"/>
    </row>
    <row r="180" customFormat="false" ht="7.5" hidden="false" customHeight="true" outlineLevel="0" collapsed="false">
      <c r="A180" s="23"/>
      <c r="B180" s="23"/>
      <c r="C180" s="23"/>
      <c r="D180" s="23"/>
      <c r="E180" s="2"/>
      <c r="F180" s="2"/>
      <c r="G180" s="2"/>
      <c r="H180" s="2"/>
    </row>
    <row r="181" customFormat="false" ht="21.75" hidden="false" customHeight="true" outlineLevel="0" collapsed="false">
      <c r="A181" s="23"/>
      <c r="B181" s="38" t="s">
        <v>187</v>
      </c>
      <c r="C181" s="38"/>
      <c r="D181" s="23"/>
      <c r="E181" s="2"/>
      <c r="F181" s="2"/>
      <c r="G181" s="2"/>
      <c r="H181" s="2"/>
    </row>
    <row r="182" customFormat="false" ht="15" hidden="false" customHeight="true" outlineLevel="0" collapsed="false">
      <c r="A182" s="23"/>
      <c r="B182" s="26" t="s">
        <v>188</v>
      </c>
      <c r="C182" s="43" t="n">
        <v>0.08</v>
      </c>
      <c r="D182" s="23"/>
      <c r="E182" s="2"/>
      <c r="F182" s="2"/>
      <c r="G182" s="2"/>
      <c r="H182" s="37" t="s">
        <v>189</v>
      </c>
    </row>
    <row r="183" customFormat="false" ht="15" hidden="false" customHeight="true" outlineLevel="0" collapsed="false">
      <c r="A183" s="23"/>
      <c r="B183" s="26" t="s">
        <v>190</v>
      </c>
      <c r="C183" s="43" t="n">
        <v>0.12</v>
      </c>
      <c r="D183" s="23"/>
      <c r="E183" s="2"/>
      <c r="F183" s="2"/>
      <c r="G183" s="2"/>
      <c r="H183" s="2"/>
    </row>
    <row r="184" customFormat="false" ht="15" hidden="false" customHeight="true" outlineLevel="0" collapsed="false">
      <c r="A184" s="23"/>
      <c r="B184" s="26" t="s">
        <v>191</v>
      </c>
      <c r="C184" s="43" t="n">
        <v>0.7</v>
      </c>
      <c r="D184" s="23"/>
      <c r="E184" s="2"/>
      <c r="F184" s="2"/>
      <c r="G184" s="2"/>
      <c r="H184" s="37" t="s">
        <v>192</v>
      </c>
    </row>
    <row r="185" customFormat="false" ht="15" hidden="false" customHeight="true" outlineLevel="0" collapsed="false">
      <c r="A185" s="23"/>
      <c r="B185" s="26" t="s">
        <v>193</v>
      </c>
      <c r="C185" s="43" t="n">
        <v>0.15</v>
      </c>
      <c r="D185" s="23"/>
      <c r="E185" s="2"/>
      <c r="F185" s="2"/>
      <c r="G185" s="2"/>
      <c r="H185" s="2"/>
    </row>
    <row r="186" customFormat="false" ht="15" hidden="false" customHeight="true" outlineLevel="0" collapsed="false">
      <c r="A186" s="23"/>
      <c r="B186" s="26" t="s">
        <v>194</v>
      </c>
      <c r="C186" s="43" t="n">
        <v>0.6</v>
      </c>
      <c r="D186" s="23"/>
      <c r="E186" s="2"/>
      <c r="F186" s="2"/>
      <c r="G186" s="2"/>
      <c r="H186" s="37" t="s">
        <v>195</v>
      </c>
    </row>
    <row r="187" customFormat="false" ht="15" hidden="false" customHeight="true" outlineLevel="0" collapsed="false">
      <c r="A187" s="23"/>
      <c r="B187" s="26" t="s">
        <v>196</v>
      </c>
      <c r="C187" s="43" t="n">
        <v>0.18</v>
      </c>
      <c r="D187" s="23"/>
      <c r="E187" s="2"/>
      <c r="F187" s="2"/>
      <c r="G187" s="2"/>
      <c r="H187" s="2"/>
    </row>
    <row r="188" customFormat="false" ht="15" hidden="false" customHeight="true" outlineLevel="0" collapsed="false">
      <c r="A188" s="23"/>
      <c r="B188" s="26" t="s">
        <v>197</v>
      </c>
      <c r="C188" s="43" t="n">
        <v>0.3</v>
      </c>
      <c r="D188" s="23"/>
      <c r="E188" s="2"/>
      <c r="F188" s="2"/>
      <c r="G188" s="2"/>
      <c r="H188" s="37" t="s">
        <v>198</v>
      </c>
    </row>
    <row r="189" customFormat="false" ht="15" hidden="false" customHeight="true" outlineLevel="0" collapsed="false">
      <c r="A189" s="23"/>
      <c r="B189" s="26" t="s">
        <v>199</v>
      </c>
      <c r="C189" s="43" t="n">
        <v>0.24</v>
      </c>
      <c r="D189" s="23"/>
      <c r="E189" s="2"/>
      <c r="F189" s="2"/>
      <c r="G189" s="2"/>
      <c r="H189" s="2"/>
    </row>
    <row r="190" customFormat="false" ht="15" hidden="false" customHeight="true" outlineLevel="0" collapsed="false">
      <c r="A190" s="23"/>
      <c r="B190" s="26" t="s">
        <v>200</v>
      </c>
      <c r="C190" s="43" t="n">
        <v>0.2</v>
      </c>
      <c r="D190" s="23"/>
      <c r="E190" s="2"/>
      <c r="F190" s="2"/>
      <c r="G190" s="2"/>
      <c r="H190" s="37" t="s">
        <v>201</v>
      </c>
    </row>
    <row r="191" customFormat="false" ht="15" hidden="false" customHeight="true" outlineLevel="0" collapsed="false">
      <c r="A191" s="23"/>
      <c r="B191" s="26" t="s">
        <v>202</v>
      </c>
      <c r="C191" s="43" t="n">
        <v>0.1</v>
      </c>
      <c r="D191" s="23"/>
      <c r="E191" s="2"/>
      <c r="F191" s="2"/>
      <c r="G191" s="2"/>
      <c r="H191" s="37" t="s">
        <v>203</v>
      </c>
    </row>
    <row r="192" customFormat="false" ht="7.5" hidden="false" customHeight="true" outlineLevel="0" collapsed="false">
      <c r="A192" s="23"/>
      <c r="B192" s="23"/>
      <c r="C192" s="23"/>
      <c r="D192" s="23"/>
      <c r="E192" s="2"/>
      <c r="F192" s="2"/>
      <c r="G192" s="2"/>
      <c r="H192" s="2"/>
    </row>
    <row r="193" customFormat="false" ht="27.75" hidden="false" customHeight="true" outlineLevel="0" collapsed="false">
      <c r="A193" s="24"/>
      <c r="B193" s="25" t="s">
        <v>204</v>
      </c>
      <c r="C193" s="25"/>
      <c r="D193" s="25"/>
      <c r="E193" s="25"/>
      <c r="F193" s="25"/>
      <c r="G193" s="25"/>
      <c r="H193" s="25"/>
    </row>
    <row r="194" customFormat="false" ht="15" hidden="false" customHeight="true" outlineLevel="0" collapsed="false">
      <c r="A194" s="23"/>
      <c r="B194" s="26" t="s">
        <v>205</v>
      </c>
      <c r="C194" s="49" t="n">
        <v>2</v>
      </c>
      <c r="D194" s="23"/>
      <c r="E194" s="2"/>
      <c r="F194" s="2"/>
      <c r="G194" s="2"/>
      <c r="H194" s="2"/>
    </row>
    <row r="195" customFormat="false" ht="15" hidden="false" customHeight="true" outlineLevel="0" collapsed="false">
      <c r="A195" s="23"/>
      <c r="B195" s="26" t="s">
        <v>206</v>
      </c>
      <c r="C195" s="49" t="n">
        <v>2.5</v>
      </c>
      <c r="D195" s="23"/>
      <c r="E195" s="2"/>
      <c r="F195" s="2"/>
      <c r="G195" s="2"/>
      <c r="H195" s="2"/>
    </row>
    <row r="196" customFormat="false" ht="15" hidden="false" customHeight="true" outlineLevel="0" collapsed="false">
      <c r="A196" s="23"/>
      <c r="B196" s="26" t="s">
        <v>207</v>
      </c>
      <c r="C196" s="49" t="n">
        <v>3</v>
      </c>
      <c r="D196" s="23"/>
      <c r="E196" s="2"/>
      <c r="F196" s="2"/>
      <c r="G196" s="2"/>
      <c r="H196" s="2"/>
    </row>
    <row r="197" customFormat="false" ht="7.5" hidden="false" customHeight="true" outlineLevel="0" collapsed="false">
      <c r="A197" s="23"/>
      <c r="B197" s="23"/>
      <c r="C197" s="23"/>
      <c r="D197" s="23"/>
      <c r="E197" s="2"/>
      <c r="F197" s="2"/>
      <c r="G197" s="2"/>
      <c r="H197" s="2"/>
    </row>
    <row r="198" customFormat="false" ht="27.75" hidden="false" customHeight="true" outlineLevel="0" collapsed="false">
      <c r="A198" s="24"/>
      <c r="B198" s="25" t="s">
        <v>208</v>
      </c>
      <c r="C198" s="25"/>
      <c r="D198" s="25"/>
      <c r="E198" s="25"/>
      <c r="F198" s="25"/>
      <c r="G198" s="25"/>
      <c r="H198" s="25"/>
    </row>
    <row r="199" customFormat="false" ht="15" hidden="false" customHeight="true" outlineLevel="0" collapsed="false">
      <c r="A199" s="23"/>
      <c r="B199" s="37" t="s">
        <v>209</v>
      </c>
      <c r="C199" s="23"/>
      <c r="D199" s="23"/>
      <c r="E199" s="2"/>
      <c r="F199" s="2"/>
      <c r="G199" s="2"/>
      <c r="H199" s="2"/>
    </row>
    <row r="200" customFormat="false" ht="15" hidden="false" customHeight="true" outlineLevel="0" collapsed="false">
      <c r="A200" s="23"/>
      <c r="B200" s="26" t="s">
        <v>210</v>
      </c>
      <c r="C200" s="43" t="n">
        <v>0</v>
      </c>
      <c r="D200" s="23"/>
      <c r="E200" s="2"/>
      <c r="F200" s="2"/>
      <c r="G200" s="2"/>
      <c r="H200" s="2"/>
    </row>
    <row r="201" customFormat="false" ht="15" hidden="false" customHeight="true" outlineLevel="0" collapsed="false">
      <c r="A201" s="23"/>
      <c r="B201" s="26" t="s">
        <v>211</v>
      </c>
      <c r="C201" s="43" t="n">
        <v>0.05</v>
      </c>
      <c r="D201" s="23"/>
      <c r="E201" s="2"/>
      <c r="F201" s="2"/>
      <c r="G201" s="2"/>
      <c r="H201" s="2"/>
    </row>
    <row r="202" customFormat="false" ht="15" hidden="false" customHeight="true" outlineLevel="0" collapsed="false">
      <c r="A202" s="23"/>
      <c r="B202" s="26" t="s">
        <v>212</v>
      </c>
      <c r="C202" s="43" t="n">
        <v>0.01</v>
      </c>
      <c r="D202" s="23"/>
      <c r="E202" s="2"/>
      <c r="F202" s="2"/>
      <c r="G202" s="2"/>
      <c r="H202" s="2"/>
    </row>
    <row r="203" customFormat="false" ht="15" hidden="false" customHeight="true" outlineLevel="0" collapsed="false">
      <c r="A203" s="23"/>
      <c r="B203" s="26" t="s">
        <v>213</v>
      </c>
      <c r="C203" s="31" t="n">
        <v>0.055</v>
      </c>
      <c r="D203" s="23"/>
      <c r="E203" s="2"/>
      <c r="F203" s="2"/>
      <c r="G203" s="2"/>
      <c r="H203" s="2"/>
    </row>
    <row r="204" customFormat="false" ht="15" hidden="false" customHeight="true" outlineLevel="0" collapsed="false">
      <c r="A204" s="23"/>
      <c r="B204" s="26" t="s">
        <v>214</v>
      </c>
      <c r="C204" s="31" t="n">
        <v>0.085</v>
      </c>
      <c r="D204" s="23"/>
      <c r="E204" s="2"/>
      <c r="F204" s="2"/>
      <c r="G204" s="2"/>
      <c r="H204" s="2"/>
    </row>
    <row r="205" customFormat="false" ht="15" hidden="false" customHeight="true" outlineLevel="0" collapsed="false">
      <c r="A205" s="23"/>
      <c r="B205" s="26" t="s">
        <v>215</v>
      </c>
      <c r="C205" s="31" t="n">
        <v>0.005</v>
      </c>
      <c r="D205" s="23"/>
      <c r="E205" s="2"/>
      <c r="F205" s="2"/>
      <c r="G205" s="2"/>
      <c r="H205" s="2"/>
    </row>
  </sheetData>
  <mergeCells count="24">
    <mergeCell ref="A1:H1"/>
    <mergeCell ref="A2:H2"/>
    <mergeCell ref="B4:H4"/>
    <mergeCell ref="B16:H16"/>
    <mergeCell ref="B25:H25"/>
    <mergeCell ref="B28:C28"/>
    <mergeCell ref="B33:C33"/>
    <mergeCell ref="B47:C47"/>
    <mergeCell ref="B53:C53"/>
    <mergeCell ref="B62:C62"/>
    <mergeCell ref="B69:H69"/>
    <mergeCell ref="B81:C81"/>
    <mergeCell ref="B94:H94"/>
    <mergeCell ref="B107:H107"/>
    <mergeCell ref="B120:H120"/>
    <mergeCell ref="B133:H133"/>
    <mergeCell ref="B141:H141"/>
    <mergeCell ref="B151:H151"/>
    <mergeCell ref="B165:H165"/>
    <mergeCell ref="B170:H170"/>
    <mergeCell ref="B174:H174"/>
    <mergeCell ref="B181:C181"/>
    <mergeCell ref="B193:H193"/>
    <mergeCell ref="B198:H19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C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18"/>
  </cols>
  <sheetData>
    <row r="1" customFormat="false" ht="19.5" hidden="false" customHeight="true" outlineLevel="0" collapsed="false">
      <c r="A1" s="50" t="s">
        <v>216</v>
      </c>
      <c r="B1" s="50"/>
      <c r="C1" s="50"/>
    </row>
    <row r="2" customFormat="false" ht="15" hidden="false" customHeight="true" outlineLevel="0" collapsed="false">
      <c r="A2" s="20" t="s">
        <v>217</v>
      </c>
      <c r="B2" s="20"/>
      <c r="C2" s="20"/>
    </row>
    <row r="3" customFormat="false" ht="15" hidden="false" customHeight="true" outlineLevel="0" collapsed="false">
      <c r="A3" s="2"/>
      <c r="B3" s="2"/>
      <c r="C3" s="2"/>
    </row>
    <row r="4" customFormat="false" ht="15" hidden="false" customHeight="true" outlineLevel="0" collapsed="false">
      <c r="A4" s="51" t="s">
        <v>218</v>
      </c>
      <c r="B4" s="51" t="s">
        <v>219</v>
      </c>
      <c r="C4" s="51" t="s">
        <v>220</v>
      </c>
    </row>
    <row r="5" customFormat="false" ht="15" hidden="false" customHeight="true" outlineLevel="0" collapsed="false">
      <c r="A5" s="52" t="s">
        <v>221</v>
      </c>
      <c r="B5" s="53"/>
      <c r="C5" s="53"/>
    </row>
    <row r="6" customFormat="false" ht="15" hidden="false" customHeight="true" outlineLevel="0" collapsed="false">
      <c r="A6" s="7" t="s">
        <v>48</v>
      </c>
      <c r="B6" s="54" t="n">
        <f aca="false">Assumptions!C17</f>
        <v>2500000</v>
      </c>
      <c r="C6" s="48" t="n">
        <f aca="false">IF(B51&lt;&gt;0,B6/B51,0)</f>
        <v>0.918459192858061</v>
      </c>
    </row>
    <row r="7" customFormat="false" ht="15" hidden="false" customHeight="true" outlineLevel="0" collapsed="false">
      <c r="A7" s="7" t="s">
        <v>49</v>
      </c>
      <c r="B7" s="54" t="n">
        <f aca="false">Assumptions!C19</f>
        <v>106950</v>
      </c>
      <c r="C7" s="48" t="n">
        <f aca="false">IF(B51&lt;&gt;0,B7/B51,0)</f>
        <v>0.0392916842704679</v>
      </c>
    </row>
    <row r="8" customFormat="false" ht="15" hidden="false" customHeight="true" outlineLevel="0" collapsed="false">
      <c r="A8" s="7" t="s">
        <v>50</v>
      </c>
      <c r="B8" s="54" t="n">
        <f aca="false">Assumptions!C31</f>
        <v>0</v>
      </c>
      <c r="C8" s="48" t="n">
        <f aca="false">IF(B51&lt;&gt;0,B8/B51,0)</f>
        <v>0</v>
      </c>
    </row>
    <row r="9" customFormat="false" ht="15" hidden="false" customHeight="true" outlineLevel="0" collapsed="false">
      <c r="A9" s="55" t="s">
        <v>222</v>
      </c>
      <c r="B9" s="34" t="n">
        <f aca="false">SUM(B6:B8)</f>
        <v>2606950</v>
      </c>
      <c r="C9" s="56" t="n">
        <f aca="false">IF(B51&lt;&gt;0,B9/B51,0)</f>
        <v>0.957750877128529</v>
      </c>
    </row>
    <row r="10" customFormat="false" ht="15" hidden="false" customHeight="true" outlineLevel="0" collapsed="false">
      <c r="A10" s="2"/>
      <c r="B10" s="2"/>
      <c r="C10" s="2"/>
    </row>
    <row r="11" customFormat="false" ht="15" hidden="false" customHeight="true" outlineLevel="0" collapsed="false">
      <c r="A11" s="57" t="s">
        <v>223</v>
      </c>
      <c r="B11" s="53"/>
      <c r="C11" s="53"/>
    </row>
    <row r="12" customFormat="false" ht="15" hidden="false" customHeight="true" outlineLevel="0" collapsed="false">
      <c r="A12" s="7" t="s">
        <v>52</v>
      </c>
      <c r="B12" s="54" t="n">
        <f aca="false">Assumptions!C34</f>
        <v>25000</v>
      </c>
      <c r="C12" s="48" t="n">
        <f aca="false">IF(B51&lt;&gt;0,B12/B51,0)</f>
        <v>0.00918459192858061</v>
      </c>
    </row>
    <row r="13" customFormat="false" ht="15" hidden="false" customHeight="true" outlineLevel="0" collapsed="false">
      <c r="A13" s="7" t="s">
        <v>53</v>
      </c>
      <c r="B13" s="54" t="n">
        <f aca="false">Assumptions!C35</f>
        <v>8000</v>
      </c>
      <c r="C13" s="48" t="n">
        <f aca="false">IF(B51&lt;&gt;0,B13/B51,0)</f>
        <v>0.0029390694171458</v>
      </c>
    </row>
    <row r="14" customFormat="false" ht="15" hidden="false" customHeight="true" outlineLevel="0" collapsed="false">
      <c r="A14" s="7" t="s">
        <v>54</v>
      </c>
      <c r="B14" s="54" t="n">
        <f aca="false">Assumptions!C36</f>
        <v>5000</v>
      </c>
      <c r="C14" s="48" t="n">
        <f aca="false">IF(B51&lt;&gt;0,B14/B51,0)</f>
        <v>0.00183691838571612</v>
      </c>
    </row>
    <row r="15" customFormat="false" ht="15" hidden="false" customHeight="true" outlineLevel="0" collapsed="false">
      <c r="A15" s="7" t="s">
        <v>55</v>
      </c>
      <c r="B15" s="54" t="n">
        <f aca="false">Assumptions!C37</f>
        <v>5000</v>
      </c>
      <c r="C15" s="48" t="n">
        <f aca="false">IF(B51&lt;&gt;0,B15/B51,0)</f>
        <v>0.00183691838571612</v>
      </c>
    </row>
    <row r="16" customFormat="false" ht="15" hidden="false" customHeight="true" outlineLevel="0" collapsed="false">
      <c r="A16" s="7" t="s">
        <v>56</v>
      </c>
      <c r="B16" s="54" t="n">
        <f aca="false">Assumptions!C38</f>
        <v>6000</v>
      </c>
      <c r="C16" s="48" t="n">
        <f aca="false">IF(B51&lt;&gt;0,B16/B51,0)</f>
        <v>0.00220430206285935</v>
      </c>
    </row>
    <row r="17" customFormat="false" ht="15" hidden="false" customHeight="true" outlineLevel="0" collapsed="false">
      <c r="A17" s="7" t="s">
        <v>57</v>
      </c>
      <c r="B17" s="54" t="n">
        <f aca="false">Assumptions!C39</f>
        <v>0</v>
      </c>
      <c r="C17" s="48" t="n">
        <f aca="false">IF(B51&lt;&gt;0,B17/B51,0)</f>
        <v>0</v>
      </c>
    </row>
    <row r="18" customFormat="false" ht="15" hidden="false" customHeight="true" outlineLevel="0" collapsed="false">
      <c r="A18" s="7" t="s">
        <v>58</v>
      </c>
      <c r="B18" s="54" t="n">
        <f aca="false">Assumptions!C40</f>
        <v>0</v>
      </c>
      <c r="C18" s="48" t="n">
        <f aca="false">IF(B51&lt;&gt;0,B18/B51,0)</f>
        <v>0</v>
      </c>
    </row>
    <row r="19" customFormat="false" ht="15" hidden="false" customHeight="true" outlineLevel="0" collapsed="false">
      <c r="A19" s="7" t="s">
        <v>59</v>
      </c>
      <c r="B19" s="54" t="n">
        <f aca="false">Assumptions!C41</f>
        <v>0</v>
      </c>
      <c r="C19" s="48" t="n">
        <f aca="false">IF(B51&lt;&gt;0,B19/B51,0)</f>
        <v>0</v>
      </c>
    </row>
    <row r="20" customFormat="false" ht="15" hidden="false" customHeight="true" outlineLevel="0" collapsed="false">
      <c r="A20" s="7" t="s">
        <v>60</v>
      </c>
      <c r="B20" s="54" t="n">
        <f aca="false">Assumptions!C42</f>
        <v>3500</v>
      </c>
      <c r="C20" s="48" t="n">
        <f aca="false">IF(B51&lt;&gt;0,B20/B51,0)</f>
        <v>0.00128584287000129</v>
      </c>
    </row>
    <row r="21" customFormat="false" ht="15" hidden="false" customHeight="true" outlineLevel="0" collapsed="false">
      <c r="A21" s="7" t="s">
        <v>61</v>
      </c>
      <c r="B21" s="54" t="n">
        <f aca="false">Assumptions!C43</f>
        <v>0</v>
      </c>
      <c r="C21" s="48" t="n">
        <f aca="false">IF(B51&lt;&gt;0,B21/B51,0)</f>
        <v>0</v>
      </c>
    </row>
    <row r="22" customFormat="false" ht="15" hidden="false" customHeight="true" outlineLevel="0" collapsed="false">
      <c r="A22" s="7" t="s">
        <v>62</v>
      </c>
      <c r="B22" s="54" t="n">
        <f aca="false">Assumptions!C44</f>
        <v>0</v>
      </c>
      <c r="C22" s="48" t="n">
        <f aca="false">IF(B51&lt;&gt;0,B22/B51,0)</f>
        <v>0</v>
      </c>
    </row>
    <row r="23" customFormat="false" ht="15" hidden="false" customHeight="true" outlineLevel="0" collapsed="false">
      <c r="A23" s="7" t="s">
        <v>63</v>
      </c>
      <c r="B23" s="54" t="n">
        <f aca="false">Assumptions!C45</f>
        <v>0</v>
      </c>
      <c r="C23" s="48" t="n">
        <f aca="false">IF(B51&lt;&gt;0,B23/B51,0)</f>
        <v>0</v>
      </c>
    </row>
    <row r="24" customFormat="false" ht="15" hidden="false" customHeight="true" outlineLevel="0" collapsed="false">
      <c r="A24" s="58" t="s">
        <v>224</v>
      </c>
      <c r="B24" s="34" t="n">
        <f aca="false">SUM(B12:B23)</f>
        <v>52500</v>
      </c>
      <c r="C24" s="56" t="n">
        <f aca="false">IF(B51&lt;&gt;0,B24/B51,0)</f>
        <v>0.0192876430500193</v>
      </c>
    </row>
    <row r="25" customFormat="false" ht="15" hidden="false" customHeight="true" outlineLevel="0" collapsed="false">
      <c r="A25" s="2"/>
      <c r="B25" s="2"/>
      <c r="C25" s="2"/>
    </row>
    <row r="26" customFormat="false" ht="15" hidden="false" customHeight="true" outlineLevel="0" collapsed="false">
      <c r="A26" s="59" t="s">
        <v>225</v>
      </c>
      <c r="B26" s="53"/>
      <c r="C26" s="53"/>
    </row>
    <row r="27" customFormat="false" ht="15" hidden="false" customHeight="true" outlineLevel="0" collapsed="false">
      <c r="A27" s="7" t="s">
        <v>65</v>
      </c>
      <c r="B27" s="54" t="n">
        <f aca="false">Assumptions!C48</f>
        <v>25000</v>
      </c>
      <c r="C27" s="48" t="n">
        <f aca="false">IF(B51&lt;&gt;0,B27/B51,0)</f>
        <v>0.00918459192858061</v>
      </c>
    </row>
    <row r="28" customFormat="false" ht="15" hidden="false" customHeight="true" outlineLevel="0" collapsed="false">
      <c r="A28" s="7" t="s">
        <v>66</v>
      </c>
      <c r="B28" s="54" t="n">
        <f aca="false">Assumptions!C49</f>
        <v>0</v>
      </c>
      <c r="C28" s="48" t="n">
        <f aca="false">IF(B51&lt;&gt;0,B28/B51,0)</f>
        <v>0</v>
      </c>
    </row>
    <row r="29" customFormat="false" ht="15" hidden="false" customHeight="true" outlineLevel="0" collapsed="false">
      <c r="A29" s="7" t="s">
        <v>67</v>
      </c>
      <c r="B29" s="54" t="n">
        <f aca="false">Assumptions!C50</f>
        <v>17500</v>
      </c>
      <c r="C29" s="48" t="n">
        <f aca="false">IF(B51&lt;&gt;0,B29/B51,0)</f>
        <v>0.00642921435000643</v>
      </c>
    </row>
    <row r="30" customFormat="false" ht="15" hidden="false" customHeight="true" outlineLevel="0" collapsed="false">
      <c r="A30" s="7" t="s">
        <v>68</v>
      </c>
      <c r="B30" s="54" t="n">
        <f aca="false">Assumptions!C51</f>
        <v>0</v>
      </c>
      <c r="C30" s="48" t="n">
        <f aca="false">IF(B51&lt;&gt;0,B30/B51,0)</f>
        <v>0</v>
      </c>
    </row>
    <row r="31" customFormat="false" ht="15" hidden="false" customHeight="true" outlineLevel="0" collapsed="false">
      <c r="A31" s="60" t="s">
        <v>226</v>
      </c>
      <c r="B31" s="34" t="n">
        <f aca="false">SUM(B27:B30)</f>
        <v>42500</v>
      </c>
      <c r="C31" s="56" t="n">
        <f aca="false">IF(B51&lt;&gt;0,B31/B51,0)</f>
        <v>0.015613806278587</v>
      </c>
    </row>
    <row r="32" customFormat="false" ht="15" hidden="false" customHeight="true" outlineLevel="0" collapsed="false">
      <c r="A32" s="2"/>
      <c r="B32" s="2"/>
      <c r="C32" s="2"/>
    </row>
    <row r="33" customFormat="false" ht="15" hidden="false" customHeight="true" outlineLevel="0" collapsed="false">
      <c r="A33" s="61" t="s">
        <v>227</v>
      </c>
      <c r="B33" s="53"/>
      <c r="C33" s="53"/>
    </row>
    <row r="34" customFormat="false" ht="15" hidden="false" customHeight="true" outlineLevel="0" collapsed="false">
      <c r="A34" s="7" t="s">
        <v>70</v>
      </c>
      <c r="B34" s="54" t="n">
        <f aca="false">Assumptions!C54</f>
        <v>15000</v>
      </c>
      <c r="C34" s="48" t="n">
        <f aca="false">IF(B51&lt;&gt;0,B34/B51,0)</f>
        <v>0.00551075515714837</v>
      </c>
    </row>
    <row r="35" customFormat="false" ht="15" hidden="false" customHeight="true" outlineLevel="0" collapsed="false">
      <c r="A35" s="7" t="s">
        <v>71</v>
      </c>
      <c r="B35" s="54" t="n">
        <f aca="false">Assumptions!C55</f>
        <v>5000</v>
      </c>
      <c r="C35" s="48" t="n">
        <f aca="false">IF(B51&lt;&gt;0,B35/B51,0)</f>
        <v>0.00183691838571612</v>
      </c>
    </row>
    <row r="36" customFormat="false" ht="15" hidden="false" customHeight="true" outlineLevel="0" collapsed="false">
      <c r="A36" s="7" t="s">
        <v>228</v>
      </c>
      <c r="B36" s="54" t="n">
        <f aca="false">Assumptions!C56</f>
        <v>0</v>
      </c>
      <c r="C36" s="48" t="n">
        <f aca="false">IF(B51&lt;&gt;0,B36/B51,0)</f>
        <v>0</v>
      </c>
    </row>
    <row r="37" customFormat="false" ht="15" hidden="false" customHeight="true" outlineLevel="0" collapsed="false">
      <c r="A37" s="7" t="s">
        <v>229</v>
      </c>
      <c r="B37" s="54" t="n">
        <f aca="false">Assumptions!C57</f>
        <v>0</v>
      </c>
      <c r="C37" s="48" t="n">
        <f aca="false">IF(B51&lt;&gt;0,B37/B51,0)</f>
        <v>0</v>
      </c>
    </row>
    <row r="38" customFormat="false" ht="15" hidden="false" customHeight="true" outlineLevel="0" collapsed="false">
      <c r="A38" s="7" t="s">
        <v>74</v>
      </c>
      <c r="B38" s="54" t="n">
        <f aca="false">Assumptions!C58</f>
        <v>0</v>
      </c>
      <c r="C38" s="48" t="n">
        <f aca="false">IF(B51&lt;&gt;0,B38/B51,0)</f>
        <v>0</v>
      </c>
    </row>
    <row r="39" customFormat="false" ht="15" hidden="false" customHeight="true" outlineLevel="0" collapsed="false">
      <c r="A39" s="7" t="s">
        <v>230</v>
      </c>
      <c r="B39" s="54" t="n">
        <f aca="false">Assumptions!C59</f>
        <v>0</v>
      </c>
      <c r="C39" s="48" t="n">
        <f aca="false">IF(B51&lt;&gt;0,B39/B51,0)</f>
        <v>0</v>
      </c>
    </row>
    <row r="40" customFormat="false" ht="15" hidden="false" customHeight="true" outlineLevel="0" collapsed="false">
      <c r="A40" s="7" t="s">
        <v>76</v>
      </c>
      <c r="B40" s="54" t="n">
        <f aca="false">Assumptions!C60</f>
        <v>0</v>
      </c>
      <c r="C40" s="48" t="n">
        <f aca="false">IF(B51&lt;&gt;0,B40/B51,0)</f>
        <v>0</v>
      </c>
    </row>
    <row r="41" customFormat="false" ht="15" hidden="false" customHeight="true" outlineLevel="0" collapsed="false">
      <c r="A41" s="62" t="s">
        <v>231</v>
      </c>
      <c r="B41" s="34" t="n">
        <f aca="false">SUM(B34:B40)</f>
        <v>20000</v>
      </c>
      <c r="C41" s="56" t="n">
        <f aca="false">IF(B51&lt;&gt;0,B41/B51,0)</f>
        <v>0.00734767354286449</v>
      </c>
    </row>
    <row r="42" customFormat="false" ht="15" hidden="false" customHeight="true" outlineLevel="0" collapsed="false">
      <c r="A42" s="2"/>
      <c r="B42" s="2"/>
      <c r="C42" s="2"/>
    </row>
    <row r="43" customFormat="false" ht="15" hidden="false" customHeight="true" outlineLevel="0" collapsed="false">
      <c r="A43" s="63" t="s">
        <v>232</v>
      </c>
      <c r="B43" s="53"/>
      <c r="C43" s="53"/>
    </row>
    <row r="44" customFormat="false" ht="15" hidden="false" customHeight="true" outlineLevel="0" collapsed="false">
      <c r="A44" s="7" t="s">
        <v>233</v>
      </c>
      <c r="B44" s="54" t="n">
        <f aca="false">Assumptions!C63</f>
        <v>0</v>
      </c>
      <c r="C44" s="48" t="n">
        <f aca="false">IF(B51&lt;&gt;0,B44/B51,0)</f>
        <v>0</v>
      </c>
    </row>
    <row r="45" customFormat="false" ht="15" hidden="false" customHeight="true" outlineLevel="0" collapsed="false">
      <c r="A45" s="7" t="s">
        <v>79</v>
      </c>
      <c r="B45" s="54" t="n">
        <f aca="false">Assumptions!C64</f>
        <v>0</v>
      </c>
      <c r="C45" s="48" t="n">
        <f aca="false">IF(B51&lt;&gt;0,B45/B51,0)</f>
        <v>0</v>
      </c>
    </row>
    <row r="46" customFormat="false" ht="15" hidden="false" customHeight="true" outlineLevel="0" collapsed="false">
      <c r="A46" s="7" t="s">
        <v>80</v>
      </c>
      <c r="B46" s="54" t="n">
        <f aca="false">Assumptions!C65</f>
        <v>0</v>
      </c>
      <c r="C46" s="48" t="n">
        <f aca="false">IF(B51&lt;&gt;0,B46/B51,0)</f>
        <v>0</v>
      </c>
    </row>
    <row r="47" customFormat="false" ht="15" hidden="false" customHeight="true" outlineLevel="0" collapsed="false">
      <c r="A47" s="7" t="s">
        <v>81</v>
      </c>
      <c r="B47" s="54" t="n">
        <f aca="false">Assumptions!C66</f>
        <v>0</v>
      </c>
      <c r="C47" s="48" t="n">
        <f aca="false">IF(B51&lt;&gt;0,B47/B51,0)</f>
        <v>0</v>
      </c>
    </row>
    <row r="48" customFormat="false" ht="15" hidden="false" customHeight="true" outlineLevel="0" collapsed="false">
      <c r="A48" s="7" t="s">
        <v>82</v>
      </c>
      <c r="B48" s="54" t="n">
        <f aca="false">Assumptions!C67</f>
        <v>0</v>
      </c>
      <c r="C48" s="48" t="n">
        <f aca="false">IF(B51&lt;&gt;0,B48/B51,0)</f>
        <v>0</v>
      </c>
    </row>
    <row r="49" customFormat="false" ht="15" hidden="false" customHeight="true" outlineLevel="0" collapsed="false">
      <c r="A49" s="64" t="s">
        <v>234</v>
      </c>
      <c r="B49" s="34" t="n">
        <f aca="false">SUM(B44:B48)</f>
        <v>0</v>
      </c>
      <c r="C49" s="56" t="n">
        <f aca="false">IF(B51&lt;&gt;0,B49/B51,0)</f>
        <v>0</v>
      </c>
    </row>
    <row r="50" customFormat="false" ht="15" hidden="false" customHeight="true" outlineLevel="0" collapsed="false">
      <c r="A50" s="2"/>
      <c r="B50" s="2"/>
      <c r="C50" s="2"/>
    </row>
    <row r="51" customFormat="false" ht="15" hidden="false" customHeight="true" outlineLevel="0" collapsed="false">
      <c r="A51" s="65" t="s">
        <v>101</v>
      </c>
      <c r="B51" s="66" t="n">
        <f aca="false">B9+B24+B31+B41+B49</f>
        <v>2721950</v>
      </c>
      <c r="C51" s="67"/>
    </row>
    <row r="52" customFormat="false" ht="15" hidden="false" customHeight="true" outlineLevel="0" collapsed="false">
      <c r="A52" s="2"/>
      <c r="B52" s="2"/>
      <c r="C52" s="2"/>
    </row>
    <row r="53" customFormat="false" ht="15" hidden="false" customHeight="true" outlineLevel="0" collapsed="false">
      <c r="A53" s="10" t="s">
        <v>235</v>
      </c>
      <c r="B53" s="10"/>
      <c r="C53" s="10"/>
    </row>
    <row r="54" customFormat="false" ht="15" hidden="false" customHeight="true" outlineLevel="0" collapsed="false">
      <c r="A54" s="7" t="s">
        <v>95</v>
      </c>
      <c r="B54" s="54" t="n">
        <f aca="false">Assumptions!C82</f>
        <v>1750000</v>
      </c>
      <c r="C54" s="2"/>
    </row>
    <row r="55" customFormat="false" ht="15" hidden="false" customHeight="true" outlineLevel="0" collapsed="false">
      <c r="A55" s="7" t="s">
        <v>96</v>
      </c>
      <c r="B55" s="54" t="n">
        <f aca="false">Assumptions!C83</f>
        <v>0</v>
      </c>
      <c r="C55" s="2"/>
    </row>
    <row r="56" customFormat="false" ht="15" hidden="false" customHeight="true" outlineLevel="0" collapsed="false">
      <c r="A56" s="7" t="s">
        <v>97</v>
      </c>
      <c r="B56" s="54" t="n">
        <f aca="false">Assumptions!C84</f>
        <v>0</v>
      </c>
      <c r="C56" s="2"/>
    </row>
    <row r="57" customFormat="false" ht="15" hidden="false" customHeight="true" outlineLevel="0" collapsed="false">
      <c r="A57" s="7" t="s">
        <v>98</v>
      </c>
      <c r="B57" s="54" t="n">
        <f aca="false">Assumptions!C85</f>
        <v>0</v>
      </c>
      <c r="C57" s="2"/>
    </row>
    <row r="58" customFormat="false" ht="15" hidden="false" customHeight="true" outlineLevel="0" collapsed="false">
      <c r="A58" s="7" t="s">
        <v>99</v>
      </c>
      <c r="B58" s="54" t="n">
        <f aca="false">Assumptions!C86</f>
        <v>0</v>
      </c>
      <c r="C58" s="2"/>
    </row>
    <row r="59" customFormat="false" ht="15" hidden="false" customHeight="true" outlineLevel="0" collapsed="false">
      <c r="A59" s="7" t="s">
        <v>100</v>
      </c>
      <c r="B59" s="54" t="n">
        <f aca="false">Assumptions!C87</f>
        <v>0</v>
      </c>
      <c r="C59" s="2"/>
    </row>
    <row r="60" customFormat="false" ht="15" hidden="false" customHeight="true" outlineLevel="0" collapsed="false">
      <c r="A60" s="68" t="s">
        <v>102</v>
      </c>
      <c r="B60" s="69" t="n">
        <f aca="false">SUM(B54:B59)</f>
        <v>1750000</v>
      </c>
      <c r="C60" s="70"/>
    </row>
    <row r="61" customFormat="false" ht="15" hidden="false" customHeight="true" outlineLevel="0" collapsed="false">
      <c r="A61" s="2"/>
      <c r="B61" s="2"/>
      <c r="C61" s="2"/>
    </row>
    <row r="62" customFormat="false" ht="15" hidden="false" customHeight="true" outlineLevel="0" collapsed="false">
      <c r="A62" s="71" t="s">
        <v>236</v>
      </c>
      <c r="B62" s="47" t="n">
        <f aca="false">B60-B51</f>
        <v>-971950</v>
      </c>
      <c r="C62" s="2"/>
    </row>
  </sheetData>
  <mergeCells count="3">
    <mergeCell ref="A1:C1"/>
    <mergeCell ref="A2:C2"/>
    <mergeCell ref="A53:C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4D4D"/>
    <pageSetUpPr fitToPage="false"/>
  </sheetPr>
  <dimension ref="A1:F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5" min="3" style="1" width="16"/>
  </cols>
  <sheetData>
    <row r="1" customFormat="false" ht="36" hidden="false" customHeight="true" outlineLevel="0" collapsed="false">
      <c r="A1" s="72" t="s">
        <v>237</v>
      </c>
      <c r="B1" s="72"/>
      <c r="C1" s="72"/>
      <c r="D1" s="72"/>
      <c r="E1" s="72"/>
      <c r="F1" s="2"/>
    </row>
    <row r="2" customFormat="false" ht="15" hidden="false" customHeight="true" outlineLevel="0" collapsed="false">
      <c r="A2" s="73" t="s">
        <v>238</v>
      </c>
      <c r="B2" s="73"/>
      <c r="C2" s="73"/>
      <c r="D2" s="73"/>
      <c r="E2" s="73"/>
      <c r="F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</row>
    <row r="4" customFormat="false" ht="25.5" hidden="false" customHeight="true" outlineLevel="0" collapsed="false">
      <c r="A4" s="25" t="s">
        <v>239</v>
      </c>
      <c r="B4" s="25"/>
      <c r="C4" s="25"/>
      <c r="D4" s="25"/>
      <c r="E4" s="25"/>
      <c r="F4" s="2"/>
    </row>
    <row r="5" customFormat="false" ht="15" hidden="false" customHeight="true" outlineLevel="0" collapsed="false">
      <c r="A5" s="2"/>
      <c r="B5" s="74" t="s">
        <v>7</v>
      </c>
      <c r="C5" s="75" t="n">
        <f aca="false">Assumptions!$C$17</f>
        <v>2500000</v>
      </c>
      <c r="D5" s="2"/>
      <c r="E5" s="2"/>
      <c r="F5" s="2"/>
    </row>
    <row r="6" customFormat="false" ht="15" hidden="false" customHeight="true" outlineLevel="0" collapsed="false">
      <c r="A6" s="53"/>
      <c r="B6" s="76" t="s">
        <v>240</v>
      </c>
      <c r="C6" s="77" t="n">
        <f aca="false">Assumptions!$C$19+Assumptions!$C$20</f>
        <v>181950</v>
      </c>
      <c r="D6" s="53"/>
      <c r="E6" s="53"/>
      <c r="F6" s="2"/>
    </row>
    <row r="7" customFormat="false" ht="15" hidden="false" customHeight="true" outlineLevel="0" collapsed="false">
      <c r="A7" s="2"/>
      <c r="B7" s="74" t="s">
        <v>241</v>
      </c>
      <c r="C7" s="75" t="n">
        <f aca="false">SUM(Assumptions!$C$34:$C$45)</f>
        <v>52500</v>
      </c>
      <c r="D7" s="2"/>
      <c r="E7" s="2"/>
      <c r="F7" s="2"/>
    </row>
    <row r="8" customFormat="false" ht="15" hidden="false" customHeight="true" outlineLevel="0" collapsed="false">
      <c r="A8" s="53"/>
      <c r="B8" s="76" t="s">
        <v>225</v>
      </c>
      <c r="C8" s="77" t="n">
        <f aca="false">SUM(Assumptions!$C$48:$C$51)</f>
        <v>42500</v>
      </c>
      <c r="D8" s="53"/>
      <c r="E8" s="53"/>
      <c r="F8" s="2"/>
    </row>
    <row r="9" customFormat="false" ht="15" hidden="false" customHeight="true" outlineLevel="0" collapsed="false">
      <c r="A9" s="2"/>
      <c r="B9" s="74" t="s">
        <v>227</v>
      </c>
      <c r="C9" s="75" t="n">
        <f aca="false">SUM(Assumptions!$C$54:$C$60)</f>
        <v>20000</v>
      </c>
      <c r="D9" s="2"/>
      <c r="E9" s="2"/>
      <c r="F9" s="2"/>
    </row>
    <row r="10" customFormat="false" ht="15" hidden="false" customHeight="true" outlineLevel="0" collapsed="false">
      <c r="A10" s="53"/>
      <c r="B10" s="76" t="s">
        <v>242</v>
      </c>
      <c r="C10" s="77" t="n">
        <f aca="false">SUM(Assumptions!$C$63:$C$67)</f>
        <v>0</v>
      </c>
      <c r="D10" s="53"/>
      <c r="E10" s="53"/>
      <c r="F10" s="2"/>
    </row>
    <row r="11" customFormat="false" ht="15" hidden="false" customHeight="true" outlineLevel="0" collapsed="false">
      <c r="A11" s="2"/>
      <c r="B11" s="2"/>
      <c r="C11" s="2"/>
      <c r="D11" s="2"/>
      <c r="E11" s="2"/>
      <c r="F11" s="2"/>
    </row>
    <row r="12" customFormat="false" ht="15" hidden="false" customHeight="true" outlineLevel="0" collapsed="false">
      <c r="A12" s="65"/>
      <c r="B12" s="78" t="s">
        <v>243</v>
      </c>
      <c r="C12" s="66" t="n">
        <f aca="false">SUM(C5:C10)</f>
        <v>2796950</v>
      </c>
      <c r="D12" s="65"/>
      <c r="E12" s="65"/>
      <c r="F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</row>
    <row r="14" customFormat="false" ht="25.5" hidden="false" customHeight="true" outlineLevel="0" collapsed="false">
      <c r="A14" s="25" t="s">
        <v>244</v>
      </c>
      <c r="B14" s="25"/>
      <c r="C14" s="25"/>
      <c r="D14" s="25"/>
      <c r="E14" s="25"/>
      <c r="F14" s="2"/>
    </row>
    <row r="15" customFormat="false" ht="15" hidden="false" customHeight="true" outlineLevel="0" collapsed="false">
      <c r="A15" s="2"/>
      <c r="B15" s="7" t="s">
        <v>245</v>
      </c>
      <c r="C15" s="79" t="n">
        <v>0</v>
      </c>
      <c r="D15" s="2"/>
      <c r="E15" s="2"/>
      <c r="F15" s="2"/>
    </row>
    <row r="16" customFormat="false" ht="15" hidden="false" customHeight="true" outlineLevel="0" collapsed="false">
      <c r="A16" s="2"/>
      <c r="B16" s="7" t="s">
        <v>246</v>
      </c>
      <c r="C16" s="79" t="n">
        <v>0</v>
      </c>
      <c r="D16" s="2"/>
      <c r="E16" s="2"/>
      <c r="F16" s="2"/>
    </row>
    <row r="17" customFormat="false" ht="15" hidden="false" customHeight="true" outlineLevel="0" collapsed="false">
      <c r="A17" s="2"/>
      <c r="B17" s="80" t="s">
        <v>247</v>
      </c>
      <c r="C17" s="81" t="n">
        <f aca="false">C15+C16</f>
        <v>0</v>
      </c>
      <c r="D17" s="2"/>
      <c r="E17" s="2"/>
      <c r="F17" s="2"/>
    </row>
    <row r="18" customFormat="false" ht="15" hidden="false" customHeight="true" outlineLevel="0" collapsed="false">
      <c r="A18" s="2"/>
      <c r="B18" s="2"/>
      <c r="C18" s="51" t="s">
        <v>219</v>
      </c>
      <c r="D18" s="51" t="s">
        <v>248</v>
      </c>
      <c r="E18" s="51" t="s">
        <v>249</v>
      </c>
      <c r="F18" s="2"/>
    </row>
    <row r="19" customFormat="false" ht="15" hidden="false" customHeight="true" outlineLevel="0" collapsed="false">
      <c r="A19" s="2"/>
      <c r="B19" s="74" t="s">
        <v>250</v>
      </c>
      <c r="C19" s="82" t="n">
        <v>0</v>
      </c>
      <c r="D19" s="83" t="s">
        <v>251</v>
      </c>
      <c r="E19" s="75" t="n">
        <f aca="false">C19*C17</f>
        <v>0</v>
      </c>
      <c r="F19" s="2"/>
    </row>
    <row r="20" customFormat="false" ht="15" hidden="false" customHeight="true" outlineLevel="0" collapsed="false">
      <c r="A20" s="53"/>
      <c r="B20" s="76" t="s">
        <v>252</v>
      </c>
      <c r="C20" s="84" t="n">
        <v>0</v>
      </c>
      <c r="D20" s="85" t="s">
        <v>251</v>
      </c>
      <c r="E20" s="77" t="n">
        <f aca="false">C20*C17</f>
        <v>0</v>
      </c>
      <c r="F20" s="2"/>
    </row>
    <row r="21" customFormat="false" ht="15" hidden="false" customHeight="true" outlineLevel="0" collapsed="false">
      <c r="A21" s="2"/>
      <c r="B21" s="74" t="s">
        <v>253</v>
      </c>
      <c r="C21" s="82" t="n">
        <v>0</v>
      </c>
      <c r="D21" s="83" t="s">
        <v>251</v>
      </c>
      <c r="E21" s="75" t="n">
        <f aca="false">C21*C17</f>
        <v>0</v>
      </c>
      <c r="F21" s="2"/>
    </row>
    <row r="22" customFormat="false" ht="15" hidden="false" customHeight="true" outlineLevel="0" collapsed="false">
      <c r="A22" s="53"/>
      <c r="B22" s="76" t="s">
        <v>254</v>
      </c>
      <c r="C22" s="84" t="n">
        <v>0</v>
      </c>
      <c r="D22" s="85" t="s">
        <v>251</v>
      </c>
      <c r="E22" s="77" t="n">
        <f aca="false">C22*C17</f>
        <v>0</v>
      </c>
      <c r="F22" s="2"/>
    </row>
    <row r="23" customFormat="false" ht="15" hidden="false" customHeight="true" outlineLevel="0" collapsed="false">
      <c r="A23" s="2"/>
      <c r="B23" s="74" t="s">
        <v>255</v>
      </c>
      <c r="C23" s="82" t="n">
        <v>0</v>
      </c>
      <c r="D23" s="83" t="s">
        <v>251</v>
      </c>
      <c r="E23" s="75" t="n">
        <f aca="false">C23*C17</f>
        <v>0</v>
      </c>
      <c r="F23" s="2"/>
    </row>
    <row r="24" customFormat="false" ht="15" hidden="false" customHeight="true" outlineLevel="0" collapsed="false">
      <c r="A24" s="53"/>
      <c r="B24" s="76" t="s">
        <v>256</v>
      </c>
      <c r="C24" s="84" t="n">
        <v>0</v>
      </c>
      <c r="D24" s="85" t="s">
        <v>251</v>
      </c>
      <c r="E24" s="77" t="n">
        <f aca="false">C24*C17</f>
        <v>0</v>
      </c>
      <c r="F24" s="2"/>
    </row>
    <row r="25" customFormat="false" ht="15" hidden="false" customHeight="true" outlineLevel="0" collapsed="false">
      <c r="A25" s="2"/>
      <c r="B25" s="74" t="s">
        <v>257</v>
      </c>
      <c r="C25" s="82" t="n">
        <v>0</v>
      </c>
      <c r="D25" s="83" t="s">
        <v>258</v>
      </c>
      <c r="E25" s="75" t="n">
        <f aca="false">C25</f>
        <v>0</v>
      </c>
      <c r="F25" s="2"/>
    </row>
    <row r="26" customFormat="false" ht="15" hidden="false" customHeight="true" outlineLevel="0" collapsed="false">
      <c r="A26" s="53"/>
      <c r="B26" s="76" t="s">
        <v>259</v>
      </c>
      <c r="C26" s="84" t="n">
        <v>0</v>
      </c>
      <c r="D26" s="85" t="s">
        <v>258</v>
      </c>
      <c r="E26" s="77" t="n">
        <f aca="false">C26</f>
        <v>0</v>
      </c>
      <c r="F26" s="2"/>
    </row>
    <row r="27" customFormat="false" ht="15" hidden="false" customHeight="true" outlineLevel="0" collapsed="false">
      <c r="A27" s="2"/>
      <c r="B27" s="2"/>
      <c r="C27" s="2"/>
      <c r="D27" s="2"/>
      <c r="E27" s="2"/>
      <c r="F27" s="2"/>
    </row>
    <row r="28" customFormat="false" ht="15" hidden="false" customHeight="true" outlineLevel="0" collapsed="false">
      <c r="A28" s="86"/>
      <c r="B28" s="87" t="s">
        <v>260</v>
      </c>
      <c r="C28" s="86"/>
      <c r="D28" s="86"/>
      <c r="E28" s="88" t="n">
        <f aca="false">SUM(E19:E26)</f>
        <v>0</v>
      </c>
      <c r="F28" s="2"/>
    </row>
    <row r="29" customFormat="false" ht="15" hidden="false" customHeight="true" outlineLevel="0" collapsed="false">
      <c r="A29" s="2"/>
      <c r="B29" s="2"/>
      <c r="C29" s="2"/>
      <c r="D29" s="2"/>
      <c r="E29" s="2"/>
      <c r="F29" s="2"/>
    </row>
    <row r="30" customFormat="false" ht="15" hidden="false" customHeight="true" outlineLevel="0" collapsed="false">
      <c r="A30" s="89"/>
      <c r="B30" s="90" t="s">
        <v>261</v>
      </c>
      <c r="C30" s="89"/>
      <c r="D30" s="89"/>
      <c r="E30" s="91" t="n">
        <f aca="false">C12+E28</f>
        <v>2796950</v>
      </c>
      <c r="F30" s="2"/>
    </row>
    <row r="31" customFormat="false" ht="15" hidden="false" customHeight="true" outlineLevel="0" collapsed="false">
      <c r="A31" s="2"/>
      <c r="B31" s="2"/>
      <c r="C31" s="2"/>
      <c r="D31" s="2"/>
      <c r="E31" s="2"/>
      <c r="F31" s="2"/>
    </row>
    <row r="32" customFormat="false" ht="25.5" hidden="false" customHeight="true" outlineLevel="0" collapsed="false">
      <c r="A32" s="25" t="s">
        <v>262</v>
      </c>
      <c r="B32" s="25"/>
      <c r="C32" s="25"/>
      <c r="D32" s="25"/>
      <c r="E32" s="25"/>
      <c r="F32" s="2"/>
    </row>
    <row r="33" customFormat="false" ht="15" hidden="false" customHeight="true" outlineLevel="0" collapsed="false">
      <c r="A33" s="2"/>
      <c r="B33" s="7" t="s">
        <v>263</v>
      </c>
      <c r="C33" s="92" t="n">
        <v>0</v>
      </c>
      <c r="D33" s="2"/>
      <c r="E33" s="2"/>
      <c r="F33" s="2"/>
    </row>
    <row r="34" customFormat="false" ht="15" hidden="false" customHeight="true" outlineLevel="0" collapsed="false">
      <c r="A34" s="2"/>
      <c r="B34" s="7" t="s">
        <v>264</v>
      </c>
      <c r="C34" s="93" t="n">
        <v>0.05</v>
      </c>
      <c r="D34" s="2"/>
      <c r="E34" s="2"/>
      <c r="F34" s="2"/>
    </row>
    <row r="35" customFormat="false" ht="15" hidden="false" customHeight="true" outlineLevel="0" collapsed="false">
      <c r="A35" s="2"/>
      <c r="B35" s="7" t="s">
        <v>265</v>
      </c>
      <c r="C35" s="35" t="n">
        <f aca="false">-C33*C34</f>
        <v>-0</v>
      </c>
      <c r="D35" s="2"/>
      <c r="E35" s="2"/>
      <c r="F35" s="2"/>
    </row>
    <row r="36" customFormat="false" ht="15" hidden="false" customHeight="true" outlineLevel="0" collapsed="false">
      <c r="A36" s="2"/>
      <c r="B36" s="7" t="s">
        <v>266</v>
      </c>
      <c r="C36" s="35" t="n">
        <f aca="false">-C33*Assumptions!$C$18</f>
        <v>-0</v>
      </c>
      <c r="D36" s="2"/>
      <c r="E36" s="2"/>
      <c r="F36" s="2"/>
    </row>
    <row r="37" customFormat="false" ht="15" hidden="false" customHeight="true" outlineLevel="0" collapsed="false">
      <c r="A37" s="2"/>
      <c r="B37" s="7" t="s">
        <v>267</v>
      </c>
      <c r="C37" s="92" t="n">
        <v>0</v>
      </c>
      <c r="D37" s="2"/>
      <c r="E37" s="2"/>
      <c r="F37" s="2"/>
    </row>
    <row r="38" customFormat="false" ht="15" hidden="false" customHeight="true" outlineLevel="0" collapsed="false">
      <c r="A38" s="2"/>
      <c r="B38" s="7" t="s">
        <v>268</v>
      </c>
      <c r="C38" s="35" t="n">
        <f aca="false">-Assumptions!$C$71</f>
        <v>-1750000</v>
      </c>
      <c r="D38" s="2"/>
      <c r="E38" s="2"/>
      <c r="F38" s="2"/>
    </row>
    <row r="39" customFormat="false" ht="15" hidden="false" customHeight="true" outlineLevel="0" collapsed="false">
      <c r="A39" s="2"/>
      <c r="B39" s="2"/>
      <c r="C39" s="2"/>
      <c r="D39" s="2"/>
      <c r="E39" s="2"/>
      <c r="F39" s="2"/>
    </row>
    <row r="40" customFormat="false" ht="15" hidden="false" customHeight="true" outlineLevel="0" collapsed="false">
      <c r="A40" s="94"/>
      <c r="B40" s="95" t="s">
        <v>269</v>
      </c>
      <c r="C40" s="96" t="n">
        <f aca="false">C33+C35+C36+C37+C38</f>
        <v>-1750000</v>
      </c>
      <c r="D40" s="94"/>
      <c r="E40" s="94"/>
      <c r="F40" s="2"/>
    </row>
    <row r="41" customFormat="false" ht="15" hidden="false" customHeight="true" outlineLevel="0" collapsed="false">
      <c r="A41" s="2"/>
      <c r="B41" s="2"/>
      <c r="C41" s="2"/>
      <c r="D41" s="2"/>
      <c r="E41" s="2"/>
      <c r="F41" s="2"/>
    </row>
    <row r="42" customFormat="false" ht="25.5" hidden="false" customHeight="true" outlineLevel="0" collapsed="false">
      <c r="A42" s="25" t="s">
        <v>270</v>
      </c>
      <c r="B42" s="25"/>
      <c r="C42" s="25"/>
      <c r="D42" s="25"/>
      <c r="E42" s="25"/>
      <c r="F42" s="2"/>
    </row>
    <row r="43" customFormat="false" ht="15" hidden="false" customHeight="true" outlineLevel="0" collapsed="false">
      <c r="A43" s="2"/>
      <c r="B43" s="7" t="s">
        <v>271</v>
      </c>
      <c r="C43" s="35" t="n">
        <f aca="false">C40</f>
        <v>-1750000</v>
      </c>
      <c r="D43" s="2"/>
      <c r="E43" s="2"/>
      <c r="F43" s="2"/>
    </row>
    <row r="44" customFormat="false" ht="15" hidden="false" customHeight="true" outlineLevel="0" collapsed="false">
      <c r="A44" s="2"/>
      <c r="B44" s="7" t="s">
        <v>272</v>
      </c>
      <c r="C44" s="35" t="n">
        <f aca="false">-Assumptions!$C$91</f>
        <v>-971950</v>
      </c>
      <c r="D44" s="2"/>
      <c r="E44" s="2"/>
      <c r="F44" s="2"/>
    </row>
    <row r="45" customFormat="false" ht="15" hidden="false" customHeight="true" outlineLevel="0" collapsed="false">
      <c r="A45" s="2"/>
      <c r="B45" s="2"/>
      <c r="C45" s="2"/>
      <c r="D45" s="2"/>
      <c r="E45" s="2"/>
      <c r="F45" s="2"/>
    </row>
    <row r="46" customFormat="false" ht="15" hidden="false" customHeight="true" outlineLevel="0" collapsed="false">
      <c r="A46" s="65"/>
      <c r="B46" s="78" t="s">
        <v>273</v>
      </c>
      <c r="C46" s="66" t="n">
        <f aca="false">C40+C44</f>
        <v>-2721950</v>
      </c>
      <c r="D46" s="65"/>
      <c r="E46" s="65"/>
      <c r="F46" s="2"/>
    </row>
    <row r="47" customFormat="false" ht="15" hidden="false" customHeight="true" outlineLevel="0" collapsed="false">
      <c r="A47" s="2"/>
      <c r="B47" s="2"/>
      <c r="C47" s="2"/>
      <c r="D47" s="2"/>
      <c r="E47" s="2"/>
      <c r="F47" s="2"/>
    </row>
    <row r="48" customFormat="false" ht="15" hidden="false" customHeight="true" outlineLevel="0" collapsed="false">
      <c r="A48" s="2"/>
      <c r="B48" s="97" t="s">
        <v>274</v>
      </c>
      <c r="C48" s="98" t="n">
        <f aca="false">IF(C33&gt;0,C46/C33,0)</f>
        <v>0</v>
      </c>
      <c r="D48" s="2"/>
      <c r="E48" s="2"/>
      <c r="F48" s="2"/>
    </row>
    <row r="49" customFormat="false" ht="15" hidden="false" customHeight="true" outlineLevel="0" collapsed="false">
      <c r="A49" s="2"/>
      <c r="B49" s="97" t="s">
        <v>275</v>
      </c>
      <c r="C49" s="98" t="n">
        <f aca="false">IF(Assumptions!$C$91&gt;0,C46/Assumptions!$C$91,0)</f>
        <v>-2.80050414115952</v>
      </c>
      <c r="D49" s="2"/>
      <c r="E49" s="2"/>
      <c r="F49" s="2"/>
    </row>
    <row r="50" customFormat="false" ht="15" hidden="false" customHeight="true" outlineLevel="0" collapsed="false">
      <c r="A50" s="2"/>
      <c r="B50" s="97" t="s">
        <v>276</v>
      </c>
      <c r="C50" s="98" t="n">
        <f aca="false">IF(E30&gt;0,(C33-E30)/E30,0)</f>
        <v>-1</v>
      </c>
      <c r="D50" s="2"/>
      <c r="E50" s="2"/>
      <c r="F50" s="2"/>
    </row>
    <row r="51" customFormat="false" ht="15" hidden="false" customHeight="true" outlineLevel="0" collapsed="false">
      <c r="A51" s="2"/>
      <c r="B51" s="97" t="s">
        <v>15</v>
      </c>
      <c r="C51" s="99" t="n">
        <f aca="false">IF(Assumptions!$C$91&gt;0,C40/Assumptions!$C$91,0)</f>
        <v>-1.80050414115952</v>
      </c>
      <c r="D51" s="2"/>
      <c r="E51" s="2"/>
      <c r="F51" s="2"/>
    </row>
    <row r="52" customFormat="false" ht="15" hidden="false" customHeight="true" outlineLevel="0" collapsed="false">
      <c r="A52" s="2"/>
      <c r="B52" s="97" t="s">
        <v>277</v>
      </c>
      <c r="C52" s="100" t="n">
        <f aca="false">C17</f>
        <v>0</v>
      </c>
      <c r="D52" s="2"/>
      <c r="E52" s="2"/>
      <c r="F52" s="2"/>
    </row>
    <row r="53" customFormat="false" ht="15" hidden="false" customHeight="true" outlineLevel="0" collapsed="false">
      <c r="A53" s="2"/>
      <c r="B53" s="97" t="s">
        <v>278</v>
      </c>
      <c r="C53" s="98" t="n">
        <f aca="false">IF(AND(Assumptions!$C$91&gt;0,C17&gt;0),(C46/Assumptions!$C$91)/(C17/12),0)</f>
        <v>0</v>
      </c>
      <c r="D53" s="2"/>
      <c r="E53" s="2"/>
      <c r="F53" s="2"/>
    </row>
    <row r="54" customFormat="false" ht="15" hidden="false" customHeight="true" outlineLevel="0" collapsed="false">
      <c r="A54" s="2"/>
      <c r="B54" s="2"/>
      <c r="C54" s="2"/>
      <c r="D54" s="2"/>
      <c r="E54" s="2"/>
      <c r="F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</row>
  </sheetData>
  <mergeCells count="6">
    <mergeCell ref="A1:E1"/>
    <mergeCell ref="A2:E2"/>
    <mergeCell ref="A4:E4"/>
    <mergeCell ref="A14:E14"/>
    <mergeCell ref="A32:E32"/>
    <mergeCell ref="A42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2820"/>
    <pageSetUpPr fitToPage="false"/>
  </sheetPr>
  <dimension ref="A1: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8"/>
  </cols>
  <sheetData>
    <row r="1" customFormat="false" ht="36" hidden="false" customHeight="true" outlineLevel="0" collapsed="false">
      <c r="A1" s="72" t="s">
        <v>279</v>
      </c>
      <c r="B1" s="72"/>
      <c r="C1" s="72"/>
    </row>
    <row r="2" customFormat="false" ht="15" hidden="false" customHeight="false" outlineLevel="0" collapsed="false">
      <c r="A2" s="73" t="s">
        <v>280</v>
      </c>
      <c r="B2" s="73"/>
      <c r="C2" s="73"/>
    </row>
    <row r="3" customFormat="false" ht="15" hidden="false" customHeight="false" outlineLevel="0" collapsed="false">
      <c r="A3" s="2"/>
      <c r="B3" s="2"/>
      <c r="C3" s="2"/>
    </row>
    <row r="4" customFormat="false" ht="25.5" hidden="false" customHeight="true" outlineLevel="0" collapsed="false">
      <c r="A4" s="25" t="s">
        <v>281</v>
      </c>
      <c r="B4" s="25"/>
      <c r="C4" s="25"/>
    </row>
    <row r="5" customFormat="false" ht="15" hidden="false" customHeight="false" outlineLevel="0" collapsed="false">
      <c r="A5" s="2"/>
      <c r="B5" s="51"/>
      <c r="C5" s="51" t="s">
        <v>219</v>
      </c>
    </row>
    <row r="6" customFormat="false" ht="15" hidden="false" customHeight="false" outlineLevel="0" collapsed="false">
      <c r="A6" s="2"/>
      <c r="B6" s="101" t="s">
        <v>179</v>
      </c>
      <c r="C6" s="102" t="n">
        <f aca="false">Assumptions!$C$175</f>
        <v>0</v>
      </c>
    </row>
    <row r="7" customFormat="false" ht="15" hidden="false" customHeight="false" outlineLevel="0" collapsed="false">
      <c r="A7" s="2"/>
      <c r="B7" s="101" t="s">
        <v>181</v>
      </c>
      <c r="C7" s="102" t="n">
        <f aca="false">Assumptions!$C$176</f>
        <v>1</v>
      </c>
    </row>
    <row r="8" customFormat="false" ht="15" hidden="false" customHeight="false" outlineLevel="0" collapsed="false">
      <c r="A8" s="2"/>
      <c r="B8" s="101" t="s">
        <v>282</v>
      </c>
      <c r="C8" s="75" t="n">
        <f aca="false">Assumptions!$C$91</f>
        <v>971950</v>
      </c>
    </row>
    <row r="9" customFormat="false" ht="15" hidden="false" customHeight="false" outlineLevel="0" collapsed="false">
      <c r="A9" s="2"/>
      <c r="B9" s="101" t="s">
        <v>283</v>
      </c>
      <c r="C9" s="75" t="n">
        <f aca="false">C6*C8</f>
        <v>0</v>
      </c>
    </row>
    <row r="10" customFormat="false" ht="15" hidden="false" customHeight="false" outlineLevel="0" collapsed="false">
      <c r="A10" s="2"/>
      <c r="B10" s="101" t="s">
        <v>284</v>
      </c>
      <c r="C10" s="75" t="n">
        <f aca="false">C7*C8</f>
        <v>971950</v>
      </c>
    </row>
    <row r="11" customFormat="false" ht="15" hidden="false" customHeight="false" outlineLevel="0" collapsed="false">
      <c r="A11" s="2"/>
      <c r="B11" s="2"/>
      <c r="C11" s="2"/>
    </row>
    <row r="12" customFormat="false" ht="25.5" hidden="false" customHeight="true" outlineLevel="0" collapsed="false">
      <c r="A12" s="25" t="s">
        <v>285</v>
      </c>
      <c r="B12" s="25"/>
      <c r="C12" s="25"/>
    </row>
    <row r="13" customFormat="false" ht="15" hidden="false" customHeight="false" outlineLevel="0" collapsed="false">
      <c r="A13" s="2"/>
      <c r="B13" s="51"/>
      <c r="C13" s="51" t="s">
        <v>219</v>
      </c>
    </row>
    <row r="14" customFormat="false" ht="15" hidden="false" customHeight="false" outlineLevel="0" collapsed="false">
      <c r="A14" s="2"/>
      <c r="B14" s="103" t="s">
        <v>286</v>
      </c>
      <c r="C14" s="75" t="n">
        <f aca="false">C8</f>
        <v>971950</v>
      </c>
    </row>
    <row r="15" customFormat="false" ht="15" hidden="false" customHeight="false" outlineLevel="0" collapsed="false">
      <c r="A15" s="2"/>
      <c r="B15" s="2"/>
      <c r="C15" s="2"/>
    </row>
    <row r="16" customFormat="false" ht="25.5" hidden="false" customHeight="true" outlineLevel="0" collapsed="false">
      <c r="A16" s="25" t="s">
        <v>287</v>
      </c>
      <c r="B16" s="25"/>
      <c r="C16" s="25"/>
    </row>
    <row r="17" customFormat="false" ht="15" hidden="false" customHeight="false" outlineLevel="0" collapsed="false">
      <c r="A17" s="2"/>
      <c r="B17" s="51"/>
      <c r="C17" s="51" t="s">
        <v>219</v>
      </c>
    </row>
    <row r="18" customFormat="false" ht="15" hidden="false" customHeight="false" outlineLevel="0" collapsed="false">
      <c r="A18" s="2"/>
      <c r="B18" s="101" t="s">
        <v>288</v>
      </c>
      <c r="C18" s="75" t="n">
        <f aca="false">'Sale Analysis'!C33</f>
        <v>0</v>
      </c>
    </row>
    <row r="19" customFormat="false" ht="15" hidden="false" customHeight="false" outlineLevel="0" collapsed="false">
      <c r="A19" s="2"/>
      <c r="B19" s="101" t="s">
        <v>289</v>
      </c>
      <c r="C19" s="75" t="n">
        <f aca="false">'Sale Analysis'!C35</f>
        <v>-0</v>
      </c>
    </row>
    <row r="20" customFormat="false" ht="15" hidden="false" customHeight="false" outlineLevel="0" collapsed="false">
      <c r="A20" s="2"/>
      <c r="B20" s="101" t="s">
        <v>290</v>
      </c>
      <c r="C20" s="75" t="n">
        <f aca="false">'Sale Analysis'!C36</f>
        <v>-0</v>
      </c>
    </row>
    <row r="21" customFormat="false" ht="15" hidden="false" customHeight="false" outlineLevel="0" collapsed="false">
      <c r="A21" s="2"/>
      <c r="B21" s="101" t="s">
        <v>291</v>
      </c>
      <c r="C21" s="75" t="n">
        <f aca="false">'Sale Analysis'!C37</f>
        <v>0</v>
      </c>
    </row>
    <row r="22" customFormat="false" ht="15" hidden="false" customHeight="false" outlineLevel="0" collapsed="false">
      <c r="A22" s="2"/>
      <c r="B22" s="101" t="s">
        <v>292</v>
      </c>
      <c r="C22" s="75" t="n">
        <f aca="false">'Sale Analysis'!C38</f>
        <v>-1750000</v>
      </c>
    </row>
    <row r="23" customFormat="false" ht="15" hidden="false" customHeight="false" outlineLevel="0" collapsed="false">
      <c r="A23" s="2"/>
      <c r="B23" s="2"/>
      <c r="C23" s="2"/>
    </row>
    <row r="24" customFormat="false" ht="15" hidden="false" customHeight="false" outlineLevel="0" collapsed="false">
      <c r="A24" s="94"/>
      <c r="B24" s="95" t="s">
        <v>269</v>
      </c>
      <c r="C24" s="96" t="n">
        <f aca="false">'Sale Analysis'!C40</f>
        <v>-1750000</v>
      </c>
    </row>
    <row r="25" customFormat="false" ht="15" hidden="false" customHeight="false" outlineLevel="0" collapsed="false">
      <c r="A25" s="2"/>
      <c r="B25" s="2"/>
      <c r="C25" s="2"/>
    </row>
    <row r="26" customFormat="false" ht="25.5" hidden="false" customHeight="true" outlineLevel="0" collapsed="false">
      <c r="A26" s="25" t="s">
        <v>293</v>
      </c>
      <c r="B26" s="25"/>
      <c r="C26" s="25"/>
    </row>
    <row r="27" customFormat="false" ht="15" hidden="false" customHeight="false" outlineLevel="0" collapsed="false">
      <c r="A27" s="2"/>
      <c r="B27" s="51"/>
      <c r="C27" s="51" t="s">
        <v>294</v>
      </c>
    </row>
    <row r="28" customFormat="false" ht="15" hidden="false" customHeight="false" outlineLevel="0" collapsed="false">
      <c r="A28" s="2"/>
      <c r="B28" s="101" t="s">
        <v>295</v>
      </c>
      <c r="C28" s="104" t="n">
        <f aca="false">'Sale Analysis'!C15</f>
        <v>0</v>
      </c>
    </row>
    <row r="29" customFormat="false" ht="15" hidden="false" customHeight="false" outlineLevel="0" collapsed="false">
      <c r="A29" s="2"/>
      <c r="B29" s="101" t="s">
        <v>296</v>
      </c>
      <c r="C29" s="104" t="n">
        <f aca="false">'Sale Analysis'!C16</f>
        <v>0</v>
      </c>
    </row>
    <row r="30" customFormat="false" ht="15" hidden="false" customHeight="false" outlineLevel="0" collapsed="false">
      <c r="A30" s="2"/>
      <c r="B30" s="103" t="s">
        <v>247</v>
      </c>
      <c r="C30" s="100" t="n">
        <f aca="false">'Sale Analysis'!C17</f>
        <v>0</v>
      </c>
    </row>
    <row r="31" customFormat="false" ht="15" hidden="false" customHeight="false" outlineLevel="0" collapsed="false">
      <c r="A31" s="2"/>
      <c r="B31" s="103" t="s">
        <v>38</v>
      </c>
      <c r="C31" s="105" t="n">
        <f aca="false">C30/12</f>
        <v>0</v>
      </c>
    </row>
    <row r="32" customFormat="false" ht="15" hidden="false" customHeight="false" outlineLevel="0" collapsed="false">
      <c r="A32" s="2"/>
      <c r="B32" s="2"/>
      <c r="C32" s="2"/>
    </row>
    <row r="33" customFormat="false" ht="25.5" hidden="false" customHeight="true" outlineLevel="0" collapsed="false">
      <c r="A33" s="25" t="s">
        <v>297</v>
      </c>
      <c r="B33" s="25"/>
      <c r="C33" s="25"/>
    </row>
    <row r="34" customFormat="false" ht="15" hidden="false" customHeight="false" outlineLevel="0" collapsed="false">
      <c r="A34" s="2"/>
      <c r="B34" s="51"/>
      <c r="C34" s="51" t="s">
        <v>298</v>
      </c>
    </row>
    <row r="35" customFormat="false" ht="15" hidden="false" customHeight="false" outlineLevel="0" collapsed="false">
      <c r="A35" s="2"/>
      <c r="B35" s="103" t="s">
        <v>299</v>
      </c>
      <c r="C35" s="106" t="n">
        <f aca="false">C24-C14</f>
        <v>-2721950</v>
      </c>
    </row>
    <row r="36" customFormat="false" ht="15" hidden="false" customHeight="false" outlineLevel="0" collapsed="false">
      <c r="A36" s="2"/>
      <c r="B36" s="103" t="s">
        <v>15</v>
      </c>
      <c r="C36" s="99" t="n">
        <f aca="false">IF(C14&gt;0,C24/C14,0)</f>
        <v>-1.80050414115952</v>
      </c>
    </row>
    <row r="37" customFormat="false" ht="15" hidden="false" customHeight="false" outlineLevel="0" collapsed="false">
      <c r="A37" s="2"/>
      <c r="B37" s="103" t="s">
        <v>300</v>
      </c>
      <c r="C37" s="98" t="n">
        <f aca="false">IF(C14&gt;0,C35/C14,0)</f>
        <v>-2.80050414115952</v>
      </c>
    </row>
    <row r="38" customFormat="false" ht="15" hidden="false" customHeight="false" outlineLevel="0" collapsed="false">
      <c r="A38" s="2"/>
      <c r="B38" s="103" t="s">
        <v>278</v>
      </c>
      <c r="C38" s="98" t="n">
        <f aca="false">IF(AND(C14&gt;0,C31&gt;0),(1+C37)^(1/C31)-1,0)</f>
        <v>0</v>
      </c>
    </row>
    <row r="39" customFormat="false" ht="15" hidden="false" customHeight="false" outlineLevel="0" collapsed="false">
      <c r="A39" s="2"/>
      <c r="B39" s="103" t="s">
        <v>301</v>
      </c>
      <c r="C39" s="98" t="str">
        <f aca="false">IF(AND(C14&gt;0,C30&gt;0,C24&gt;0),IFERROR((1+RATE(C30,0,-C14,C24))^12-1,"N/A"),"N/A")</f>
        <v>N/A</v>
      </c>
    </row>
    <row r="40" customFormat="false" ht="15" hidden="false" customHeight="false" outlineLevel="0" collapsed="false">
      <c r="A40" s="2"/>
      <c r="B40" s="2"/>
      <c r="C40" s="2"/>
    </row>
    <row r="41" customFormat="false" ht="25.5" hidden="false" customHeight="true" outlineLevel="0" collapsed="false">
      <c r="A41" s="25" t="s">
        <v>302</v>
      </c>
      <c r="B41" s="25"/>
      <c r="C41" s="25"/>
    </row>
    <row r="42" customFormat="false" ht="15" hidden="false" customHeight="false" outlineLevel="0" collapsed="false">
      <c r="A42" s="2"/>
      <c r="B42" s="51"/>
      <c r="C42" s="51" t="s">
        <v>219</v>
      </c>
    </row>
    <row r="43" customFormat="false" ht="15" hidden="false" customHeight="false" outlineLevel="0" collapsed="false">
      <c r="A43" s="2"/>
      <c r="B43" s="101" t="s">
        <v>303</v>
      </c>
      <c r="C43" s="75" t="n">
        <f aca="false">IF(C24&gt;0,C10+MAX(0,C35)*Assumptions!$C$178,MAX(C24*C7,0))</f>
        <v>0</v>
      </c>
    </row>
    <row r="44" customFormat="false" ht="15" hidden="false" customHeight="false" outlineLevel="0" collapsed="false">
      <c r="A44" s="2"/>
      <c r="B44" s="101" t="s">
        <v>304</v>
      </c>
      <c r="C44" s="75" t="n">
        <f aca="false">C24-C43</f>
        <v>-1750000</v>
      </c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107"/>
      <c r="B46" s="108" t="s">
        <v>305</v>
      </c>
      <c r="C46" s="107"/>
    </row>
    <row r="47" customFormat="false" ht="15" hidden="false" customHeight="false" outlineLevel="0" collapsed="false">
      <c r="A47" s="2"/>
      <c r="B47" s="101" t="s">
        <v>306</v>
      </c>
      <c r="C47" s="106" t="n">
        <f aca="false">C10</f>
        <v>971950</v>
      </c>
    </row>
    <row r="48" customFormat="false" ht="15" hidden="false" customHeight="false" outlineLevel="0" collapsed="false">
      <c r="A48" s="2"/>
      <c r="B48" s="101" t="s">
        <v>307</v>
      </c>
      <c r="C48" s="106" t="n">
        <f aca="false">C43</f>
        <v>0</v>
      </c>
    </row>
    <row r="49" customFormat="false" ht="15" hidden="false" customHeight="false" outlineLevel="0" collapsed="false">
      <c r="A49" s="2"/>
      <c r="B49" s="101" t="s">
        <v>308</v>
      </c>
      <c r="C49" s="106" t="n">
        <f aca="false">C43-C10</f>
        <v>-971950</v>
      </c>
    </row>
    <row r="50" customFormat="false" ht="15" hidden="false" customHeight="false" outlineLevel="0" collapsed="false">
      <c r="A50" s="2"/>
      <c r="B50" s="101" t="s">
        <v>309</v>
      </c>
      <c r="C50" s="99" t="n">
        <f aca="false">IF(C10&gt;0,C43/C10,0)</f>
        <v>0</v>
      </c>
    </row>
    <row r="51" customFormat="false" ht="15" hidden="false" customHeight="false" outlineLevel="0" collapsed="false">
      <c r="A51" s="2"/>
      <c r="B51" s="101" t="s">
        <v>310</v>
      </c>
      <c r="C51" s="98" t="n">
        <f aca="false">IF(AND(C10&gt;0,C31&gt;0),(1+(C43-C10)/C10)^(1/C31)-1,0)</f>
        <v>0</v>
      </c>
    </row>
    <row r="52" customFormat="false" ht="15" hidden="false" customHeight="false" outlineLevel="0" collapsed="false">
      <c r="A52" s="2"/>
      <c r="B52" s="101" t="s">
        <v>17</v>
      </c>
      <c r="C52" s="98" t="str">
        <f aca="false">IF(AND(C10&gt;0,C30&gt;0,C43&gt;0),IFERROR((1+RATE(C30,0,-C10,C43))^12-1,"N/A"),"N/A")</f>
        <v>N/A</v>
      </c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107"/>
      <c r="B54" s="108" t="s">
        <v>311</v>
      </c>
      <c r="C54" s="107"/>
    </row>
    <row r="55" customFormat="false" ht="15" hidden="false" customHeight="false" outlineLevel="0" collapsed="false">
      <c r="A55" s="2"/>
      <c r="B55" s="101" t="s">
        <v>312</v>
      </c>
      <c r="C55" s="106" t="n">
        <f aca="false">C9</f>
        <v>0</v>
      </c>
    </row>
    <row r="56" customFormat="false" ht="15" hidden="false" customHeight="false" outlineLevel="0" collapsed="false">
      <c r="A56" s="2"/>
      <c r="B56" s="101" t="s">
        <v>313</v>
      </c>
      <c r="C56" s="106" t="n">
        <f aca="false">C44</f>
        <v>-1750000</v>
      </c>
    </row>
    <row r="57" customFormat="false" ht="15" hidden="false" customHeight="false" outlineLevel="0" collapsed="false">
      <c r="A57" s="2"/>
      <c r="B57" s="101" t="s">
        <v>314</v>
      </c>
      <c r="C57" s="106" t="n">
        <f aca="false">C44-C9</f>
        <v>-1750000</v>
      </c>
    </row>
    <row r="58" customFormat="false" ht="15" hidden="false" customHeight="false" outlineLevel="0" collapsed="false">
      <c r="A58" s="2"/>
      <c r="B58" s="101" t="s">
        <v>315</v>
      </c>
      <c r="C58" s="99" t="n">
        <f aca="false">IF(C9&gt;0,C44/C9,0)</f>
        <v>0</v>
      </c>
    </row>
    <row r="59" customFormat="false" ht="15" hidden="false" customHeight="false" outlineLevel="0" collapsed="false">
      <c r="A59" s="2"/>
      <c r="B59" s="101" t="s">
        <v>316</v>
      </c>
      <c r="C59" s="98" t="n">
        <f aca="false">IF(AND(C9&gt;0,C31&gt;0),(1+(C44-C9)/C9)^(1/C31)-1,0)</f>
        <v>0</v>
      </c>
    </row>
    <row r="60" customFormat="false" ht="15" hidden="false" customHeight="false" outlineLevel="0" collapsed="false">
      <c r="A60" s="2"/>
      <c r="B60" s="2"/>
      <c r="C60" s="2"/>
    </row>
    <row r="61" customFormat="false" ht="15" hidden="false" customHeight="false" outlineLevel="0" collapsed="false">
      <c r="A61" s="2"/>
      <c r="B61" s="2"/>
      <c r="C61" s="2"/>
    </row>
    <row r="62" customFormat="false" ht="15" hidden="false" customHeight="false" outlineLevel="0" collapsed="false">
      <c r="A62" s="65"/>
      <c r="B62" s="78" t="s">
        <v>317</v>
      </c>
      <c r="C62" s="66" t="n">
        <f aca="false">C43+C44-C24</f>
        <v>0</v>
      </c>
    </row>
    <row r="63" customFormat="false" ht="15" hidden="false" customHeight="false" outlineLevel="0" collapsed="false">
      <c r="A63" s="2"/>
      <c r="B63" s="37" t="s">
        <v>318</v>
      </c>
      <c r="C63" s="2"/>
    </row>
    <row r="64" customFormat="false" ht="15" hidden="false" customHeight="false" outlineLevel="0" collapsed="false">
      <c r="A64" s="2"/>
      <c r="B64" s="2"/>
      <c r="C64" s="2"/>
    </row>
    <row r="65" customFormat="false" ht="15" hidden="false" customHeight="false" outlineLevel="0" collapsed="false">
      <c r="A65" s="2"/>
      <c r="B65" s="2"/>
      <c r="C65" s="2"/>
    </row>
    <row r="66" customFormat="false" ht="15" hidden="false" customHeight="false" outlineLevel="0" collapsed="false">
      <c r="A66" s="2"/>
      <c r="B66" s="2"/>
      <c r="C66" s="2"/>
    </row>
    <row r="67" customFormat="false" ht="15" hidden="false" customHeight="false" outlineLevel="0" collapsed="false">
      <c r="A67" s="2"/>
      <c r="B67" s="2"/>
      <c r="C67" s="2"/>
    </row>
  </sheetData>
  <mergeCells count="8">
    <mergeCell ref="A1:C1"/>
    <mergeCell ref="A2:C2"/>
    <mergeCell ref="A4:C4"/>
    <mergeCell ref="A12:C12"/>
    <mergeCell ref="A16:C16"/>
    <mergeCell ref="A26:C26"/>
    <mergeCell ref="A33:C33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2"/>
  </cols>
  <sheetData>
    <row r="1" customFormat="false" ht="19.5" hidden="false" customHeight="true" outlineLevel="0" collapsed="false">
      <c r="A1" s="50" t="s">
        <v>319</v>
      </c>
      <c r="B1" s="50"/>
    </row>
    <row r="2" customFormat="false" ht="15" hidden="false" customHeight="true" outlineLevel="0" collapsed="false">
      <c r="A2" s="20" t="s">
        <v>320</v>
      </c>
      <c r="B2" s="20"/>
    </row>
    <row r="3" customFormat="false" ht="15" hidden="false" customHeight="true" outlineLevel="0" collapsed="false">
      <c r="A3" s="2"/>
      <c r="B3" s="2"/>
    </row>
    <row r="4" customFormat="false" ht="15" hidden="false" customHeight="true" outlineLevel="0" collapsed="false">
      <c r="A4" s="10" t="s">
        <v>321</v>
      </c>
      <c r="B4" s="10"/>
    </row>
    <row r="5" customFormat="false" ht="15" hidden="false" customHeight="true" outlineLevel="0" collapsed="false">
      <c r="A5" s="7" t="s">
        <v>322</v>
      </c>
      <c r="B5" s="109" t="str">
        <f aca="false">Assumptions!C5</f>
        <v>Sample Property</v>
      </c>
    </row>
    <row r="6" customFormat="false" ht="15" hidden="false" customHeight="true" outlineLevel="0" collapsed="false">
      <c r="A6" s="7" t="s">
        <v>7</v>
      </c>
      <c r="B6" s="54" t="n">
        <f aca="false">Assumptions!C17</f>
        <v>2500000</v>
      </c>
    </row>
    <row r="7" customFormat="false" ht="15" hidden="false" customHeight="true" outlineLevel="0" collapsed="false">
      <c r="A7" s="7" t="s">
        <v>9</v>
      </c>
      <c r="B7" s="54" t="n">
        <f aca="false">Assumptions!C89</f>
        <v>2721950</v>
      </c>
    </row>
    <row r="8" customFormat="false" ht="15" hidden="false" customHeight="true" outlineLevel="0" collapsed="false">
      <c r="A8" s="7" t="s">
        <v>10</v>
      </c>
      <c r="B8" s="54" t="n">
        <f aca="false">Assumptions!C91</f>
        <v>971950</v>
      </c>
    </row>
    <row r="9" customFormat="false" ht="15" hidden="false" customHeight="true" outlineLevel="0" collapsed="false">
      <c r="A9" s="7" t="s">
        <v>16</v>
      </c>
      <c r="B9" s="110" t="n">
        <f aca="false">Assumptions!C14</f>
        <v>10</v>
      </c>
    </row>
    <row r="10" customFormat="false" ht="15" hidden="false" customHeight="true" outlineLevel="0" collapsed="false">
      <c r="A10" s="2"/>
      <c r="B10" s="2"/>
    </row>
    <row r="11" customFormat="false" ht="15" hidden="false" customHeight="true" outlineLevel="0" collapsed="false">
      <c r="A11" s="10" t="s">
        <v>323</v>
      </c>
      <c r="B11" s="10"/>
    </row>
    <row r="12" customFormat="false" ht="15" hidden="false" customHeight="true" outlineLevel="0" collapsed="false">
      <c r="A12" s="7" t="s">
        <v>11</v>
      </c>
      <c r="B12" s="54" t="n">
        <v>0</v>
      </c>
    </row>
    <row r="13" customFormat="false" ht="15" hidden="false" customHeight="true" outlineLevel="0" collapsed="false">
      <c r="A13" s="7" t="s">
        <v>12</v>
      </c>
      <c r="B13" s="111" t="n">
        <f aca="false">IF(Assumptions!C17&gt;0,B12/Assumptions!C17,0)</f>
        <v>0</v>
      </c>
    </row>
    <row r="14" customFormat="false" ht="15" hidden="false" customHeight="true" outlineLevel="0" collapsed="false">
      <c r="A14" s="7" t="s">
        <v>13</v>
      </c>
      <c r="B14" s="112" t="n">
        <v>0</v>
      </c>
    </row>
    <row r="15" customFormat="false" ht="15" hidden="false" customHeight="true" outlineLevel="0" collapsed="false">
      <c r="A15" s="7" t="s">
        <v>14</v>
      </c>
      <c r="B15" s="16" t="n">
        <v>0</v>
      </c>
    </row>
    <row r="16" customFormat="false" ht="15" hidden="false" customHeight="true" outlineLevel="0" collapsed="false">
      <c r="A16" s="7" t="s">
        <v>176</v>
      </c>
      <c r="B16" s="113" t="n">
        <f aca="false">Assumptions!C171</f>
        <v>0.07</v>
      </c>
    </row>
    <row r="17" customFormat="false" ht="15" hidden="false" customHeight="true" outlineLevel="0" collapsed="false">
      <c r="A17" s="7" t="s">
        <v>324</v>
      </c>
      <c r="B17" s="54" t="n">
        <f aca="false">'Sale Analysis'!C33</f>
        <v>0</v>
      </c>
    </row>
    <row r="18" customFormat="false" ht="15" hidden="false" customHeight="true" outlineLevel="0" collapsed="false">
      <c r="A18" s="2"/>
      <c r="B18" s="2"/>
    </row>
    <row r="19" customFormat="false" ht="15" hidden="false" customHeight="true" outlineLevel="0" collapsed="false">
      <c r="A19" s="10" t="s">
        <v>325</v>
      </c>
      <c r="B19" s="10"/>
    </row>
    <row r="20" customFormat="false" ht="15" hidden="false" customHeight="true" outlineLevel="0" collapsed="false">
      <c r="A20" s="7" t="s">
        <v>326</v>
      </c>
      <c r="B20" s="54" t="n">
        <v>0</v>
      </c>
    </row>
    <row r="21" customFormat="false" ht="15" hidden="false" customHeight="true" outlineLevel="0" collapsed="false">
      <c r="A21" s="7" t="s">
        <v>327</v>
      </c>
      <c r="B21" s="54" t="n">
        <v>0</v>
      </c>
    </row>
    <row r="22" customFormat="false" ht="15" hidden="false" customHeight="true" outlineLevel="0" collapsed="false">
      <c r="A22" s="7" t="s">
        <v>328</v>
      </c>
      <c r="B22" s="54" t="n">
        <f aca="false">'Cash Waterfall'!C24</f>
        <v>-1750000</v>
      </c>
    </row>
    <row r="23" customFormat="false" ht="15" hidden="false" customHeight="true" outlineLevel="0" collapsed="false">
      <c r="A23" s="114" t="s">
        <v>329</v>
      </c>
      <c r="B23" s="34" t="n">
        <f aca="false">B20+B21+B22</f>
        <v>-1750000</v>
      </c>
    </row>
    <row r="24" customFormat="false" ht="15" hidden="false" customHeight="true" outlineLevel="0" collapsed="false">
      <c r="A24" s="2"/>
      <c r="B24" s="2"/>
    </row>
    <row r="25" customFormat="false" ht="17.25" hidden="false" customHeight="true" outlineLevel="0" collapsed="false">
      <c r="A25" s="115" t="s">
        <v>330</v>
      </c>
      <c r="B25" s="116" t="n">
        <f aca="false">'Cash Waterfall'!C36</f>
        <v>-1.80050414115952</v>
      </c>
    </row>
    <row r="26" customFormat="false" ht="15" hidden="false" customHeight="true" outlineLevel="0" collapsed="false">
      <c r="A26" s="2"/>
      <c r="B26" s="2"/>
    </row>
    <row r="27" customFormat="false" ht="15" hidden="false" customHeight="true" outlineLevel="0" collapsed="false">
      <c r="A27" s="95" t="s">
        <v>331</v>
      </c>
      <c r="B27" s="117" t="n">
        <v>0</v>
      </c>
    </row>
    <row r="28" customFormat="false" ht="15" hidden="false" customHeight="true" outlineLevel="0" collapsed="false">
      <c r="A28" s="95" t="s">
        <v>309</v>
      </c>
      <c r="B28" s="118" t="n">
        <v>0</v>
      </c>
    </row>
    <row r="29" customFormat="false" ht="15" hidden="false" customHeight="true" outlineLevel="0" collapsed="false">
      <c r="A29" s="95" t="s">
        <v>332</v>
      </c>
      <c r="B29" s="117" t="n">
        <v>0</v>
      </c>
    </row>
    <row r="30" customFormat="false" ht="15" hidden="false" customHeight="true" outlineLevel="0" collapsed="false">
      <c r="A30" s="95" t="s">
        <v>315</v>
      </c>
      <c r="B30" s="118" t="n">
        <v>0</v>
      </c>
    </row>
    <row r="31" customFormat="false" ht="15" hidden="false" customHeight="true" outlineLevel="0" collapsed="false">
      <c r="A31" s="95" t="s">
        <v>333</v>
      </c>
      <c r="B31" s="117" t="str">
        <f aca="false">'Cash Waterfall'!C39</f>
        <v>N/A</v>
      </c>
    </row>
  </sheetData>
  <mergeCells count="5">
    <mergeCell ref="A1:B1"/>
    <mergeCell ref="A2:B2"/>
    <mergeCell ref="A4:B4"/>
    <mergeCell ref="A11:B11"/>
    <mergeCell ref="A19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844"/>
    <pageSetUpPr fitToPage="false"/>
  </sheetPr>
  <dimension ref="A1: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9" min="3" style="1" width="14"/>
    <col collapsed="false" customWidth="true" hidden="false" outlineLevel="0" max="10" min="10" style="1" width="3"/>
    <col collapsed="false" customWidth="true" hidden="false" outlineLevel="0" max="11" min="11" style="1" width="16"/>
    <col collapsed="false" customWidth="true" hidden="false" outlineLevel="0" max="18" min="12" style="1" width="14"/>
  </cols>
  <sheetData>
    <row r="1" customFormat="false" ht="36" hidden="false" customHeight="true" outlineLevel="0" collapsed="false">
      <c r="A1" s="72" t="s">
        <v>334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</row>
    <row r="2" customFormat="false" ht="15" hidden="false" customHeight="true" outlineLevel="0" collapsed="false">
      <c r="A2" s="73" t="s">
        <v>335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true" outlineLevel="0" collapsed="false">
      <c r="A4" s="2"/>
      <c r="B4" s="119" t="s">
        <v>336</v>
      </c>
      <c r="C4" s="119"/>
      <c r="D4" s="119"/>
      <c r="E4" s="119"/>
      <c r="F4" s="119"/>
      <c r="G4" s="119"/>
      <c r="H4" s="119"/>
      <c r="I4" s="2"/>
      <c r="J4" s="2"/>
      <c r="K4" s="119" t="s">
        <v>330</v>
      </c>
      <c r="L4" s="119"/>
      <c r="M4" s="119"/>
      <c r="N4" s="119"/>
      <c r="O4" s="119"/>
      <c r="P4" s="119"/>
      <c r="Q4" s="119"/>
      <c r="R4" s="2"/>
    </row>
    <row r="5" customFormat="false" ht="15" hidden="false" customHeight="true" outlineLevel="0" collapsed="false">
      <c r="A5" s="2"/>
      <c r="B5" s="37" t="s">
        <v>337</v>
      </c>
      <c r="C5" s="2"/>
      <c r="D5" s="2"/>
      <c r="E5" s="2"/>
      <c r="F5" s="2"/>
      <c r="G5" s="2"/>
      <c r="H5" s="2"/>
      <c r="I5" s="2"/>
      <c r="J5" s="2"/>
      <c r="K5" s="37" t="s">
        <v>338</v>
      </c>
      <c r="L5" s="2"/>
      <c r="M5" s="2"/>
      <c r="N5" s="2"/>
      <c r="O5" s="2"/>
      <c r="P5" s="2"/>
      <c r="Q5" s="2"/>
      <c r="R5" s="2"/>
    </row>
    <row r="6" customFormat="false" ht="15" hidden="false" customHeight="true" outlineLevel="0" collapsed="false">
      <c r="A6" s="2"/>
      <c r="B6" s="51" t="s">
        <v>339</v>
      </c>
      <c r="C6" s="120" t="n">
        <f aca="false">Assumptions!$C$200+0*Assumptions!$C$202</f>
        <v>0</v>
      </c>
      <c r="D6" s="120" t="n">
        <f aca="false">Assumptions!$C$200+1*Assumptions!$C$202</f>
        <v>0.01</v>
      </c>
      <c r="E6" s="120" t="n">
        <f aca="false">Assumptions!$C$200+2*Assumptions!$C$202</f>
        <v>0.02</v>
      </c>
      <c r="F6" s="120" t="n">
        <f aca="false">Assumptions!$C$200+3*Assumptions!$C$202</f>
        <v>0.03</v>
      </c>
      <c r="G6" s="120" t="n">
        <f aca="false">Assumptions!$C$200+4*Assumptions!$C$202</f>
        <v>0.04</v>
      </c>
      <c r="H6" s="120" t="n">
        <f aca="false">Assumptions!$C$200+5*Assumptions!$C$202</f>
        <v>0.05</v>
      </c>
      <c r="I6" s="2"/>
      <c r="J6" s="2"/>
      <c r="K6" s="51" t="s">
        <v>339</v>
      </c>
      <c r="L6" s="120" t="n">
        <f aca="false">Assumptions!$C$200+0*Assumptions!$C$202</f>
        <v>0</v>
      </c>
      <c r="M6" s="120" t="n">
        <f aca="false">Assumptions!$C$200+1*Assumptions!$C$202</f>
        <v>0.01</v>
      </c>
      <c r="N6" s="120" t="n">
        <f aca="false">Assumptions!$C$200+2*Assumptions!$C$202</f>
        <v>0.02</v>
      </c>
      <c r="O6" s="120" t="n">
        <f aca="false">Assumptions!$C$200+3*Assumptions!$C$202</f>
        <v>0.03</v>
      </c>
      <c r="P6" s="120" t="n">
        <f aca="false">Assumptions!$C$200+4*Assumptions!$C$202</f>
        <v>0.04</v>
      </c>
      <c r="Q6" s="120" t="n">
        <f aca="false">Assumptions!$C$200+5*Assumptions!$C$202</f>
        <v>0.05</v>
      </c>
      <c r="R6" s="2"/>
    </row>
    <row r="7" customFormat="false" ht="15" hidden="false" customHeight="true" outlineLevel="0" collapsed="false">
      <c r="A7" s="2"/>
      <c r="B7" s="121" t="n">
        <f aca="false">Assumptions!$C$203+0*Assumptions!$C$205</f>
        <v>0.055</v>
      </c>
      <c r="C7" s="122" t="s">
        <v>340</v>
      </c>
      <c r="D7" s="122" t="s">
        <v>340</v>
      </c>
      <c r="E7" s="122" t="s">
        <v>340</v>
      </c>
      <c r="F7" s="122" t="s">
        <v>340</v>
      </c>
      <c r="G7" s="122" t="s">
        <v>340</v>
      </c>
      <c r="H7" s="122" t="s">
        <v>340</v>
      </c>
      <c r="I7" s="2"/>
      <c r="J7" s="2"/>
      <c r="K7" s="121" t="n">
        <f aca="false">Assumptions!$C$203+0*Assumptions!$C$205</f>
        <v>0.055</v>
      </c>
      <c r="L7" s="123" t="s">
        <v>340</v>
      </c>
      <c r="M7" s="123" t="s">
        <v>340</v>
      </c>
      <c r="N7" s="123" t="s">
        <v>340</v>
      </c>
      <c r="O7" s="123" t="s">
        <v>340</v>
      </c>
      <c r="P7" s="123" t="s">
        <v>340</v>
      </c>
      <c r="Q7" s="123" t="s">
        <v>340</v>
      </c>
      <c r="R7" s="2"/>
    </row>
    <row r="8" customFormat="false" ht="15" hidden="false" customHeight="true" outlineLevel="0" collapsed="false">
      <c r="A8" s="2"/>
      <c r="B8" s="121" t="n">
        <f aca="false">Assumptions!$C$203+1*Assumptions!$C$205</f>
        <v>0.06</v>
      </c>
      <c r="C8" s="122" t="s">
        <v>340</v>
      </c>
      <c r="D8" s="122" t="s">
        <v>340</v>
      </c>
      <c r="E8" s="122" t="s">
        <v>340</v>
      </c>
      <c r="F8" s="122" t="s">
        <v>340</v>
      </c>
      <c r="G8" s="122" t="s">
        <v>340</v>
      </c>
      <c r="H8" s="122" t="s">
        <v>340</v>
      </c>
      <c r="I8" s="2"/>
      <c r="J8" s="2"/>
      <c r="K8" s="121" t="n">
        <f aca="false">Assumptions!$C$203+1*Assumptions!$C$205</f>
        <v>0.06</v>
      </c>
      <c r="L8" s="123" t="s">
        <v>340</v>
      </c>
      <c r="M8" s="123" t="s">
        <v>340</v>
      </c>
      <c r="N8" s="123" t="s">
        <v>340</v>
      </c>
      <c r="O8" s="123" t="s">
        <v>340</v>
      </c>
      <c r="P8" s="123" t="s">
        <v>340</v>
      </c>
      <c r="Q8" s="123" t="s">
        <v>340</v>
      </c>
      <c r="R8" s="2"/>
    </row>
    <row r="9" customFormat="false" ht="15" hidden="false" customHeight="true" outlineLevel="0" collapsed="false">
      <c r="A9" s="2"/>
      <c r="B9" s="121" t="n">
        <f aca="false">Assumptions!$C$203+2*Assumptions!$C$205</f>
        <v>0.065</v>
      </c>
      <c r="C9" s="122" t="s">
        <v>340</v>
      </c>
      <c r="D9" s="122" t="s">
        <v>340</v>
      </c>
      <c r="E9" s="122" t="s">
        <v>340</v>
      </c>
      <c r="F9" s="122" t="s">
        <v>340</v>
      </c>
      <c r="G9" s="122" t="s">
        <v>340</v>
      </c>
      <c r="H9" s="122" t="s">
        <v>340</v>
      </c>
      <c r="I9" s="2"/>
      <c r="J9" s="2"/>
      <c r="K9" s="121" t="n">
        <f aca="false">Assumptions!$C$203+2*Assumptions!$C$205</f>
        <v>0.065</v>
      </c>
      <c r="L9" s="123" t="s">
        <v>340</v>
      </c>
      <c r="M9" s="123" t="s">
        <v>340</v>
      </c>
      <c r="N9" s="123" t="s">
        <v>340</v>
      </c>
      <c r="O9" s="123" t="s">
        <v>340</v>
      </c>
      <c r="P9" s="123" t="s">
        <v>340</v>
      </c>
      <c r="Q9" s="123" t="s">
        <v>340</v>
      </c>
      <c r="R9" s="2"/>
    </row>
    <row r="10" customFormat="false" ht="15" hidden="false" customHeight="true" outlineLevel="0" collapsed="false">
      <c r="A10" s="2"/>
      <c r="B10" s="121" t="n">
        <f aca="false">Assumptions!$C$203+3*Assumptions!$C$205</f>
        <v>0.07</v>
      </c>
      <c r="C10" s="122" t="s">
        <v>340</v>
      </c>
      <c r="D10" s="122" t="s">
        <v>340</v>
      </c>
      <c r="E10" s="122" t="s">
        <v>340</v>
      </c>
      <c r="F10" s="122" t="s">
        <v>340</v>
      </c>
      <c r="G10" s="122" t="s">
        <v>340</v>
      </c>
      <c r="H10" s="122" t="s">
        <v>340</v>
      </c>
      <c r="I10" s="2"/>
      <c r="J10" s="2"/>
      <c r="K10" s="121" t="n">
        <f aca="false">Assumptions!$C$203+3*Assumptions!$C$205</f>
        <v>0.07</v>
      </c>
      <c r="L10" s="123" t="s">
        <v>340</v>
      </c>
      <c r="M10" s="123" t="s">
        <v>340</v>
      </c>
      <c r="N10" s="123" t="s">
        <v>340</v>
      </c>
      <c r="O10" s="123" t="s">
        <v>340</v>
      </c>
      <c r="P10" s="123" t="s">
        <v>340</v>
      </c>
      <c r="Q10" s="123" t="s">
        <v>340</v>
      </c>
      <c r="R10" s="2"/>
    </row>
    <row r="11" customFormat="false" ht="15" hidden="false" customHeight="true" outlineLevel="0" collapsed="false">
      <c r="A11" s="2"/>
      <c r="B11" s="121" t="n">
        <f aca="false">Assumptions!$C$203+4*Assumptions!$C$205</f>
        <v>0.075</v>
      </c>
      <c r="C11" s="122" t="s">
        <v>340</v>
      </c>
      <c r="D11" s="122" t="s">
        <v>340</v>
      </c>
      <c r="E11" s="122" t="s">
        <v>340</v>
      </c>
      <c r="F11" s="122" t="s">
        <v>340</v>
      </c>
      <c r="G11" s="122" t="s">
        <v>340</v>
      </c>
      <c r="H11" s="122" t="s">
        <v>340</v>
      </c>
      <c r="I11" s="2"/>
      <c r="J11" s="2"/>
      <c r="K11" s="121" t="n">
        <f aca="false">Assumptions!$C$203+4*Assumptions!$C$205</f>
        <v>0.075</v>
      </c>
      <c r="L11" s="123" t="s">
        <v>340</v>
      </c>
      <c r="M11" s="123" t="s">
        <v>340</v>
      </c>
      <c r="N11" s="123" t="s">
        <v>340</v>
      </c>
      <c r="O11" s="123" t="s">
        <v>340</v>
      </c>
      <c r="P11" s="123" t="s">
        <v>340</v>
      </c>
      <c r="Q11" s="123" t="s">
        <v>340</v>
      </c>
      <c r="R11" s="2"/>
    </row>
    <row r="12" customFormat="false" ht="15" hidden="false" customHeight="true" outlineLevel="0" collapsed="false">
      <c r="A12" s="2"/>
      <c r="B12" s="121" t="n">
        <f aca="false">Assumptions!$C$203+5*Assumptions!$C$205</f>
        <v>0.08</v>
      </c>
      <c r="C12" s="122" t="s">
        <v>340</v>
      </c>
      <c r="D12" s="122" t="s">
        <v>340</v>
      </c>
      <c r="E12" s="122" t="s">
        <v>340</v>
      </c>
      <c r="F12" s="122" t="s">
        <v>340</v>
      </c>
      <c r="G12" s="122" t="s">
        <v>340</v>
      </c>
      <c r="H12" s="122" t="s">
        <v>340</v>
      </c>
      <c r="I12" s="2"/>
      <c r="J12" s="2"/>
      <c r="K12" s="121" t="n">
        <f aca="false">Assumptions!$C$203+5*Assumptions!$C$205</f>
        <v>0.08</v>
      </c>
      <c r="L12" s="123" t="s">
        <v>340</v>
      </c>
      <c r="M12" s="123" t="s">
        <v>340</v>
      </c>
      <c r="N12" s="123" t="s">
        <v>340</v>
      </c>
      <c r="O12" s="123" t="s">
        <v>340</v>
      </c>
      <c r="P12" s="123" t="s">
        <v>340</v>
      </c>
      <c r="Q12" s="123" t="s">
        <v>340</v>
      </c>
      <c r="R12" s="2"/>
    </row>
    <row r="13" customFormat="false" ht="15" hidden="false" customHeight="true" outlineLevel="0" collapsed="false">
      <c r="A13" s="2"/>
      <c r="B13" s="121" t="n">
        <f aca="false">Assumptions!$C$203+6*Assumptions!$C$205</f>
        <v>0.085</v>
      </c>
      <c r="C13" s="122" t="s">
        <v>340</v>
      </c>
      <c r="D13" s="122" t="s">
        <v>340</v>
      </c>
      <c r="E13" s="122" t="s">
        <v>340</v>
      </c>
      <c r="F13" s="122" t="s">
        <v>340</v>
      </c>
      <c r="G13" s="122" t="s">
        <v>340</v>
      </c>
      <c r="H13" s="122" t="s">
        <v>340</v>
      </c>
      <c r="I13" s="2"/>
      <c r="J13" s="2"/>
      <c r="K13" s="121" t="n">
        <f aca="false">Assumptions!$C$203+6*Assumptions!$C$205</f>
        <v>0.085</v>
      </c>
      <c r="L13" s="123" t="s">
        <v>340</v>
      </c>
      <c r="M13" s="123" t="s">
        <v>340</v>
      </c>
      <c r="N13" s="123" t="s">
        <v>340</v>
      </c>
      <c r="O13" s="123" t="s">
        <v>340</v>
      </c>
      <c r="P13" s="123" t="s">
        <v>340</v>
      </c>
      <c r="Q13" s="123" t="s">
        <v>340</v>
      </c>
      <c r="R13" s="2"/>
    </row>
    <row r="14" customFormat="false" ht="15" hidden="false" customHeight="tru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5" hidden="false" customHeight="true" outlineLevel="0" collapsed="false">
      <c r="A15" s="2"/>
      <c r="B15" s="37" t="s">
        <v>341</v>
      </c>
      <c r="C15" s="2"/>
      <c r="D15" s="2"/>
      <c r="E15" s="2"/>
      <c r="F15" s="2"/>
      <c r="G15" s="2"/>
      <c r="H15" s="2"/>
      <c r="I15" s="2"/>
      <c r="J15" s="2"/>
      <c r="K15" s="37" t="s">
        <v>342</v>
      </c>
      <c r="L15" s="2"/>
      <c r="M15" s="2"/>
      <c r="N15" s="2"/>
      <c r="O15" s="2"/>
      <c r="P15" s="2"/>
      <c r="Q15" s="2"/>
      <c r="R15" s="2"/>
    </row>
    <row r="16" customFormat="false" ht="25.5" hidden="false" customHeight="true" outlineLevel="0" collapsed="false">
      <c r="A16" s="25" t="s">
        <v>343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</row>
    <row r="17" customFormat="false" ht="15" hidden="false" customHeight="tru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customFormat="false" ht="15" hidden="false" customHeight="true" outlineLevel="0" collapsed="false">
      <c r="A18" s="2"/>
      <c r="B18" s="119" t="s">
        <v>344</v>
      </c>
      <c r="C18" s="119"/>
      <c r="D18" s="119"/>
      <c r="E18" s="119"/>
      <c r="F18" s="119"/>
      <c r="G18" s="119"/>
      <c r="H18" s="119"/>
      <c r="I18" s="2"/>
      <c r="J18" s="2"/>
      <c r="K18" s="119" t="s">
        <v>345</v>
      </c>
      <c r="L18" s="119"/>
      <c r="M18" s="119"/>
      <c r="N18" s="119"/>
      <c r="O18" s="119"/>
      <c r="P18" s="119"/>
      <c r="Q18" s="119"/>
      <c r="R18" s="2"/>
    </row>
    <row r="19" customFormat="false" ht="15" hidden="false" customHeight="true" outlineLevel="0" collapsed="false">
      <c r="A19" s="2"/>
      <c r="B19" s="37" t="s">
        <v>346</v>
      </c>
      <c r="C19" s="2"/>
      <c r="D19" s="2"/>
      <c r="E19" s="2"/>
      <c r="F19" s="2"/>
      <c r="G19" s="2"/>
      <c r="H19" s="2"/>
      <c r="I19" s="2"/>
      <c r="J19" s="2"/>
      <c r="K19" s="37" t="s">
        <v>347</v>
      </c>
      <c r="L19" s="2"/>
      <c r="M19" s="2"/>
      <c r="N19" s="2"/>
      <c r="O19" s="2"/>
      <c r="P19" s="2"/>
      <c r="Q19" s="2"/>
      <c r="R19" s="2"/>
    </row>
    <row r="20" customFormat="false" ht="15" hidden="false" customHeight="true" outlineLevel="0" collapsed="false">
      <c r="A20" s="2"/>
      <c r="B20" s="51" t="s">
        <v>348</v>
      </c>
      <c r="C20" s="120" t="n">
        <v>0.05</v>
      </c>
      <c r="D20" s="120" t="n">
        <v>0.075</v>
      </c>
      <c r="E20" s="120" t="n">
        <v>0.1</v>
      </c>
      <c r="F20" s="120" t="n">
        <v>0.125</v>
      </c>
      <c r="G20" s="120" t="n">
        <v>0.15</v>
      </c>
      <c r="H20" s="120" t="n">
        <v>0.2</v>
      </c>
      <c r="I20" s="2"/>
      <c r="J20" s="2"/>
      <c r="K20" s="51" t="s">
        <v>349</v>
      </c>
      <c r="L20" s="124" t="n">
        <f aca="false">Assumptions!$C$17*(1+-0.15)</f>
        <v>2125000</v>
      </c>
      <c r="M20" s="124" t="n">
        <f aca="false">Assumptions!$C$17*(1+-0.1)</f>
        <v>2250000</v>
      </c>
      <c r="N20" s="124" t="n">
        <f aca="false">Assumptions!$C$17*(1+-0.05)</f>
        <v>2375000</v>
      </c>
      <c r="O20" s="124" t="n">
        <f aca="false">Assumptions!$C$17</f>
        <v>2500000</v>
      </c>
      <c r="P20" s="124" t="n">
        <f aca="false">Assumptions!$C$17*(1+0.05)</f>
        <v>2625000</v>
      </c>
      <c r="Q20" s="124" t="n">
        <f aca="false">Assumptions!$C$17*(1+0.1)</f>
        <v>2750000</v>
      </c>
      <c r="R20" s="2"/>
    </row>
    <row r="21" customFormat="false" ht="15" hidden="false" customHeight="true" outlineLevel="0" collapsed="false">
      <c r="A21" s="2"/>
      <c r="B21" s="125" t="n">
        <v>0.01</v>
      </c>
      <c r="C21" s="126" t="s">
        <v>340</v>
      </c>
      <c r="D21" s="126" t="s">
        <v>340</v>
      </c>
      <c r="E21" s="126" t="s">
        <v>340</v>
      </c>
      <c r="F21" s="126" t="s">
        <v>340</v>
      </c>
      <c r="G21" s="126" t="s">
        <v>340</v>
      </c>
      <c r="H21" s="126" t="s">
        <v>340</v>
      </c>
      <c r="I21" s="2"/>
      <c r="J21" s="2"/>
      <c r="K21" s="125" t="n">
        <v>0.6</v>
      </c>
      <c r="L21" s="127" t="s">
        <v>340</v>
      </c>
      <c r="M21" s="127" t="s">
        <v>340</v>
      </c>
      <c r="N21" s="127" t="s">
        <v>340</v>
      </c>
      <c r="O21" s="127" t="s">
        <v>340</v>
      </c>
      <c r="P21" s="127" t="s">
        <v>340</v>
      </c>
      <c r="Q21" s="127" t="s">
        <v>340</v>
      </c>
      <c r="R21" s="2"/>
    </row>
    <row r="22" customFormat="false" ht="15" hidden="false" customHeight="true" outlineLevel="0" collapsed="false">
      <c r="A22" s="2"/>
      <c r="B22" s="125" t="n">
        <v>0.02</v>
      </c>
      <c r="C22" s="126" t="s">
        <v>340</v>
      </c>
      <c r="D22" s="126" t="s">
        <v>340</v>
      </c>
      <c r="E22" s="126" t="s">
        <v>340</v>
      </c>
      <c r="F22" s="126" t="s">
        <v>340</v>
      </c>
      <c r="G22" s="126" t="s">
        <v>340</v>
      </c>
      <c r="H22" s="126" t="s">
        <v>340</v>
      </c>
      <c r="I22" s="2"/>
      <c r="J22" s="2"/>
      <c r="K22" s="125" t="n">
        <v>0.65</v>
      </c>
      <c r="L22" s="127" t="s">
        <v>340</v>
      </c>
      <c r="M22" s="127" t="s">
        <v>340</v>
      </c>
      <c r="N22" s="127" t="s">
        <v>340</v>
      </c>
      <c r="O22" s="127" t="s">
        <v>340</v>
      </c>
      <c r="P22" s="127" t="s">
        <v>340</v>
      </c>
      <c r="Q22" s="127" t="s">
        <v>340</v>
      </c>
      <c r="R22" s="2"/>
    </row>
    <row r="23" customFormat="false" ht="15" hidden="false" customHeight="true" outlineLevel="0" collapsed="false">
      <c r="A23" s="2"/>
      <c r="B23" s="125" t="n">
        <v>0.03</v>
      </c>
      <c r="C23" s="126" t="s">
        <v>340</v>
      </c>
      <c r="D23" s="126" t="s">
        <v>340</v>
      </c>
      <c r="E23" s="126" t="s">
        <v>340</v>
      </c>
      <c r="F23" s="126" t="s">
        <v>340</v>
      </c>
      <c r="G23" s="126" t="s">
        <v>340</v>
      </c>
      <c r="H23" s="126" t="s">
        <v>340</v>
      </c>
      <c r="I23" s="2"/>
      <c r="J23" s="2"/>
      <c r="K23" s="125" t="n">
        <v>0.7</v>
      </c>
      <c r="L23" s="127" t="s">
        <v>340</v>
      </c>
      <c r="M23" s="127" t="s">
        <v>340</v>
      </c>
      <c r="N23" s="127" t="s">
        <v>340</v>
      </c>
      <c r="O23" s="127" t="s">
        <v>340</v>
      </c>
      <c r="P23" s="127" t="s">
        <v>340</v>
      </c>
      <c r="Q23" s="127" t="s">
        <v>340</v>
      </c>
      <c r="R23" s="2"/>
    </row>
    <row r="24" customFormat="false" ht="15" hidden="false" customHeight="true" outlineLevel="0" collapsed="false">
      <c r="A24" s="2"/>
      <c r="B24" s="125" t="n">
        <v>0.04</v>
      </c>
      <c r="C24" s="126" t="s">
        <v>340</v>
      </c>
      <c r="D24" s="126" t="s">
        <v>340</v>
      </c>
      <c r="E24" s="126" t="s">
        <v>340</v>
      </c>
      <c r="F24" s="126" t="s">
        <v>340</v>
      </c>
      <c r="G24" s="126" t="s">
        <v>340</v>
      </c>
      <c r="H24" s="126" t="s">
        <v>340</v>
      </c>
      <c r="I24" s="2"/>
      <c r="J24" s="2"/>
      <c r="K24" s="125" t="n">
        <v>0.75</v>
      </c>
      <c r="L24" s="127" t="s">
        <v>340</v>
      </c>
      <c r="M24" s="127" t="s">
        <v>340</v>
      </c>
      <c r="N24" s="127" t="s">
        <v>340</v>
      </c>
      <c r="O24" s="127" t="s">
        <v>340</v>
      </c>
      <c r="P24" s="127" t="s">
        <v>340</v>
      </c>
      <c r="Q24" s="127" t="s">
        <v>340</v>
      </c>
      <c r="R24" s="2"/>
    </row>
    <row r="25" customFormat="false" ht="15" hidden="false" customHeight="true" outlineLevel="0" collapsed="false">
      <c r="A25" s="2"/>
      <c r="B25" s="125" t="n">
        <v>0.05</v>
      </c>
      <c r="C25" s="126" t="s">
        <v>340</v>
      </c>
      <c r="D25" s="126" t="s">
        <v>340</v>
      </c>
      <c r="E25" s="126" t="s">
        <v>340</v>
      </c>
      <c r="F25" s="126" t="s">
        <v>340</v>
      </c>
      <c r="G25" s="126" t="s">
        <v>340</v>
      </c>
      <c r="H25" s="126" t="s">
        <v>340</v>
      </c>
      <c r="I25" s="2"/>
      <c r="J25" s="2"/>
      <c r="K25" s="125" t="n">
        <v>0.8</v>
      </c>
      <c r="L25" s="127" t="s">
        <v>340</v>
      </c>
      <c r="M25" s="127" t="s">
        <v>340</v>
      </c>
      <c r="N25" s="127" t="s">
        <v>340</v>
      </c>
      <c r="O25" s="127" t="s">
        <v>340</v>
      </c>
      <c r="P25" s="127" t="s">
        <v>340</v>
      </c>
      <c r="Q25" s="127" t="s">
        <v>340</v>
      </c>
      <c r="R25" s="2"/>
    </row>
    <row r="26" customFormat="false" ht="15" hidden="false" customHeight="true" outlineLevel="0" collapsed="false">
      <c r="A26" s="2"/>
      <c r="B26" s="37" t="s">
        <v>342</v>
      </c>
      <c r="C26" s="2"/>
      <c r="D26" s="2"/>
      <c r="E26" s="2"/>
      <c r="F26" s="2"/>
      <c r="G26" s="2"/>
      <c r="H26" s="2"/>
      <c r="I26" s="2"/>
      <c r="J26" s="2"/>
      <c r="K26" s="37" t="s">
        <v>342</v>
      </c>
      <c r="L26" s="2"/>
      <c r="M26" s="2"/>
      <c r="N26" s="2"/>
      <c r="O26" s="2"/>
      <c r="P26" s="2"/>
      <c r="Q26" s="2"/>
      <c r="R26" s="2"/>
    </row>
  </sheetData>
  <mergeCells count="7">
    <mergeCell ref="A1:R1"/>
    <mergeCell ref="A2:R2"/>
    <mergeCell ref="B4:H4"/>
    <mergeCell ref="K4:Q4"/>
    <mergeCell ref="A16:R16"/>
    <mergeCell ref="B18:H18"/>
    <mergeCell ref="K18:Q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2026-04-01T13:26:46Z</dcterms:created>
  <dc:creator>openpyxl</dc:creator>
  <dc:description/>
  <dc:language>en-US</dc:language>
  <cp:lastModifiedBy/>
  <dcterms:modified xsi:type="dcterms:W3CDTF">2026-04-06T13:48:34Z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