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Sources &amp; Uses" sheetId="3" state="visible" r:id="rId3"/>
    <sheet xmlns:r="http://schemas.openxmlformats.org/officeDocument/2006/relationships" name="Constr Interest" sheetId="4" state="visible" r:id="rId4"/>
    <sheet xmlns:r="http://schemas.openxmlformats.org/officeDocument/2006/relationships" name="Rent Roll" sheetId="5" state="visible" r:id="rId5"/>
    <sheet xmlns:r="http://schemas.openxmlformats.org/officeDocument/2006/relationships" name="Pro Forma" sheetId="6" state="visible" r:id="rId6"/>
    <sheet xmlns:r="http://schemas.openxmlformats.org/officeDocument/2006/relationships" name="Refi Analysis" sheetId="7" state="visible" r:id="rId7"/>
    <sheet xmlns:r="http://schemas.openxmlformats.org/officeDocument/2006/relationships" name="Amort - Initial" sheetId="8" state="visible" r:id="rId8"/>
    <sheet xmlns:r="http://schemas.openxmlformats.org/officeDocument/2006/relationships" name="Amort - Refi 1" sheetId="9" state="visible" r:id="rId9"/>
    <sheet xmlns:r="http://schemas.openxmlformats.org/officeDocument/2006/relationships" name="Amort - Refi 2" sheetId="10" state="visible" r:id="rId10"/>
    <sheet xmlns:r="http://schemas.openxmlformats.org/officeDocument/2006/relationships" name="Amort - Refi 3" sheetId="11" state="visible" r:id="rId11"/>
    <sheet xmlns:r="http://schemas.openxmlformats.org/officeDocument/2006/relationships" name="Exit" sheetId="12" state="visible" r:id="rId12"/>
    <sheet xmlns:r="http://schemas.openxmlformats.org/officeDocument/2006/relationships" name="Cash Waterfall" sheetId="13" state="visible" r:id="rId13"/>
    <sheet xmlns:r="http://schemas.openxmlformats.org/officeDocument/2006/relationships" name="Returns Summary" sheetId="14" state="visible" r:id="rId14"/>
    <sheet xmlns:r="http://schemas.openxmlformats.org/officeDocument/2006/relationships" name="Sensitivity" sheetId="15" state="visible" r:id="rId15"/>
  </sheets>
  <definedNames>
    <definedName name="_xlnm.Print_Area" localSheetId="1">'Assumptions'!$A$1:$H$205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\$#,##0;&quot;($&quot;#,##0\);\-"/>
    <numFmt numFmtId="165" formatCode="0.0%"/>
    <numFmt numFmtId="166" formatCode="0.00\x"/>
    <numFmt numFmtId="167" formatCode="0&quot; years&quot;"/>
    <numFmt numFmtId="168" formatCode="\$#,##0.00;&quot;($&quot;#,##0.00\);\-"/>
    <numFmt numFmtId="169" formatCode="0.0\x"/>
    <numFmt numFmtId="170" formatCode="\$#,##0"/>
  </numFmts>
  <fonts count="3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entury Gothic"/>
      <charset val="1"/>
      <family val="0"/>
      <b val="1"/>
      <color rgb="FF4A6E50"/>
      <sz val="22"/>
    </font>
    <font>
      <name val="Century Gothic"/>
      <charset val="1"/>
      <family val="0"/>
      <color rgb="FF8B7355"/>
      <sz val="14"/>
    </font>
    <font>
      <name val="Century Gothic"/>
      <charset val="1"/>
      <family val="0"/>
      <b val="1"/>
      <color rgb="FF2C1F14"/>
      <sz val="18"/>
    </font>
    <font>
      <name val="Century Gothic"/>
      <charset val="1"/>
      <family val="0"/>
      <color rgb="FF8B7355"/>
      <sz val="12"/>
    </font>
    <font>
      <name val="Century Gothic"/>
      <charset val="1"/>
      <family val="0"/>
      <color rgb="FF2C1F14"/>
      <sz val="10"/>
    </font>
    <font>
      <name val="Century Gothic"/>
      <charset val="1"/>
      <family val="0"/>
      <color rgb="FF008000"/>
      <sz val="10"/>
    </font>
    <font>
      <name val="Century Gothic"/>
      <charset val="1"/>
      <family val="0"/>
      <b val="1"/>
      <color rgb="FF4A6E50"/>
      <sz val="12"/>
    </font>
    <font>
      <name val="Century Gothic"/>
      <charset val="1"/>
      <family val="0"/>
      <b val="1"/>
      <color rgb="FF008000"/>
      <sz val="10"/>
    </font>
    <font>
      <name val="Century Gothic"/>
      <charset val="1"/>
      <family val="0"/>
      <b val="1"/>
      <color rgb="FF9B4D4D"/>
      <sz val="10"/>
    </font>
    <font>
      <name val="Century Gothic"/>
      <charset val="1"/>
      <family val="0"/>
      <i val="1"/>
      <color rgb="FF8B7355"/>
      <sz val="9"/>
    </font>
    <font>
      <name val="Century Gothic"/>
      <charset val="1"/>
      <family val="0"/>
      <b val="1"/>
      <color rgb="FFFFFFFF"/>
      <sz val="20"/>
    </font>
    <font>
      <name val="Century Gothic"/>
      <charset val="1"/>
      <family val="0"/>
      <color rgb="FFB2C9B4"/>
      <sz val="11"/>
    </font>
    <font>
      <name val="Century Gothic"/>
      <charset val="1"/>
      <family val="0"/>
      <sz val="10"/>
    </font>
    <font>
      <name val="Century Gothic"/>
      <charset val="1"/>
      <family val="0"/>
      <b val="1"/>
      <color rgb="FFFFFFFF"/>
      <sz val="13"/>
    </font>
    <font>
      <name val="Century Gothic"/>
      <charset val="1"/>
      <family val="0"/>
      <b val="1"/>
      <color rgb="FF0000FF"/>
      <sz val="10"/>
    </font>
    <font>
      <name val="Century Gothic"/>
      <charset val="1"/>
      <family val="0"/>
      <color rgb="FF4A6E50"/>
      <sz val="10"/>
    </font>
    <font>
      <name val="Century Gothic"/>
      <charset val="1"/>
      <family val="0"/>
      <b val="1"/>
      <color rgb="FF2C1F14"/>
      <sz val="10"/>
    </font>
    <font>
      <name val="Century Gothic"/>
      <charset val="1"/>
      <family val="0"/>
      <color rgb="FF000000"/>
      <sz val="10"/>
    </font>
    <font>
      <name val="Century Gothic"/>
      <charset val="1"/>
      <family val="0"/>
      <b val="1"/>
      <color rgb="FFFFFFFF"/>
      <sz val="10"/>
    </font>
    <font>
      <name val="Century Gothic"/>
      <charset val="1"/>
      <family val="0"/>
      <b val="1"/>
      <color rgb="FF4A6E50"/>
      <sz val="11"/>
    </font>
    <font>
      <name val="Century Gothic"/>
      <charset val="1"/>
      <family val="0"/>
      <b val="1"/>
      <color rgb="FFFFFFFF"/>
      <sz val="11"/>
    </font>
    <font>
      <name val="Century Gothic"/>
      <charset val="1"/>
      <family val="0"/>
      <b val="1"/>
      <color rgb="FF4A6E50"/>
      <sz val="10"/>
    </font>
    <font>
      <name val="Century Gothic"/>
      <charset val="1"/>
      <family val="0"/>
      <b val="1"/>
      <color rgb="FF2C1F14"/>
      <sz val="16"/>
    </font>
    <font>
      <name val="Century Gothic"/>
      <charset val="1"/>
      <family val="0"/>
      <b val="1"/>
      <color rgb="FFFFFFFF"/>
      <sz val="9"/>
    </font>
    <font>
      <name val="Century Gothic"/>
      <charset val="1"/>
      <family val="0"/>
      <b val="1"/>
      <color rgb="FF5C3D26"/>
      <sz val="10"/>
    </font>
    <font>
      <name val="Century Gothic"/>
      <charset val="1"/>
      <family val="0"/>
      <b val="1"/>
      <color rgb="FF8B7355"/>
      <sz val="10"/>
    </font>
    <font>
      <name val="Century Gothic"/>
      <charset val="1"/>
      <family val="0"/>
      <b val="1"/>
      <color rgb="FFC4A882"/>
      <sz val="10"/>
    </font>
    <font>
      <name val="Century Gothic"/>
      <charset val="1"/>
      <family val="0"/>
      <b val="1"/>
      <color rgb="FFFFFFFF"/>
      <sz val="18"/>
    </font>
    <font>
      <name val="Century Gothic"/>
      <charset val="1"/>
      <family val="0"/>
      <color rgb="FFB2C9B4"/>
      <sz val="10"/>
    </font>
    <font>
      <name val="Century Gothic"/>
      <charset val="1"/>
      <family val="0"/>
      <color rgb="FF8B7355"/>
      <sz val="10"/>
    </font>
    <font>
      <name val="Century Gothic"/>
      <charset val="1"/>
      <family val="0"/>
      <b val="1"/>
      <color rgb="FF9B4D4D"/>
      <sz val="11"/>
    </font>
    <font>
      <name val="Century Gothic"/>
      <charset val="1"/>
      <family val="0"/>
      <b val="1"/>
      <color rgb="FF4A6E50"/>
      <sz val="14"/>
    </font>
    <font>
      <name val="Century Gothic"/>
      <charset val="1"/>
      <family val="0"/>
      <b val="1"/>
      <color rgb="FF2C1F14"/>
      <sz val="11"/>
    </font>
  </fonts>
  <fills count="16">
    <fill>
      <patternFill/>
    </fill>
    <fill>
      <patternFill patternType="gray125"/>
    </fill>
    <fill>
      <patternFill patternType="solid">
        <fgColor rgb="FFF5EFE4"/>
        <bgColor rgb="FFFBF6E8"/>
      </patternFill>
    </fill>
    <fill>
      <patternFill patternType="solid">
        <fgColor rgb="FFB2C9B4"/>
        <bgColor rgb="FFB2C9B4"/>
      </patternFill>
    </fill>
    <fill>
      <patternFill patternType="solid">
        <fgColor rgb="FFF5EFE4"/>
        <bgColor rgb="FFB2C9B4"/>
      </patternFill>
    </fill>
    <fill>
      <patternFill patternType="solid">
        <fgColor rgb="FF2C1F14"/>
        <bgColor rgb="FF333300"/>
      </patternFill>
    </fill>
    <fill>
      <patternFill patternType="solid">
        <fgColor rgb="FF4A6E50"/>
        <bgColor rgb="FF5C3D26"/>
      </patternFill>
    </fill>
    <fill>
      <patternFill patternType="solid">
        <fgColor rgb="FFFFFFF0"/>
        <bgColor rgb="FFFFFFFF"/>
      </patternFill>
    </fill>
    <fill>
      <patternFill patternType="solid">
        <fgColor rgb="FFB2C9B4"/>
        <bgColor rgb="FFB2C9B4"/>
      </patternFill>
    </fill>
    <fill>
      <patternFill patternType="solid">
        <fgColor rgb="FF5C3D26"/>
        <bgColor rgb="FF9B4D4D"/>
      </patternFill>
    </fill>
    <fill>
      <patternFill patternType="solid">
        <fgColor rgb="FF8B7355"/>
        <bgColor rgb="FF8B7355"/>
      </patternFill>
    </fill>
    <fill>
      <patternFill patternType="solid">
        <fgColor rgb="FFC4A882"/>
        <bgColor rgb="FFB8962E"/>
      </patternFill>
    </fill>
    <fill>
      <patternFill patternType="solid">
        <fgColor rgb="FF9B4D4D"/>
        <bgColor rgb="FF993366"/>
      </patternFill>
    </fill>
    <fill>
      <patternFill patternType="solid">
        <fgColor rgb="FFB2C9B4"/>
        <bgColor rgb="FFB2C9B4"/>
      </patternFill>
    </fill>
    <fill>
      <patternFill patternType="solid">
        <fgColor rgb="FFF5EAEA"/>
        <bgColor rgb="FFF5EFE4"/>
      </patternFill>
    </fill>
    <fill>
      <patternFill patternType="solid">
        <fgColor rgb="FFFBF6E8"/>
        <bgColor rgb="FFF5EFE4"/>
      </patternFill>
    </fill>
  </fills>
  <borders count="2">
    <border>
      <left/>
      <right/>
      <top/>
      <bottom/>
      <diagonal/>
    </border>
    <border>
      <left style="thin">
        <color rgb="FFD4C9B8"/>
      </left>
      <right style="thin">
        <color rgb="FFD4C9B8"/>
      </right>
      <top style="thin">
        <color rgb="FFD4C9B8"/>
      </top>
      <bottom style="thin">
        <color rgb="FFD4C9B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3" fontId="9" fillId="2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164" fontId="11" fillId="4" borderId="0" applyAlignment="1" pivotButton="0" quotePrefix="0" xfId="0">
      <alignment horizontal="right" vertical="center"/>
    </xf>
    <xf numFmtId="164" fontId="11" fillId="2" borderId="0" applyAlignment="1" pivotButton="0" quotePrefix="0" xfId="0">
      <alignment horizontal="right" vertical="center"/>
    </xf>
    <xf numFmtId="10" fontId="11" fillId="2" borderId="0" applyAlignment="1" pivotButton="0" quotePrefix="0" xfId="0">
      <alignment horizontal="right" vertical="center"/>
    </xf>
    <xf numFmtId="165" fontId="11" fillId="4" borderId="0" applyAlignment="1" pivotButton="0" quotePrefix="0" xfId="0">
      <alignment horizontal="right" vertical="center"/>
    </xf>
    <xf numFmtId="166" fontId="11" fillId="2" borderId="0" applyAlignment="1" pivotButton="0" quotePrefix="0" xfId="0">
      <alignment horizontal="right" vertical="center"/>
    </xf>
    <xf numFmtId="166" fontId="11" fillId="4" borderId="0" applyAlignment="1" pivotButton="0" quotePrefix="0" xfId="0">
      <alignment horizontal="right" vertical="center"/>
    </xf>
    <xf numFmtId="167" fontId="11" fillId="2" borderId="0" applyAlignment="1" pivotButton="0" quotePrefix="0" xfId="0">
      <alignment horizontal="right" vertical="center"/>
    </xf>
    <xf numFmtId="0" fontId="12" fillId="2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general" vertical="bottom"/>
    </xf>
    <xf numFmtId="0" fontId="14" fillId="5" borderId="0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general" vertical="bottom"/>
    </xf>
    <xf numFmtId="0" fontId="16" fillId="6" borderId="0" applyAlignment="1" pivotButton="0" quotePrefix="0" xfId="0">
      <alignment horizontal="general" vertical="bottom"/>
    </xf>
    <xf numFmtId="0" fontId="17" fillId="6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49" fontId="18" fillId="7" borderId="1" applyAlignment="1" pivotButton="0" quotePrefix="0" xfId="0">
      <alignment horizontal="right" vertical="center"/>
    </xf>
    <xf numFmtId="3" fontId="18" fillId="7" borderId="1" applyAlignment="1" pivotButton="0" quotePrefix="0" xfId="0">
      <alignment horizontal="right" vertical="center"/>
    </xf>
    <xf numFmtId="1" fontId="18" fillId="7" borderId="1" applyAlignment="1" pivotButton="0" quotePrefix="0" xfId="0">
      <alignment horizontal="right" vertical="center"/>
    </xf>
    <xf numFmtId="164" fontId="18" fillId="7" borderId="1" applyAlignment="1" pivotButton="0" quotePrefix="0" xfId="0">
      <alignment horizontal="right" vertical="center"/>
    </xf>
    <xf numFmtId="10" fontId="18" fillId="7" borderId="1" applyAlignment="1" pivotButton="0" quotePrefix="0" xfId="0">
      <alignment horizontal="right" vertical="center"/>
    </xf>
    <xf numFmtId="164" fontId="19" fillId="2" borderId="0" applyAlignment="1" pivotButton="0" quotePrefix="0" xfId="0">
      <alignment horizontal="right" vertical="center"/>
    </xf>
    <xf numFmtId="0" fontId="20" fillId="8" borderId="0" applyAlignment="1" pivotButton="0" quotePrefix="0" xfId="0">
      <alignment horizontal="left" vertical="center"/>
    </xf>
    <xf numFmtId="164" fontId="20" fillId="8" borderId="0" applyAlignment="1" pivotButton="0" quotePrefix="0" xfId="0">
      <alignment horizontal="right" vertical="center"/>
    </xf>
    <xf numFmtId="164" fontId="21" fillId="2" borderId="0" applyAlignment="1" pivotButton="0" quotePrefix="0" xfId="0">
      <alignment horizontal="right" vertical="center"/>
    </xf>
    <xf numFmtId="168" fontId="21" fillId="2" borderId="0" applyAlignment="1" pivotButton="0" quotePrefix="0" xfId="0">
      <alignment horizontal="right" vertical="center"/>
    </xf>
    <xf numFmtId="0" fontId="13" fillId="2" borderId="0" applyAlignment="1" pivotButton="0" quotePrefix="0" xfId="0">
      <alignment horizontal="general" vertical="bottom"/>
    </xf>
    <xf numFmtId="0" fontId="22" fillId="6" borderId="0" applyAlignment="1" pivotButton="0" quotePrefix="0" xfId="0">
      <alignment horizontal="left" vertical="center"/>
    </xf>
    <xf numFmtId="0" fontId="22" fillId="9" borderId="0" applyAlignment="1" pivotButton="0" quotePrefix="0" xfId="0">
      <alignment horizontal="left" vertical="center"/>
    </xf>
    <xf numFmtId="0" fontId="22" fillId="10" borderId="0" applyAlignment="1" pivotButton="0" quotePrefix="0" xfId="0">
      <alignment horizontal="left" vertical="center"/>
    </xf>
    <xf numFmtId="0" fontId="22" fillId="11" borderId="0" applyAlignment="1" pivotButton="0" quotePrefix="0" xfId="0">
      <alignment horizontal="left" vertical="center"/>
    </xf>
    <xf numFmtId="0" fontId="22" fillId="12" borderId="0" applyAlignment="1" pivotButton="0" quotePrefix="0" xfId="0">
      <alignment horizontal="left" vertical="center"/>
    </xf>
    <xf numFmtId="165" fontId="18" fillId="7" borderId="1" applyAlignment="1" pivotButton="0" quotePrefix="0" xfId="0">
      <alignment horizontal="right" vertical="center"/>
    </xf>
    <xf numFmtId="0" fontId="20" fillId="13" borderId="0" applyAlignment="1" pivotButton="0" quotePrefix="0" xfId="0">
      <alignment horizontal="left" vertical="center"/>
    </xf>
    <xf numFmtId="164" fontId="23" fillId="13" borderId="0" applyAlignment="1" pivotButton="0" quotePrefix="0" xfId="0">
      <alignment horizontal="right" vertical="center"/>
    </xf>
    <xf numFmtId="0" fontId="8" fillId="14" borderId="0" applyAlignment="1" pivotButton="0" quotePrefix="0" xfId="0">
      <alignment horizontal="left" vertical="center"/>
    </xf>
    <xf numFmtId="164" fontId="12" fillId="14" borderId="0" applyAlignment="1" pivotButton="0" quotePrefix="0" xfId="0">
      <alignment horizontal="right" vertical="center"/>
    </xf>
    <xf numFmtId="0" fontId="24" fillId="6" borderId="0" applyAlignment="1" pivotButton="0" quotePrefix="0" xfId="0">
      <alignment horizontal="left" vertical="center"/>
    </xf>
    <xf numFmtId="0" fontId="0" fillId="6" borderId="0" applyAlignment="1" pivotButton="0" quotePrefix="0" xfId="0">
      <alignment horizontal="general" vertical="bottom"/>
    </xf>
    <xf numFmtId="0" fontId="25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general" vertical="bottom"/>
    </xf>
    <xf numFmtId="3" fontId="18" fillId="2" borderId="0" applyAlignment="1" pivotButton="0" quotePrefix="0" xfId="0">
      <alignment horizontal="right" vertical="center"/>
    </xf>
    <xf numFmtId="10" fontId="18" fillId="2" borderId="0" applyAlignment="1" pivotButton="0" quotePrefix="0" xfId="0">
      <alignment horizontal="right" vertical="center"/>
    </xf>
    <xf numFmtId="164" fontId="18" fillId="0" borderId="0" applyAlignment="1" pivotButton="0" quotePrefix="0" xfId="0">
      <alignment horizontal="right" vertical="center"/>
    </xf>
    <xf numFmtId="164" fontId="18" fillId="2" borderId="0" applyAlignment="1" pivotButton="0" quotePrefix="0" xfId="0">
      <alignment horizontal="right" vertical="center"/>
    </xf>
    <xf numFmtId="165" fontId="18" fillId="2" borderId="0" applyAlignment="1" pivotButton="0" quotePrefix="0" xfId="0">
      <alignment horizontal="right" vertical="center"/>
    </xf>
    <xf numFmtId="3" fontId="18" fillId="0" borderId="0" applyAlignment="1" pivotButton="0" quotePrefix="0" xfId="0">
      <alignment horizontal="right" vertical="center"/>
    </xf>
    <xf numFmtId="0" fontId="17" fillId="6" borderId="0" applyAlignment="1" pivotButton="0" quotePrefix="0" xfId="0">
      <alignment horizontal="left" vertical="center"/>
    </xf>
    <xf numFmtId="165" fontId="18" fillId="0" borderId="0" applyAlignment="1" pivotButton="0" quotePrefix="0" xfId="0">
      <alignment horizontal="right" vertical="center"/>
    </xf>
    <xf numFmtId="0" fontId="22" fillId="6" borderId="0" applyAlignment="1" pivotButton="0" quotePrefix="0" xfId="0">
      <alignment horizontal="left" vertical="center"/>
    </xf>
    <xf numFmtId="169" fontId="18" fillId="7" borderId="1" applyAlignment="1" pivotButton="0" quotePrefix="0" xfId="0">
      <alignment horizontal="right" vertical="center"/>
    </xf>
    <xf numFmtId="0" fontId="26" fillId="3" borderId="0" applyAlignment="1" pivotButton="0" quotePrefix="0" xfId="0">
      <alignment horizontal="general" vertical="bottom"/>
    </xf>
    <xf numFmtId="0" fontId="27" fillId="5" borderId="0" applyAlignment="1" pivotButton="0" quotePrefix="0" xfId="0">
      <alignment horizontal="center" vertical="center"/>
    </xf>
    <xf numFmtId="0" fontId="25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164" fontId="9" fillId="2" borderId="0" applyAlignment="1" pivotButton="0" quotePrefix="0" xfId="0">
      <alignment horizontal="right" vertical="center"/>
    </xf>
    <xf numFmtId="165" fontId="21" fillId="2" borderId="0" applyAlignment="1" pivotButton="0" quotePrefix="0" xfId="0">
      <alignment horizontal="right" vertical="center"/>
    </xf>
    <xf numFmtId="0" fontId="25" fillId="8" borderId="0" applyAlignment="1" pivotButton="0" quotePrefix="0" xfId="0">
      <alignment horizontal="general" vertical="bottom"/>
    </xf>
    <xf numFmtId="165" fontId="20" fillId="8" borderId="0" applyAlignment="1" pivotButton="0" quotePrefix="0" xfId="0">
      <alignment horizontal="right" vertical="center"/>
    </xf>
    <xf numFmtId="0" fontId="28" fillId="4" borderId="0" applyAlignment="1" pivotButton="0" quotePrefix="0" xfId="0">
      <alignment horizontal="general" vertical="bottom"/>
    </xf>
    <xf numFmtId="0" fontId="28" fillId="8" borderId="0" applyAlignment="1" pivotButton="0" quotePrefix="0" xfId="0">
      <alignment horizontal="general" vertical="bottom"/>
    </xf>
    <xf numFmtId="0" fontId="29" fillId="4" borderId="0" applyAlignment="1" pivotButton="0" quotePrefix="0" xfId="0">
      <alignment horizontal="general" vertical="bottom"/>
    </xf>
    <xf numFmtId="0" fontId="29" fillId="8" borderId="0" applyAlignment="1" pivotButton="0" quotePrefix="0" xfId="0">
      <alignment horizontal="general" vertical="bottom"/>
    </xf>
    <xf numFmtId="0" fontId="30" fillId="4" borderId="0" applyAlignment="1" pivotButton="0" quotePrefix="0" xfId="0">
      <alignment horizontal="general" vertical="bottom"/>
    </xf>
    <xf numFmtId="0" fontId="30" fillId="8" borderId="0" applyAlignment="1" pivotButton="0" quotePrefix="0" xfId="0">
      <alignment horizontal="general" vertical="bottom"/>
    </xf>
    <xf numFmtId="0" fontId="12" fillId="4" borderId="0" applyAlignment="1" pivotButton="0" quotePrefix="0" xfId="0">
      <alignment horizontal="general" vertical="bottom"/>
    </xf>
    <xf numFmtId="0" fontId="12" fillId="8" borderId="0" applyAlignment="1" pivotButton="0" quotePrefix="0" xfId="0">
      <alignment horizontal="general" vertical="bottom"/>
    </xf>
    <xf numFmtId="0" fontId="22" fillId="5" borderId="0" applyAlignment="1" pivotButton="0" quotePrefix="0" xfId="0">
      <alignment horizontal="general" vertical="bottom"/>
    </xf>
    <xf numFmtId="164" fontId="22" fillId="5" borderId="0" applyAlignment="1" pivotButton="0" quotePrefix="0" xfId="0">
      <alignment horizontal="right" vertical="center"/>
    </xf>
    <xf numFmtId="0" fontId="0" fillId="5" borderId="0" applyAlignment="1" pivotButton="0" quotePrefix="0" xfId="0">
      <alignment horizontal="general" vertical="bottom"/>
    </xf>
    <xf numFmtId="0" fontId="22" fillId="6" borderId="0" applyAlignment="1" pivotButton="0" quotePrefix="0" xfId="0">
      <alignment horizontal="general" vertical="bottom"/>
    </xf>
    <xf numFmtId="164" fontId="22" fillId="6" borderId="0" applyAlignment="1" pivotButton="0" quotePrefix="0" xfId="0">
      <alignment horizontal="right" vertical="center"/>
    </xf>
    <xf numFmtId="0" fontId="12" fillId="14" borderId="0" applyAlignment="1" pivotButton="0" quotePrefix="0" xfId="0">
      <alignment horizontal="general" vertical="bottom"/>
    </xf>
    <xf numFmtId="0" fontId="31" fillId="5" borderId="0" applyAlignment="1" pivotButton="0" quotePrefix="0" xfId="0">
      <alignment horizontal="center" vertical="center"/>
    </xf>
    <xf numFmtId="0" fontId="32" fillId="5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3" fontId="18" fillId="4" borderId="1" applyAlignment="1" pivotButton="0" quotePrefix="0" xfId="0">
      <alignment horizontal="right" vertical="center"/>
    </xf>
    <xf numFmtId="164" fontId="18" fillId="4" borderId="1" applyAlignment="1" pivotButton="0" quotePrefix="0" xfId="0">
      <alignment horizontal="right" vertical="center"/>
    </xf>
    <xf numFmtId="168" fontId="21" fillId="4" borderId="1" applyAlignment="1" pivotButton="0" quotePrefix="0" xfId="0">
      <alignment horizontal="right" vertical="center"/>
    </xf>
    <xf numFmtId="164" fontId="21" fillId="4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/>
    </xf>
    <xf numFmtId="3" fontId="18" fillId="2" borderId="1" applyAlignment="1" pivotButton="0" quotePrefix="0" xfId="0">
      <alignment horizontal="right" vertical="center"/>
    </xf>
    <xf numFmtId="164" fontId="18" fillId="2" borderId="1" applyAlignment="1" pivotButton="0" quotePrefix="0" xfId="0">
      <alignment horizontal="right" vertical="center"/>
    </xf>
    <xf numFmtId="168" fontId="21" fillId="2" borderId="1" applyAlignment="1" pivotButton="0" quotePrefix="0" xfId="0">
      <alignment horizontal="right" vertical="center"/>
    </xf>
    <xf numFmtId="164" fontId="21" fillId="2" borderId="1" applyAlignment="1" pivotButton="0" quotePrefix="0" xfId="0">
      <alignment horizontal="right" vertical="center"/>
    </xf>
    <xf numFmtId="0" fontId="22" fillId="5" borderId="0" applyAlignment="1" pivotButton="0" quotePrefix="0" xfId="0">
      <alignment horizontal="center" vertical="center"/>
    </xf>
    <xf numFmtId="3" fontId="22" fillId="5" borderId="0" applyAlignment="1" pivotButton="0" quotePrefix="0" xfId="0">
      <alignment horizontal="center" vertical="center"/>
    </xf>
    <xf numFmtId="3" fontId="22" fillId="5" borderId="0" applyAlignment="1" pivotButton="0" quotePrefix="0" xfId="0">
      <alignment horizontal="right" vertical="center"/>
    </xf>
    <xf numFmtId="168" fontId="22" fillId="5" borderId="0" applyAlignment="1" pivotButton="0" quotePrefix="0" xfId="0">
      <alignment horizontal="right" vertical="center"/>
    </xf>
    <xf numFmtId="0" fontId="20" fillId="2" borderId="0" applyAlignment="1" pivotButton="0" quotePrefix="0" xfId="0">
      <alignment horizontal="general" vertical="bottom"/>
    </xf>
    <xf numFmtId="164" fontId="25" fillId="2" borderId="0" applyAlignment="1" pivotButton="0" quotePrefix="0" xfId="0">
      <alignment horizontal="right" vertical="center"/>
    </xf>
    <xf numFmtId="165" fontId="25" fillId="2" borderId="0" applyAlignment="1" pivotButton="0" quotePrefix="0" xfId="0">
      <alignment horizontal="right" vertical="center"/>
    </xf>
    <xf numFmtId="168" fontId="18" fillId="2" borderId="1" applyAlignment="1" pivotButton="0" quotePrefix="0" xfId="0">
      <alignment horizontal="right" vertical="center"/>
    </xf>
    <xf numFmtId="168" fontId="18" fillId="4" borderId="1" applyAlignment="1" pivotButton="0" quotePrefix="0" xfId="0">
      <alignment horizontal="right" vertical="center"/>
    </xf>
    <xf numFmtId="0" fontId="0" fillId="13" borderId="0" applyAlignment="1" pivotButton="0" quotePrefix="0" xfId="0">
      <alignment horizontal="general" vertical="bottom"/>
    </xf>
    <xf numFmtId="0" fontId="23" fillId="13" borderId="0" applyAlignment="1" pivotButton="0" quotePrefix="0" xfId="0">
      <alignment horizontal="general" vertical="bottom"/>
    </xf>
    <xf numFmtId="164" fontId="10" fillId="13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165" fontId="25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general" vertical="bottom"/>
    </xf>
    <xf numFmtId="0" fontId="20" fillId="8" borderId="0" applyAlignment="1" pivotButton="0" quotePrefix="0" xfId="0">
      <alignment horizontal="general" vertical="bottom"/>
    </xf>
    <xf numFmtId="164" fontId="20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33" fillId="2" borderId="0" applyAlignment="1" pivotButton="0" quotePrefix="0" xfId="0">
      <alignment horizontal="general" vertical="bottom"/>
    </xf>
    <xf numFmtId="0" fontId="34" fillId="14" borderId="0" applyAlignment="1" pivotButton="0" quotePrefix="0" xfId="0">
      <alignment horizontal="general" vertical="bottom"/>
    </xf>
    <xf numFmtId="164" fontId="34" fillId="14" borderId="0" applyAlignment="1" pivotButton="0" quotePrefix="0" xfId="0">
      <alignment horizontal="right" vertical="center"/>
    </xf>
    <xf numFmtId="10" fontId="21" fillId="2" borderId="0" applyAlignment="1" pivotButton="0" quotePrefix="0" xfId="0">
      <alignment horizontal="right" vertical="center"/>
    </xf>
    <xf numFmtId="0" fontId="10" fillId="13" borderId="0" applyAlignment="1" pivotButton="0" quotePrefix="0" xfId="0">
      <alignment horizontal="general" vertical="bottom"/>
    </xf>
    <xf numFmtId="3" fontId="9" fillId="2" borderId="0" applyAlignment="1" pivotButton="0" quotePrefix="0" xfId="0">
      <alignment horizontal="right" vertical="center"/>
    </xf>
    <xf numFmtId="165" fontId="9" fillId="2" borderId="0" applyAlignment="1" pivotButton="0" quotePrefix="0" xfId="0">
      <alignment horizontal="right" vertical="center"/>
    </xf>
    <xf numFmtId="10" fontId="9" fillId="2" borderId="0" applyAlignment="1" pivotButton="0" quotePrefix="0" xfId="0">
      <alignment horizontal="right" vertical="center"/>
    </xf>
    <xf numFmtId="164" fontId="9" fillId="2" borderId="0" applyAlignment="1" pivotButton="0" quotePrefix="0" xfId="0">
      <alignment horizontal="general" vertical="bottom"/>
    </xf>
    <xf numFmtId="10" fontId="9" fillId="2" borderId="0" applyAlignment="1" pivotButton="0" quotePrefix="0" xfId="0">
      <alignment horizontal="general" vertical="bottom"/>
    </xf>
    <xf numFmtId="168" fontId="20" fillId="2" borderId="0" applyAlignment="1" pivotButton="0" quotePrefix="0" xfId="0">
      <alignment horizontal="general" vertical="bottom"/>
    </xf>
    <xf numFmtId="3" fontId="8" fillId="2" borderId="0" applyAlignment="1" pivotButton="0" quotePrefix="0" xfId="0">
      <alignment horizontal="center" vertical="center"/>
    </xf>
    <xf numFmtId="3" fontId="8" fillId="4" borderId="0" applyAlignment="1" pivotButton="0" quotePrefix="0" xfId="0">
      <alignment horizontal="center" vertical="center"/>
    </xf>
    <xf numFmtId="168" fontId="21" fillId="4" borderId="0" applyAlignment="1" pivotButton="0" quotePrefix="0" xfId="0">
      <alignment horizontal="right" vertical="center"/>
    </xf>
    <xf numFmtId="0" fontId="35" fillId="13" borderId="0" applyAlignment="1" pivotButton="0" quotePrefix="0" xfId="0">
      <alignment horizontal="general" vertical="bottom"/>
    </xf>
    <xf numFmtId="166" fontId="35" fillId="13" borderId="0" applyAlignment="1" pivotButton="0" quotePrefix="0" xfId="0">
      <alignment horizontal="right" vertical="center"/>
    </xf>
    <xf numFmtId="0" fontId="17" fillId="5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center" vertical="center"/>
    </xf>
    <xf numFmtId="165" fontId="19" fillId="2" borderId="0" applyAlignment="1" pivotButton="0" quotePrefix="0" xfId="0">
      <alignment horizontal="right" vertical="center"/>
    </xf>
    <xf numFmtId="0" fontId="0" fillId="8" borderId="0" applyAlignment="1" pivotButton="0" quotePrefix="0" xfId="0">
      <alignment horizontal="general" vertical="bottom"/>
    </xf>
    <xf numFmtId="10" fontId="35" fillId="13" borderId="0" applyAlignment="1" pivotButton="0" quotePrefix="0" xfId="0">
      <alignment horizontal="right" vertical="center"/>
    </xf>
    <xf numFmtId="0" fontId="23" fillId="3" borderId="0" applyAlignment="1" pivotButton="0" quotePrefix="0" xfId="0">
      <alignment horizontal="general" vertical="bottom"/>
    </xf>
    <xf numFmtId="0" fontId="20" fillId="3" borderId="0" applyAlignment="1" pivotButton="0" quotePrefix="0" xfId="0">
      <alignment horizontal="center" vertical="center"/>
    </xf>
    <xf numFmtId="164" fontId="21" fillId="13" borderId="0" applyAlignment="1" pivotButton="0" quotePrefix="0" xfId="0">
      <alignment horizontal="right" vertical="center"/>
    </xf>
    <xf numFmtId="0" fontId="0" fillId="15" borderId="0" applyAlignment="1" pivotButton="0" quotePrefix="0" xfId="0">
      <alignment horizontal="general" vertical="bottom"/>
    </xf>
    <xf numFmtId="0" fontId="36" fillId="15" borderId="0" applyAlignment="1" pivotButton="0" quotePrefix="0" xfId="0">
      <alignment horizontal="general" vertical="bottom"/>
    </xf>
    <xf numFmtId="10" fontId="13" fillId="2" borderId="0" applyAlignment="1" pivotButton="0" quotePrefix="0" xfId="0">
      <alignment horizontal="general" vertical="bottom"/>
    </xf>
    <xf numFmtId="164" fontId="13" fillId="2" borderId="0" applyAlignment="1" pivotButton="0" quotePrefix="0" xfId="0">
      <alignment horizontal="right" vertical="center"/>
    </xf>
    <xf numFmtId="0" fontId="25" fillId="2" borderId="0" applyAlignment="1" pivotButton="0" quotePrefix="0" xfId="0">
      <alignment horizontal="general" vertical="bottom"/>
    </xf>
    <xf numFmtId="0" fontId="0" fillId="14" borderId="0" applyAlignment="1" pivotButton="0" quotePrefix="0" xfId="0">
      <alignment horizontal="general" vertical="bottom"/>
    </xf>
    <xf numFmtId="49" fontId="9" fillId="2" borderId="0" applyAlignment="1" pivotButton="0" quotePrefix="0" xfId="0">
      <alignment horizontal="right" vertical="center"/>
    </xf>
    <xf numFmtId="165" fontId="11" fillId="2" borderId="0" applyAlignment="1" pivotButton="0" quotePrefix="0" xfId="0">
      <alignment horizontal="right" vertical="center"/>
    </xf>
    <xf numFmtId="10" fontId="23" fillId="13" borderId="0" applyAlignment="1" pivotButton="0" quotePrefix="0" xfId="0">
      <alignment horizontal="right" vertical="center"/>
    </xf>
    <xf numFmtId="166" fontId="23" fillId="13" borderId="0" applyAlignment="1" pivotButton="0" quotePrefix="0" xfId="0">
      <alignment horizontal="right" vertical="center"/>
    </xf>
    <xf numFmtId="0" fontId="23" fillId="3" borderId="0" applyAlignment="1" pivotButton="0" quotePrefix="0" xfId="0">
      <alignment horizontal="general" vertical="bottom"/>
    </xf>
    <xf numFmtId="165" fontId="27" fillId="5" borderId="0" applyAlignment="1" pivotButton="0" quotePrefix="0" xfId="0">
      <alignment horizontal="center" vertical="center"/>
    </xf>
    <xf numFmtId="10" fontId="18" fillId="4" borderId="1" applyAlignment="1" pivotButton="0" quotePrefix="0" xfId="0">
      <alignment horizontal="center" vertical="center"/>
    </xf>
    <xf numFmtId="10" fontId="13" fillId="2" borderId="1" applyAlignment="1" pivotButton="0" quotePrefix="0" xfId="0">
      <alignment horizontal="center" vertical="center"/>
    </xf>
    <xf numFmtId="166" fontId="13" fillId="2" borderId="1" applyAlignment="1" pivotButton="0" quotePrefix="0" xfId="0">
      <alignment horizontal="center" vertical="center"/>
    </xf>
    <xf numFmtId="170" fontId="27" fillId="5" borderId="0" applyAlignment="1" pivotButton="0" quotePrefix="0" xfId="0">
      <alignment horizontal="center" vertical="center"/>
    </xf>
    <xf numFmtId="165" fontId="18" fillId="4" borderId="1" applyAlignment="1" pivotButton="0" quotePrefix="0" xfId="0">
      <alignment horizontal="center" vertical="center"/>
    </xf>
    <xf numFmtId="164" fontId="13" fillId="2" borderId="1" applyAlignment="1" pivotButton="0" quotePrefix="0" xfId="0">
      <alignment horizontal="center" vertical="center"/>
    </xf>
    <xf numFmtId="165" fontId="13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3" fontId="9" fillId="2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164" fontId="11" fillId="4" borderId="0" applyAlignment="1" pivotButton="0" quotePrefix="0" xfId="0">
      <alignment horizontal="right" vertical="center"/>
    </xf>
    <xf numFmtId="164" fontId="11" fillId="2" borderId="0" applyAlignment="1" pivotButton="0" quotePrefix="0" xfId="0">
      <alignment horizontal="right" vertical="center"/>
    </xf>
    <xf numFmtId="10" fontId="11" fillId="2" borderId="0" applyAlignment="1" pivotButton="0" quotePrefix="0" xfId="0">
      <alignment horizontal="right" vertical="center"/>
    </xf>
    <xf numFmtId="165" fontId="11" fillId="4" borderId="0" applyAlignment="1" pivotButton="0" quotePrefix="0" xfId="0">
      <alignment horizontal="right" vertical="center"/>
    </xf>
    <xf numFmtId="166" fontId="11" fillId="2" borderId="0" applyAlignment="1" pivotButton="0" quotePrefix="0" xfId="0">
      <alignment horizontal="right" vertical="center"/>
    </xf>
    <xf numFmtId="166" fontId="11" fillId="4" borderId="0" applyAlignment="1" pivotButton="0" quotePrefix="0" xfId="0">
      <alignment horizontal="right" vertical="center"/>
    </xf>
    <xf numFmtId="167" fontId="11" fillId="2" borderId="0" applyAlignment="1" pivotButton="0" quotePrefix="0" xfId="0">
      <alignment horizontal="right" vertical="center"/>
    </xf>
    <xf numFmtId="0" fontId="12" fillId="2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general" vertical="bottom"/>
    </xf>
    <xf numFmtId="0" fontId="14" fillId="5" borderId="0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general" vertical="bottom"/>
    </xf>
    <xf numFmtId="0" fontId="16" fillId="6" borderId="0" applyAlignment="1" pivotButton="0" quotePrefix="0" xfId="0">
      <alignment horizontal="general" vertical="bottom"/>
    </xf>
    <xf numFmtId="0" fontId="17" fillId="6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49" fontId="18" fillId="7" borderId="1" applyAlignment="1" pivotButton="0" quotePrefix="0" xfId="0">
      <alignment horizontal="right" vertical="center"/>
    </xf>
    <xf numFmtId="3" fontId="18" fillId="7" borderId="1" applyAlignment="1" pivotButton="0" quotePrefix="0" xfId="0">
      <alignment horizontal="right" vertical="center"/>
    </xf>
    <xf numFmtId="1" fontId="18" fillId="7" borderId="1" applyAlignment="1" pivotButton="0" quotePrefix="0" xfId="0">
      <alignment horizontal="right" vertical="center"/>
    </xf>
    <xf numFmtId="164" fontId="18" fillId="7" borderId="1" applyAlignment="1" pivotButton="0" quotePrefix="0" xfId="0">
      <alignment horizontal="right" vertical="center"/>
    </xf>
    <xf numFmtId="10" fontId="18" fillId="7" borderId="1" applyAlignment="1" pivotButton="0" quotePrefix="0" xfId="0">
      <alignment horizontal="right" vertical="center"/>
    </xf>
    <xf numFmtId="164" fontId="19" fillId="2" borderId="0" applyAlignment="1" pivotButton="0" quotePrefix="0" xfId="0">
      <alignment horizontal="right" vertical="center"/>
    </xf>
    <xf numFmtId="0" fontId="20" fillId="8" borderId="0" applyAlignment="1" pivotButton="0" quotePrefix="0" xfId="0">
      <alignment horizontal="left" vertical="center"/>
    </xf>
    <xf numFmtId="164" fontId="20" fillId="8" borderId="0" applyAlignment="1" pivotButton="0" quotePrefix="0" xfId="0">
      <alignment horizontal="right" vertical="center"/>
    </xf>
    <xf numFmtId="164" fontId="21" fillId="2" borderId="0" applyAlignment="1" pivotButton="0" quotePrefix="0" xfId="0">
      <alignment horizontal="right" vertical="center"/>
    </xf>
    <xf numFmtId="168" fontId="21" fillId="2" borderId="0" applyAlignment="1" pivotButton="0" quotePrefix="0" xfId="0">
      <alignment horizontal="right" vertical="center"/>
    </xf>
    <xf numFmtId="0" fontId="22" fillId="6" borderId="0" applyAlignment="1" pivotButton="0" quotePrefix="0" xfId="0">
      <alignment horizontal="left" vertical="center"/>
    </xf>
    <xf numFmtId="0" fontId="22" fillId="9" borderId="0" applyAlignment="1" pivotButton="0" quotePrefix="0" xfId="0">
      <alignment horizontal="left" vertical="center"/>
    </xf>
    <xf numFmtId="0" fontId="22" fillId="10" borderId="0" applyAlignment="1" pivotButton="0" quotePrefix="0" xfId="0">
      <alignment horizontal="left" vertical="center"/>
    </xf>
    <xf numFmtId="0" fontId="22" fillId="11" borderId="0" applyAlignment="1" pivotButton="0" quotePrefix="0" xfId="0">
      <alignment horizontal="left" vertical="center"/>
    </xf>
    <xf numFmtId="0" fontId="22" fillId="12" borderId="0" applyAlignment="1" pivotButton="0" quotePrefix="0" xfId="0">
      <alignment horizontal="left" vertical="center"/>
    </xf>
    <xf numFmtId="165" fontId="18" fillId="7" borderId="1" applyAlignment="1" pivotButton="0" quotePrefix="0" xfId="0">
      <alignment horizontal="right" vertical="center"/>
    </xf>
    <xf numFmtId="0" fontId="20" fillId="13" borderId="0" applyAlignment="1" pivotButton="0" quotePrefix="0" xfId="0">
      <alignment horizontal="left" vertical="center"/>
    </xf>
    <xf numFmtId="164" fontId="23" fillId="13" borderId="0" applyAlignment="1" pivotButton="0" quotePrefix="0" xfId="0">
      <alignment horizontal="right" vertical="center"/>
    </xf>
    <xf numFmtId="0" fontId="8" fillId="14" borderId="0" applyAlignment="1" pivotButton="0" quotePrefix="0" xfId="0">
      <alignment horizontal="left" vertical="center"/>
    </xf>
    <xf numFmtId="164" fontId="12" fillId="14" borderId="0" applyAlignment="1" pivotButton="0" quotePrefix="0" xfId="0">
      <alignment horizontal="right" vertical="center"/>
    </xf>
    <xf numFmtId="0" fontId="24" fillId="6" borderId="0" applyAlignment="1" pivotButton="0" quotePrefix="0" xfId="0">
      <alignment horizontal="left" vertical="center"/>
    </xf>
    <xf numFmtId="0" fontId="0" fillId="6" borderId="0" applyAlignment="1" pivotButton="0" quotePrefix="0" xfId="0">
      <alignment horizontal="general" vertical="bottom"/>
    </xf>
    <xf numFmtId="0" fontId="25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general" vertical="bottom"/>
    </xf>
    <xf numFmtId="3" fontId="18" fillId="2" borderId="0" applyAlignment="1" pivotButton="0" quotePrefix="0" xfId="0">
      <alignment horizontal="right" vertical="center"/>
    </xf>
    <xf numFmtId="10" fontId="18" fillId="2" borderId="0" applyAlignment="1" pivotButton="0" quotePrefix="0" xfId="0">
      <alignment horizontal="right" vertical="center"/>
    </xf>
    <xf numFmtId="164" fontId="18" fillId="0" borderId="0" applyAlignment="1" pivotButton="0" quotePrefix="0" xfId="0">
      <alignment horizontal="right" vertical="center"/>
    </xf>
    <xf numFmtId="164" fontId="18" fillId="2" borderId="0" applyAlignment="1" pivotButton="0" quotePrefix="0" xfId="0">
      <alignment horizontal="right" vertical="center"/>
    </xf>
    <xf numFmtId="165" fontId="18" fillId="2" borderId="0" applyAlignment="1" pivotButton="0" quotePrefix="0" xfId="0">
      <alignment horizontal="right" vertical="center"/>
    </xf>
    <xf numFmtId="3" fontId="18" fillId="0" borderId="0" applyAlignment="1" pivotButton="0" quotePrefix="0" xfId="0">
      <alignment horizontal="right" vertical="center"/>
    </xf>
    <xf numFmtId="165" fontId="18" fillId="0" borderId="0" applyAlignment="1" pivotButton="0" quotePrefix="0" xfId="0">
      <alignment horizontal="right" vertical="center"/>
    </xf>
    <xf numFmtId="169" fontId="18" fillId="7" borderId="1" applyAlignment="1" pivotButton="0" quotePrefix="0" xfId="0">
      <alignment horizontal="right" vertical="center"/>
    </xf>
    <xf numFmtId="0" fontId="26" fillId="3" borderId="0" applyAlignment="1" pivotButton="0" quotePrefix="0" xfId="0">
      <alignment horizontal="general" vertical="bottom"/>
    </xf>
    <xf numFmtId="0" fontId="27" fillId="5" borderId="0" applyAlignment="1" pivotButton="0" quotePrefix="0" xfId="0">
      <alignment horizontal="center" vertical="center"/>
    </xf>
    <xf numFmtId="0" fontId="25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164" fontId="9" fillId="2" borderId="0" applyAlignment="1" pivotButton="0" quotePrefix="0" xfId="0">
      <alignment horizontal="right" vertical="center"/>
    </xf>
    <xf numFmtId="165" fontId="21" fillId="2" borderId="0" applyAlignment="1" pivotButton="0" quotePrefix="0" xfId="0">
      <alignment horizontal="right" vertical="center"/>
    </xf>
    <xf numFmtId="0" fontId="25" fillId="8" borderId="0" applyAlignment="1" pivotButton="0" quotePrefix="0" xfId="0">
      <alignment horizontal="general" vertical="bottom"/>
    </xf>
    <xf numFmtId="165" fontId="20" fillId="8" borderId="0" applyAlignment="1" pivotButton="0" quotePrefix="0" xfId="0">
      <alignment horizontal="right" vertical="center"/>
    </xf>
    <xf numFmtId="0" fontId="28" fillId="4" borderId="0" applyAlignment="1" pivotButton="0" quotePrefix="0" xfId="0">
      <alignment horizontal="general" vertical="bottom"/>
    </xf>
    <xf numFmtId="0" fontId="28" fillId="8" borderId="0" applyAlignment="1" pivotButton="0" quotePrefix="0" xfId="0">
      <alignment horizontal="general" vertical="bottom"/>
    </xf>
    <xf numFmtId="0" fontId="29" fillId="4" borderId="0" applyAlignment="1" pivotButton="0" quotePrefix="0" xfId="0">
      <alignment horizontal="general" vertical="bottom"/>
    </xf>
    <xf numFmtId="0" fontId="29" fillId="8" borderId="0" applyAlignment="1" pivotButton="0" quotePrefix="0" xfId="0">
      <alignment horizontal="general" vertical="bottom"/>
    </xf>
    <xf numFmtId="0" fontId="30" fillId="4" borderId="0" applyAlignment="1" pivotButton="0" quotePrefix="0" xfId="0">
      <alignment horizontal="general" vertical="bottom"/>
    </xf>
    <xf numFmtId="0" fontId="30" fillId="8" borderId="0" applyAlignment="1" pivotButton="0" quotePrefix="0" xfId="0">
      <alignment horizontal="general" vertical="bottom"/>
    </xf>
    <xf numFmtId="0" fontId="12" fillId="4" borderId="0" applyAlignment="1" pivotButton="0" quotePrefix="0" xfId="0">
      <alignment horizontal="general" vertical="bottom"/>
    </xf>
    <xf numFmtId="0" fontId="12" fillId="8" borderId="0" applyAlignment="1" pivotButton="0" quotePrefix="0" xfId="0">
      <alignment horizontal="general" vertical="bottom"/>
    </xf>
    <xf numFmtId="0" fontId="22" fillId="5" borderId="0" applyAlignment="1" pivotButton="0" quotePrefix="0" xfId="0">
      <alignment horizontal="general" vertical="bottom"/>
    </xf>
    <xf numFmtId="164" fontId="22" fillId="5" borderId="0" applyAlignment="1" pivotButton="0" quotePrefix="0" xfId="0">
      <alignment horizontal="right" vertical="center"/>
    </xf>
    <xf numFmtId="0" fontId="0" fillId="5" borderId="0" applyAlignment="1" pivotButton="0" quotePrefix="0" xfId="0">
      <alignment horizontal="general" vertical="bottom"/>
    </xf>
    <xf numFmtId="0" fontId="22" fillId="6" borderId="0" applyAlignment="1" pivotButton="0" quotePrefix="0" xfId="0">
      <alignment horizontal="general" vertical="bottom"/>
    </xf>
    <xf numFmtId="164" fontId="22" fillId="6" borderId="0" applyAlignment="1" pivotButton="0" quotePrefix="0" xfId="0">
      <alignment horizontal="right" vertical="center"/>
    </xf>
    <xf numFmtId="0" fontId="12" fillId="14" borderId="0" applyAlignment="1" pivotButton="0" quotePrefix="0" xfId="0">
      <alignment horizontal="general" vertical="bottom"/>
    </xf>
    <xf numFmtId="0" fontId="31" fillId="5" borderId="0" applyAlignment="1" pivotButton="0" quotePrefix="0" xfId="0">
      <alignment horizontal="center" vertical="center"/>
    </xf>
    <xf numFmtId="0" fontId="32" fillId="5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3" fontId="18" fillId="4" borderId="1" applyAlignment="1" pivotButton="0" quotePrefix="0" xfId="0">
      <alignment horizontal="right" vertical="center"/>
    </xf>
    <xf numFmtId="164" fontId="18" fillId="4" borderId="1" applyAlignment="1" pivotButton="0" quotePrefix="0" xfId="0">
      <alignment horizontal="right" vertical="center"/>
    </xf>
    <xf numFmtId="168" fontId="21" fillId="4" borderId="1" applyAlignment="1" pivotButton="0" quotePrefix="0" xfId="0">
      <alignment horizontal="right" vertical="center"/>
    </xf>
    <xf numFmtId="164" fontId="21" fillId="4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/>
    </xf>
    <xf numFmtId="3" fontId="18" fillId="2" borderId="1" applyAlignment="1" pivotButton="0" quotePrefix="0" xfId="0">
      <alignment horizontal="right" vertical="center"/>
    </xf>
    <xf numFmtId="164" fontId="18" fillId="2" borderId="1" applyAlignment="1" pivotButton="0" quotePrefix="0" xfId="0">
      <alignment horizontal="right" vertical="center"/>
    </xf>
    <xf numFmtId="168" fontId="21" fillId="2" borderId="1" applyAlignment="1" pivotButton="0" quotePrefix="0" xfId="0">
      <alignment horizontal="right" vertical="center"/>
    </xf>
    <xf numFmtId="164" fontId="21" fillId="2" borderId="1" applyAlignment="1" pivotButton="0" quotePrefix="0" xfId="0">
      <alignment horizontal="right" vertical="center"/>
    </xf>
    <xf numFmtId="0" fontId="22" fillId="5" borderId="0" applyAlignment="1" pivotButton="0" quotePrefix="0" xfId="0">
      <alignment horizontal="center" vertical="center"/>
    </xf>
    <xf numFmtId="3" fontId="22" fillId="5" borderId="0" applyAlignment="1" pivotButton="0" quotePrefix="0" xfId="0">
      <alignment horizontal="center" vertical="center"/>
    </xf>
    <xf numFmtId="3" fontId="22" fillId="5" borderId="0" applyAlignment="1" pivotButton="0" quotePrefix="0" xfId="0">
      <alignment horizontal="right" vertical="center"/>
    </xf>
    <xf numFmtId="168" fontId="22" fillId="5" borderId="0" applyAlignment="1" pivotButton="0" quotePrefix="0" xfId="0">
      <alignment horizontal="right" vertical="center"/>
    </xf>
    <xf numFmtId="0" fontId="20" fillId="2" borderId="0" applyAlignment="1" pivotButton="0" quotePrefix="0" xfId="0">
      <alignment horizontal="general" vertical="bottom"/>
    </xf>
    <xf numFmtId="164" fontId="25" fillId="2" borderId="0" applyAlignment="1" pivotButton="0" quotePrefix="0" xfId="0">
      <alignment horizontal="right" vertical="center"/>
    </xf>
    <xf numFmtId="165" fontId="25" fillId="2" borderId="0" applyAlignment="1" pivotButton="0" quotePrefix="0" xfId="0">
      <alignment horizontal="right" vertical="center"/>
    </xf>
    <xf numFmtId="168" fontId="18" fillId="2" borderId="1" applyAlignment="1" pivotButton="0" quotePrefix="0" xfId="0">
      <alignment horizontal="right" vertical="center"/>
    </xf>
    <xf numFmtId="168" fontId="18" fillId="4" borderId="1" applyAlignment="1" pivotButton="0" quotePrefix="0" xfId="0">
      <alignment horizontal="right" vertical="center"/>
    </xf>
    <xf numFmtId="0" fontId="0" fillId="13" borderId="0" applyAlignment="1" pivotButton="0" quotePrefix="0" xfId="0">
      <alignment horizontal="general" vertical="bottom"/>
    </xf>
    <xf numFmtId="0" fontId="23" fillId="13" borderId="0" applyAlignment="1" pivotButton="0" quotePrefix="0" xfId="0">
      <alignment horizontal="general" vertical="bottom"/>
    </xf>
    <xf numFmtId="164" fontId="10" fillId="13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165" fontId="25" fillId="0" borderId="0" applyAlignment="1" pivotButton="0" quotePrefix="0" xfId="0">
      <alignment horizontal="center" vertical="center"/>
    </xf>
    <xf numFmtId="0" fontId="20" fillId="8" borderId="0" applyAlignment="1" pivotButton="0" quotePrefix="0" xfId="0">
      <alignment horizontal="general" vertical="bottom"/>
    </xf>
    <xf numFmtId="164" fontId="20" fillId="2" borderId="0" applyAlignment="1" pivotButton="0" quotePrefix="0" xfId="0">
      <alignment horizontal="right" vertical="center"/>
    </xf>
    <xf numFmtId="0" fontId="33" fillId="2" borderId="0" applyAlignment="1" pivotButton="0" quotePrefix="0" xfId="0">
      <alignment horizontal="general" vertical="bottom"/>
    </xf>
    <xf numFmtId="0" fontId="34" fillId="14" borderId="0" applyAlignment="1" pivotButton="0" quotePrefix="0" xfId="0">
      <alignment horizontal="general" vertical="bottom"/>
    </xf>
    <xf numFmtId="164" fontId="34" fillId="14" borderId="0" applyAlignment="1" pivotButton="0" quotePrefix="0" xfId="0">
      <alignment horizontal="right" vertical="center"/>
    </xf>
    <xf numFmtId="10" fontId="21" fillId="2" borderId="0" applyAlignment="1" pivotButton="0" quotePrefix="0" xfId="0">
      <alignment horizontal="right" vertical="center"/>
    </xf>
    <xf numFmtId="0" fontId="10" fillId="13" borderId="0" applyAlignment="1" pivotButton="0" quotePrefix="0" xfId="0">
      <alignment horizontal="general" vertical="bottom"/>
    </xf>
    <xf numFmtId="3" fontId="9" fillId="2" borderId="0" applyAlignment="1" pivotButton="0" quotePrefix="0" xfId="0">
      <alignment horizontal="right" vertical="center"/>
    </xf>
    <xf numFmtId="165" fontId="9" fillId="2" borderId="0" applyAlignment="1" pivotButton="0" quotePrefix="0" xfId="0">
      <alignment horizontal="right" vertical="center"/>
    </xf>
    <xf numFmtId="10" fontId="9" fillId="2" borderId="0" applyAlignment="1" pivotButton="0" quotePrefix="0" xfId="0">
      <alignment horizontal="right" vertical="center"/>
    </xf>
    <xf numFmtId="164" fontId="9" fillId="2" borderId="0" applyAlignment="1" pivotButton="0" quotePrefix="0" xfId="0">
      <alignment horizontal="general" vertical="bottom"/>
    </xf>
    <xf numFmtId="10" fontId="9" fillId="2" borderId="0" applyAlignment="1" pivotButton="0" quotePrefix="0" xfId="0">
      <alignment horizontal="general" vertical="bottom"/>
    </xf>
    <xf numFmtId="168" fontId="20" fillId="2" borderId="0" applyAlignment="1" pivotButton="0" quotePrefix="0" xfId="0">
      <alignment horizontal="general" vertical="bottom"/>
    </xf>
    <xf numFmtId="3" fontId="8" fillId="2" borderId="0" applyAlignment="1" pivotButton="0" quotePrefix="0" xfId="0">
      <alignment horizontal="center" vertical="center"/>
    </xf>
    <xf numFmtId="3" fontId="8" fillId="4" borderId="0" applyAlignment="1" pivotButton="0" quotePrefix="0" xfId="0">
      <alignment horizontal="center" vertical="center"/>
    </xf>
    <xf numFmtId="168" fontId="21" fillId="4" borderId="0" applyAlignment="1" pivotButton="0" quotePrefix="0" xfId="0">
      <alignment horizontal="right" vertical="center"/>
    </xf>
    <xf numFmtId="0" fontId="35" fillId="13" borderId="0" applyAlignment="1" pivotButton="0" quotePrefix="0" xfId="0">
      <alignment horizontal="general" vertical="bottom"/>
    </xf>
    <xf numFmtId="166" fontId="35" fillId="13" borderId="0" applyAlignment="1" pivotButton="0" quotePrefix="0" xfId="0">
      <alignment horizontal="right" vertical="center"/>
    </xf>
    <xf numFmtId="0" fontId="17" fillId="5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center" vertical="center"/>
    </xf>
    <xf numFmtId="165" fontId="19" fillId="2" borderId="0" applyAlignment="1" pivotButton="0" quotePrefix="0" xfId="0">
      <alignment horizontal="right" vertical="center"/>
    </xf>
    <xf numFmtId="0" fontId="0" fillId="8" borderId="0" applyAlignment="1" pivotButton="0" quotePrefix="0" xfId="0">
      <alignment horizontal="general" vertical="bottom"/>
    </xf>
    <xf numFmtId="10" fontId="35" fillId="13" borderId="0" applyAlignment="1" pivotButton="0" quotePrefix="0" xfId="0">
      <alignment horizontal="right" vertical="center"/>
    </xf>
    <xf numFmtId="0" fontId="23" fillId="3" borderId="0" applyAlignment="1" pivotButton="0" quotePrefix="0" xfId="0">
      <alignment horizontal="general" vertical="bottom"/>
    </xf>
    <xf numFmtId="0" fontId="20" fillId="3" borderId="0" applyAlignment="1" pivotButton="0" quotePrefix="0" xfId="0">
      <alignment horizontal="center" vertical="center"/>
    </xf>
    <xf numFmtId="164" fontId="21" fillId="13" borderId="0" applyAlignment="1" pivotButton="0" quotePrefix="0" xfId="0">
      <alignment horizontal="right" vertical="center"/>
    </xf>
    <xf numFmtId="0" fontId="0" fillId="15" borderId="0" applyAlignment="1" pivotButton="0" quotePrefix="0" xfId="0">
      <alignment horizontal="general" vertical="bottom"/>
    </xf>
    <xf numFmtId="0" fontId="36" fillId="15" borderId="0" applyAlignment="1" pivotButton="0" quotePrefix="0" xfId="0">
      <alignment horizontal="general" vertical="bottom"/>
    </xf>
    <xf numFmtId="10" fontId="13" fillId="2" borderId="0" applyAlignment="1" pivotButton="0" quotePrefix="0" xfId="0">
      <alignment horizontal="general" vertical="bottom"/>
    </xf>
    <xf numFmtId="164" fontId="13" fillId="2" borderId="0" applyAlignment="1" pivotButton="0" quotePrefix="0" xfId="0">
      <alignment horizontal="right" vertical="center"/>
    </xf>
    <xf numFmtId="0" fontId="25" fillId="2" borderId="0" applyAlignment="1" pivotButton="0" quotePrefix="0" xfId="0">
      <alignment horizontal="general" vertical="bottom"/>
    </xf>
    <xf numFmtId="0" fontId="0" fillId="14" borderId="0" applyAlignment="1" pivotButton="0" quotePrefix="0" xfId="0">
      <alignment horizontal="general" vertical="bottom"/>
    </xf>
    <xf numFmtId="49" fontId="9" fillId="2" borderId="0" applyAlignment="1" pivotButton="0" quotePrefix="0" xfId="0">
      <alignment horizontal="right" vertical="center"/>
    </xf>
    <xf numFmtId="165" fontId="11" fillId="2" borderId="0" applyAlignment="1" pivotButton="0" quotePrefix="0" xfId="0">
      <alignment horizontal="right" vertical="center"/>
    </xf>
    <xf numFmtId="10" fontId="23" fillId="13" borderId="0" applyAlignment="1" pivotButton="0" quotePrefix="0" xfId="0">
      <alignment horizontal="right" vertical="center"/>
    </xf>
    <xf numFmtId="166" fontId="23" fillId="13" borderId="0" applyAlignment="1" pivotButton="0" quotePrefix="0" xfId="0">
      <alignment horizontal="right" vertical="center"/>
    </xf>
    <xf numFmtId="165" fontId="27" fillId="5" borderId="0" applyAlignment="1" pivotButton="0" quotePrefix="0" xfId="0">
      <alignment horizontal="center" vertical="center"/>
    </xf>
    <xf numFmtId="10" fontId="18" fillId="4" borderId="1" applyAlignment="1" pivotButton="0" quotePrefix="0" xfId="0">
      <alignment horizontal="center" vertical="center"/>
    </xf>
    <xf numFmtId="10" fontId="13" fillId="2" borderId="1" applyAlignment="1" pivotButton="0" quotePrefix="0" xfId="0">
      <alignment horizontal="center" vertical="center"/>
    </xf>
    <xf numFmtId="166" fontId="13" fillId="2" borderId="1" applyAlignment="1" pivotButton="0" quotePrefix="0" xfId="0">
      <alignment horizontal="center" vertical="center"/>
    </xf>
    <xf numFmtId="170" fontId="27" fillId="5" borderId="0" applyAlignment="1" pivotButton="0" quotePrefix="0" xfId="0">
      <alignment horizontal="center" vertical="center"/>
    </xf>
    <xf numFmtId="165" fontId="18" fillId="4" borderId="1" applyAlignment="1" pivotButton="0" quotePrefix="0" xfId="0">
      <alignment horizontal="center" vertical="center"/>
    </xf>
    <xf numFmtId="164" fontId="13" fillId="2" borderId="1" applyAlignment="1" pivotButton="0" quotePrefix="0" xfId="0">
      <alignment horizontal="center" vertical="center"/>
    </xf>
    <xf numFmtId="165" fontId="13" fillId="2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7355"/>
      <rgbColor rgb="FF800080"/>
      <rgbColor rgb="FF4A6E50"/>
      <rgbColor rgb="FFD4C9B8"/>
      <rgbColor rgb="FF8B7355"/>
      <rgbColor rgb="FF9999FF"/>
      <rgbColor rgb="FF9B4D4D"/>
      <rgbColor rgb="FFFBF6E8"/>
      <rgbColor rgb="FFB2C9B4"/>
      <rgbColor rgb="FF660066"/>
      <rgbColor rgb="FFFF8080"/>
      <rgbColor rgb="FF0066CC"/>
      <rgbColor rgb="FFF5EA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2C9B4"/>
      <rgbColor rgb="FFB2C9B4"/>
      <rgbColor rgb="FFFFFFF0"/>
      <rgbColor rgb="FFF5EFE4"/>
      <rgbColor rgb="FFFF99CC"/>
      <rgbColor rgb="FFCC99FF"/>
      <rgbColor rgb="FFF5EFE4"/>
      <rgbColor rgb="FF3366FF"/>
      <rgbColor rgb="FF33CCCC"/>
      <rgbColor rgb="FF99CC00"/>
      <rgbColor rgb="FFFFCC00"/>
      <rgbColor rgb="FFB8962E"/>
      <rgbColor rgb="FFFF6600"/>
      <rgbColor rgb="FF5C3D26"/>
      <rgbColor rgb="FFC4A882"/>
      <rgbColor rgb="FF003366"/>
      <rgbColor rgb="FF5A8A62"/>
      <rgbColor rgb="FF003300"/>
      <rgbColor rgb="FF333300"/>
      <rgbColor rgb="FF993300"/>
      <rgbColor rgb="FF993366"/>
      <rgbColor rgb="FF333399"/>
      <rgbColor rgb="FF2C1F1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2A2820"/>
    <outlinePr summaryBelow="1" summaryRight="1"/>
    <pageSetUpPr fitToPage="0"/>
  </sheetPr>
  <dimension ref="A1:D2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159" min="1" max="1"/>
    <col width="30" customWidth="1" style="159" min="2" max="2"/>
    <col width="25" customWidth="1" style="159" min="3" max="4"/>
    <col width="5" customWidth="1" style="159" min="5" max="5"/>
  </cols>
  <sheetData>
    <row r="1" ht="15" customHeight="1" s="160">
      <c r="A1" s="161" t="n"/>
      <c r="B1" s="161" t="n"/>
      <c r="C1" s="161" t="n"/>
      <c r="D1" s="161" t="n"/>
    </row>
    <row r="2" ht="26.25" customHeight="1" s="160">
      <c r="A2" s="161" t="n"/>
      <c r="B2" s="162" t="inlineStr">
        <is>
          <t>DEALDESK CRE UNDERWRITING</t>
        </is>
      </c>
    </row>
    <row r="3" ht="17.25" customHeight="1" s="160">
      <c r="A3" s="161" t="n"/>
      <c r="B3" s="163" t="inlineStr">
        <is>
          <t>Investment Underwriting Model</t>
        </is>
      </c>
    </row>
    <row r="4" ht="15" customHeight="1" s="160">
      <c r="A4" s="161" t="n"/>
      <c r="B4" s="161" t="n"/>
      <c r="C4" s="161" t="n"/>
      <c r="D4" s="161" t="n"/>
    </row>
    <row r="5" ht="21.75" customHeight="1" s="160">
      <c r="A5" s="161" t="n"/>
      <c r="B5" s="164">
        <f>Assumptions!C5</f>
        <v/>
      </c>
    </row>
    <row r="6" ht="15" customHeight="1" s="160">
      <c r="A6" s="161" t="n"/>
      <c r="B6" s="165">
        <f>Assumptions!C6</f>
        <v/>
      </c>
    </row>
    <row r="7" ht="15" customHeight="1" s="160">
      <c r="A7" s="161" t="n"/>
      <c r="B7" s="161" t="n"/>
      <c r="C7" s="161" t="n"/>
      <c r="D7" s="161" t="n"/>
    </row>
    <row r="8" ht="15" customHeight="1" s="160">
      <c r="A8" s="161" t="n"/>
      <c r="B8" s="166" t="inlineStr">
        <is>
          <t>Property Type:</t>
        </is>
      </c>
      <c r="C8" s="167">
        <f>Assumptions!C7</f>
        <v/>
      </c>
      <c r="D8" s="161" t="n"/>
    </row>
    <row r="9" ht="15" customHeight="1" s="160">
      <c r="A9" s="161" t="n"/>
      <c r="B9" s="166" t="inlineStr">
        <is>
          <t>Project Type:</t>
        </is>
      </c>
      <c r="C9" s="167">
        <f>Assumptions!C8</f>
        <v/>
      </c>
      <c r="D9" s="161" t="n"/>
    </row>
    <row r="10" ht="15" customHeight="1" s="160">
      <c r="A10" s="161" t="n"/>
      <c r="B10" s="166" t="inlineStr">
        <is>
          <t>Units:</t>
        </is>
      </c>
      <c r="C10" s="168">
        <f>Assumptions!C9</f>
        <v/>
      </c>
      <c r="D10" s="161" t="n"/>
    </row>
    <row r="11" ht="15" customHeight="1" s="160">
      <c r="A11" s="161" t="n"/>
      <c r="B11" s="166" t="inlineStr">
        <is>
          <t>Building SF:</t>
        </is>
      </c>
      <c r="C11" s="168">
        <f>Assumptions!C10</f>
        <v/>
      </c>
      <c r="D11" s="161" t="n"/>
    </row>
    <row r="12" ht="15" customHeight="1" s="160">
      <c r="A12" s="161" t="n"/>
      <c r="B12" s="161" t="n"/>
      <c r="C12" s="161" t="n"/>
      <c r="D12" s="161" t="n"/>
    </row>
    <row r="13" ht="15" customHeight="1" s="160">
      <c r="A13" s="161" t="n"/>
      <c r="B13" s="169" t="inlineStr">
        <is>
          <t>KEY METRICS</t>
        </is>
      </c>
    </row>
    <row r="14" ht="15" customHeight="1" s="160">
      <c r="A14" s="161" t="n"/>
      <c r="B14" s="170" t="inlineStr">
        <is>
          <t>Purchase Price</t>
        </is>
      </c>
      <c r="C14" s="171">
        <f>Assumptions!C17</f>
        <v/>
      </c>
      <c r="D14" s="161" t="n"/>
    </row>
    <row r="15" ht="15" customHeight="1" s="160">
      <c r="A15" s="161" t="n"/>
      <c r="B15" s="166" t="inlineStr">
        <is>
          <t>Price Per Unit</t>
        </is>
      </c>
      <c r="C15" s="172">
        <f>Assumptions!C22</f>
        <v/>
      </c>
      <c r="D15" s="161" t="n"/>
    </row>
    <row r="16" ht="15" customHeight="1" s="160">
      <c r="A16" s="161" t="n"/>
      <c r="B16" s="170" t="inlineStr">
        <is>
          <t>Total Project Cost</t>
        </is>
      </c>
      <c r="C16" s="171">
        <f>Assumptions!C89</f>
        <v/>
      </c>
      <c r="D16" s="161" t="n"/>
    </row>
    <row r="17" ht="15" customHeight="1" s="160">
      <c r="A17" s="161" t="n"/>
      <c r="B17" s="166" t="inlineStr">
        <is>
          <t>Total Equity</t>
        </is>
      </c>
      <c r="C17" s="172">
        <f>Assumptions!C91</f>
        <v/>
      </c>
      <c r="D17" s="161" t="n"/>
    </row>
    <row r="18" ht="15" customHeight="1" s="160">
      <c r="A18" s="161" t="n"/>
      <c r="B18" s="170" t="inlineStr">
        <is>
          <t>Year 1 NOI</t>
        </is>
      </c>
      <c r="C18" s="171">
        <f>'Returns Summary'!B12</f>
        <v/>
      </c>
      <c r="D18" s="161" t="n"/>
    </row>
    <row r="19" ht="15" customHeight="1" s="160">
      <c r="A19" s="161" t="n"/>
      <c r="B19" s="166" t="inlineStr">
        <is>
          <t>Going-In Cap Rate</t>
        </is>
      </c>
      <c r="C19" s="173">
        <f>'Returns Summary'!B13</f>
        <v/>
      </c>
      <c r="D19" s="161" t="n"/>
    </row>
    <row r="20" ht="15" customHeight="1" s="160">
      <c r="A20" s="161" t="n"/>
      <c r="B20" s="170" t="inlineStr">
        <is>
          <t>Year 1 Cash-on-Cash</t>
        </is>
      </c>
      <c r="C20" s="174">
        <f>'Returns Summary'!B14</f>
        <v/>
      </c>
      <c r="D20" s="161" t="n"/>
    </row>
    <row r="21" ht="15" customHeight="1" s="160">
      <c r="A21" s="161" t="n"/>
      <c r="B21" s="166" t="inlineStr">
        <is>
          <t>Year 1 DSCR</t>
        </is>
      </c>
      <c r="C21" s="175">
        <f>'Returns Summary'!B15</f>
        <v/>
      </c>
      <c r="D21" s="161" t="n"/>
    </row>
    <row r="22" ht="15" customHeight="1" s="160">
      <c r="A22" s="161" t="n"/>
      <c r="B22" s="170" t="inlineStr">
        <is>
          <t>Equity Multiple</t>
        </is>
      </c>
      <c r="C22" s="176">
        <f>'Returns Summary'!B25</f>
        <v/>
      </c>
      <c r="D22" s="161" t="n"/>
    </row>
    <row r="23" ht="15" customHeight="1" s="160">
      <c r="A23" s="161" t="n"/>
      <c r="B23" s="166" t="inlineStr">
        <is>
          <t>Hold Period</t>
        </is>
      </c>
      <c r="C23" s="177">
        <f>Assumptions!C14</f>
        <v/>
      </c>
      <c r="D23" s="161" t="n"/>
    </row>
    <row r="24" ht="15" customHeight="1" s="160">
      <c r="A24" s="161" t="n"/>
      <c r="B24" s="166" t="inlineStr">
        <is>
          <t>LP IRR</t>
        </is>
      </c>
      <c r="C24" s="173">
        <f>'Cash Waterfall'!D41</f>
        <v/>
      </c>
      <c r="D24" s="161" t="n"/>
    </row>
    <row r="25" ht="15" customHeight="1" s="160">
      <c r="A25" s="161" t="n"/>
      <c r="B25" s="166" t="inlineStr">
        <is>
          <t>Levered IRR</t>
        </is>
      </c>
      <c r="C25" s="173">
        <f>'Cash Waterfall'!D30</f>
        <v/>
      </c>
      <c r="D25" s="161" t="n"/>
    </row>
    <row r="26" ht="15" customHeight="1" s="160">
      <c r="A26" s="161" t="n"/>
      <c r="B26" s="178" t="inlineStr">
        <is>
          <t>CONFIDENTIAL</t>
        </is>
      </c>
    </row>
    <row r="27" ht="15" customHeight="1" s="160">
      <c r="A27" s="161" t="n"/>
      <c r="B27" s="179" t="inlineStr">
        <is>
          <t>Prepared by DealDesk CRE Underwriting.</t>
        </is>
      </c>
    </row>
  </sheetData>
  <mergeCells count="7">
    <mergeCell ref="B3:D3"/>
    <mergeCell ref="B5:D5"/>
    <mergeCell ref="B26:D26"/>
    <mergeCell ref="B27:D27"/>
    <mergeCell ref="B13:D13"/>
    <mergeCell ref="B6:D6"/>
    <mergeCell ref="B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3E6844"/>
    <outlinePr summaryBelow="1" summaryRight="1"/>
    <pageSetUpPr fitToPage="0"/>
  </sheetPr>
  <dimension ref="A1:H2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159" min="1" max="1"/>
    <col width="36" customWidth="1" style="159" min="2" max="2"/>
    <col width="18" customWidth="1" style="159" min="3" max="3"/>
    <col width="3" customWidth="1" style="159" min="4" max="4"/>
    <col width="36" customWidth="1" style="159" min="5" max="5"/>
    <col width="18" customWidth="1" style="159" min="6" max="6"/>
    <col width="3" customWidth="1" style="159" min="7" max="7"/>
    <col width="28" customWidth="1" style="159" min="8" max="8"/>
  </cols>
  <sheetData>
    <row r="1" ht="39.75" customHeight="1" s="160">
      <c r="A1" s="180" t="inlineStr">
        <is>
          <t>DEALDESK — UNDERWRITING ASSUMPTIONS</t>
        </is>
      </c>
    </row>
    <row r="2" ht="15" customHeight="1" s="160">
      <c r="A2" s="181" t="inlineStr">
        <is>
          <t>All blue values are editable inputs. Change any blue cell to model different scenarios.</t>
        </is>
      </c>
    </row>
    <row r="3" ht="7.5" customHeight="1" s="160">
      <c r="A3" s="182" t="n"/>
      <c r="B3" s="182" t="n"/>
      <c r="C3" s="182" t="n"/>
      <c r="D3" s="182" t="n"/>
      <c r="E3" s="161" t="n"/>
      <c r="F3" s="161" t="n"/>
      <c r="G3" s="161" t="n"/>
      <c r="H3" s="161" t="n"/>
    </row>
    <row r="4" ht="27.75" customHeight="1" s="160">
      <c r="A4" s="183" t="n"/>
      <c r="B4" s="184" t="inlineStr">
        <is>
          <t xml:space="preserve">  1. PROPERTY INFORMATION</t>
        </is>
      </c>
    </row>
    <row r="5" ht="15" customHeight="1" s="160">
      <c r="A5" s="182" t="n"/>
      <c r="B5" s="185" t="inlineStr">
        <is>
          <t>Property Name</t>
        </is>
      </c>
      <c r="C5" s="186" t="inlineStr">
        <is>
          <t>Sample Property</t>
        </is>
      </c>
      <c r="D5" s="182" t="n"/>
      <c r="E5" s="161" t="n"/>
      <c r="F5" s="161" t="n"/>
      <c r="G5" s="161" t="n"/>
      <c r="H5" s="161" t="n"/>
    </row>
    <row r="6" ht="15" customHeight="1" s="160">
      <c r="A6" s="182" t="n"/>
      <c r="B6" s="185" t="inlineStr">
        <is>
          <t>Address</t>
        </is>
      </c>
      <c r="C6" s="186" t="inlineStr">
        <is>
          <t>123 Main St, Philadelphia, PA 19103</t>
        </is>
      </c>
      <c r="D6" s="182" t="n"/>
      <c r="E6" s="161" t="n"/>
      <c r="F6" s="161" t="n"/>
      <c r="G6" s="161" t="n"/>
      <c r="H6" s="161" t="n"/>
    </row>
    <row r="7" ht="15" customHeight="1" s="160">
      <c r="A7" s="182" t="n"/>
      <c r="B7" s="185" t="inlineStr">
        <is>
          <t>Property Type</t>
        </is>
      </c>
      <c r="C7" s="186" t="inlineStr">
        <is>
          <t>Multifamily</t>
        </is>
      </c>
      <c r="D7" s="182" t="n"/>
      <c r="E7" s="161" t="n"/>
      <c r="F7" s="161" t="n"/>
      <c r="G7" s="161" t="n"/>
      <c r="H7" s="161" t="n"/>
    </row>
    <row r="8" ht="15" customHeight="1" s="160">
      <c r="A8" s="182" t="n"/>
      <c r="B8" s="185" t="inlineStr">
        <is>
          <t>Project Type</t>
        </is>
      </c>
      <c r="C8" s="186" t="inlineStr">
        <is>
          <t>Hold</t>
        </is>
      </c>
      <c r="D8" s="182" t="n"/>
      <c r="E8" s="161" t="n"/>
      <c r="F8" s="161" t="n"/>
      <c r="G8" s="161" t="n"/>
      <c r="H8" s="161" t="n"/>
    </row>
    <row r="9" ht="15" customHeight="1" s="160">
      <c r="A9" s="182" t="n"/>
      <c r="B9" s="185" t="inlineStr">
        <is>
          <t>Number of Units</t>
        </is>
      </c>
      <c r="C9" s="187" t="n">
        <v>20</v>
      </c>
      <c r="D9" s="182" t="n"/>
      <c r="E9" s="161" t="n"/>
      <c r="F9" s="161" t="n"/>
      <c r="G9" s="161" t="n"/>
      <c r="H9" s="161" t="n"/>
    </row>
    <row r="10" ht="15" customHeight="1" s="160">
      <c r="A10" s="182" t="n"/>
      <c r="B10" s="185" t="inlineStr">
        <is>
          <t>Gross Building Area (SF)</t>
        </is>
      </c>
      <c r="C10" s="187" t="n">
        <v>18000</v>
      </c>
      <c r="D10" s="182" t="n"/>
      <c r="E10" s="161" t="n"/>
      <c r="F10" s="161" t="n"/>
      <c r="G10" s="161" t="n"/>
      <c r="H10" s="161" t="n"/>
    </row>
    <row r="11" ht="15" customHeight="1" s="160">
      <c r="A11" s="182" t="n"/>
      <c r="B11" s="185" t="inlineStr">
        <is>
          <t>Lot Size (SF)</t>
        </is>
      </c>
      <c r="C11" s="187" t="n">
        <v>8500</v>
      </c>
      <c r="D11" s="182" t="n"/>
      <c r="E11" s="161" t="n"/>
      <c r="F11" s="161" t="n"/>
      <c r="G11" s="161" t="n"/>
      <c r="H11" s="161" t="n"/>
    </row>
    <row r="12" ht="15" customHeight="1" s="160">
      <c r="A12" s="182" t="n"/>
      <c r="B12" s="185" t="inlineStr">
        <is>
          <t>Year Built</t>
        </is>
      </c>
      <c r="C12" s="188" t="n">
        <v>1965</v>
      </c>
      <c r="D12" s="182" t="n"/>
      <c r="E12" s="161" t="n"/>
      <c r="F12" s="161" t="n"/>
      <c r="G12" s="161" t="n"/>
      <c r="H12" s="161" t="n"/>
    </row>
    <row r="13" ht="15" customHeight="1" s="160">
      <c r="A13" s="182" t="n"/>
      <c r="B13" s="185" t="inlineStr">
        <is>
          <t>Acquisition Date</t>
        </is>
      </c>
      <c r="C13" s="186" t="inlineStr">
        <is>
          <t>2026-01-01</t>
        </is>
      </c>
      <c r="D13" s="182" t="n"/>
      <c r="E13" s="161" t="n"/>
      <c r="F13" s="161" t="n"/>
      <c r="G13" s="161" t="n"/>
      <c r="H13" s="161" t="n"/>
    </row>
    <row r="14" ht="15" customHeight="1" s="160">
      <c r="A14" s="182" t="n"/>
      <c r="B14" s="185" t="inlineStr">
        <is>
          <t>Hold Period (Years)</t>
        </is>
      </c>
      <c r="C14" s="187" t="n">
        <v>10</v>
      </c>
      <c r="D14" s="182" t="n"/>
      <c r="E14" s="161" t="n"/>
      <c r="F14" s="161" t="n"/>
      <c r="G14" s="161" t="n"/>
      <c r="H14" s="161" t="n"/>
    </row>
    <row r="15" ht="7.5" customHeight="1" s="160">
      <c r="A15" s="182" t="n"/>
      <c r="B15" s="182" t="n"/>
      <c r="C15" s="182" t="n"/>
      <c r="D15" s="182" t="n"/>
      <c r="E15" s="161" t="n"/>
      <c r="F15" s="161" t="n"/>
      <c r="G15" s="161" t="n"/>
      <c r="H15" s="161" t="n"/>
    </row>
    <row r="16" ht="27.75" customHeight="1" s="160">
      <c r="A16" s="183" t="n"/>
      <c r="B16" s="184" t="inlineStr">
        <is>
          <t xml:space="preserve">  2. ACQUISITION</t>
        </is>
      </c>
    </row>
    <row r="17" ht="15" customHeight="1" s="160">
      <c r="A17" s="182" t="n"/>
      <c r="B17" s="185" t="inlineStr">
        <is>
          <t>Purchase Price</t>
        </is>
      </c>
      <c r="C17" s="189" t="n">
        <v>2500000</v>
      </c>
      <c r="D17" s="182" t="n"/>
      <c r="E17" s="161" t="n"/>
      <c r="F17" s="161" t="n"/>
      <c r="G17" s="161" t="n"/>
      <c r="H17" s="161" t="n"/>
    </row>
    <row r="18" ht="15" customHeight="1" s="160">
      <c r="A18" s="182" t="n"/>
      <c r="B18" s="185" t="inlineStr">
        <is>
          <t>Transfer Tax Rate — Buyer's Share Only</t>
        </is>
      </c>
      <c r="C18" s="190" t="n">
        <v>0.02139</v>
      </c>
      <c r="D18" s="182" t="n"/>
      <c r="E18" s="161" t="n"/>
      <c r="F18" s="161" t="n"/>
      <c r="G18" s="161" t="n"/>
      <c r="H18" s="161" t="n"/>
    </row>
    <row r="19" ht="15" customHeight="1" s="160">
      <c r="A19" s="182" t="n"/>
      <c r="B19" s="185" t="inlineStr">
        <is>
          <t>Transfer Tax Amount</t>
        </is>
      </c>
      <c r="C19" s="191">
        <f>C17*C18</f>
        <v/>
      </c>
      <c r="D19" s="182" t="n"/>
      <c r="E19" s="161" t="n"/>
      <c r="F19" s="161" t="n"/>
      <c r="G19" s="161" t="n"/>
      <c r="H19" s="161" t="n"/>
    </row>
    <row r="20" ht="15" customHeight="1" s="160">
      <c r="A20" s="182" t="n"/>
      <c r="B20" s="185" t="inlineStr">
        <is>
          <t>Closing Costs</t>
        </is>
      </c>
      <c r="C20" s="189" t="n">
        <v>75000</v>
      </c>
      <c r="D20" s="182" t="n"/>
      <c r="E20" s="161" t="n"/>
      <c r="F20" s="161" t="n"/>
      <c r="G20" s="161" t="n"/>
      <c r="H20" s="161" t="n"/>
    </row>
    <row r="21" ht="15" customHeight="1" s="160">
      <c r="A21" s="182" t="n"/>
      <c r="B21" s="192" t="inlineStr">
        <is>
          <t>Total Acquisition Cost</t>
        </is>
      </c>
      <c r="C21" s="193">
        <f>C17+C19+C20</f>
        <v/>
      </c>
      <c r="D21" s="182" t="n"/>
      <c r="E21" s="161" t="n"/>
      <c r="F21" s="161" t="n"/>
      <c r="G21" s="161" t="n"/>
      <c r="H21" s="161" t="n"/>
    </row>
    <row r="22" ht="15" customHeight="1" s="160">
      <c r="A22" s="182" t="n"/>
      <c r="B22" s="185" t="inlineStr">
        <is>
          <t>Price Per Unit</t>
        </is>
      </c>
      <c r="C22" s="194">
        <f>IF(C9&gt;0,C17/C9,0)</f>
        <v/>
      </c>
      <c r="D22" s="182" t="n"/>
      <c r="E22" s="161" t="n"/>
      <c r="F22" s="161" t="n"/>
      <c r="G22" s="161" t="n"/>
      <c r="H22" s="161" t="n"/>
    </row>
    <row r="23" ht="15" customHeight="1" s="160">
      <c r="A23" s="182" t="n"/>
      <c r="B23" s="185" t="inlineStr">
        <is>
          <t>Price Per SF</t>
        </is>
      </c>
      <c r="C23" s="195">
        <f>IF(C10&gt;0,C17/C10,0)</f>
        <v/>
      </c>
      <c r="D23" s="182" t="n"/>
      <c r="E23" s="161" t="n"/>
      <c r="F23" s="161" t="n"/>
      <c r="G23" s="161" t="n"/>
      <c r="H23" s="161" t="n"/>
    </row>
    <row r="24" ht="7.5" customHeight="1" s="160">
      <c r="A24" s="182" t="n"/>
      <c r="B24" s="182" t="n"/>
      <c r="C24" s="182" t="n"/>
      <c r="D24" s="182" t="n"/>
      <c r="E24" s="161" t="n"/>
      <c r="F24" s="161" t="n"/>
      <c r="G24" s="161" t="n"/>
      <c r="H24" s="161" t="n"/>
    </row>
    <row r="25" ht="27.75" customHeight="1" s="160">
      <c r="A25" s="183" t="n"/>
      <c r="B25" s="184" t="inlineStr">
        <is>
          <t xml:space="preserve">  3. SOURCES &amp; USES</t>
        </is>
      </c>
    </row>
    <row r="26" ht="15" customHeight="1" s="160">
      <c r="A26" s="182" t="n"/>
      <c r="B26" s="179" t="inlineStr">
        <is>
          <t>Enter $0 for items not applicable.</t>
        </is>
      </c>
      <c r="C26" s="182" t="n"/>
      <c r="D26" s="182" t="n"/>
      <c r="E26" s="161" t="n"/>
      <c r="F26" s="161" t="n"/>
      <c r="G26" s="161" t="n"/>
      <c r="H26" s="161" t="n"/>
    </row>
    <row r="27" ht="15" customHeight="1" s="160">
      <c r="A27" s="182" t="n"/>
      <c r="B27" s="182" t="n"/>
      <c r="C27" s="182" t="n"/>
      <c r="D27" s="182" t="n"/>
      <c r="E27" s="161" t="n"/>
      <c r="F27" s="161" t="n"/>
      <c r="G27" s="161" t="n"/>
      <c r="H27" s="161" t="n"/>
    </row>
    <row r="28" ht="21.75" customHeight="1" s="160">
      <c r="A28" s="182" t="n"/>
      <c r="B28" s="196" t="inlineStr">
        <is>
          <t xml:space="preserve">  USES — Acquisition</t>
        </is>
      </c>
      <c r="D28" s="182" t="n"/>
      <c r="E28" s="161" t="n"/>
      <c r="F28" s="161" t="n"/>
      <c r="G28" s="161" t="n"/>
      <c r="H28" s="161" t="n"/>
    </row>
    <row r="29" ht="15" customHeight="1" s="160">
      <c r="A29" s="182" t="n"/>
      <c r="B29" s="185" t="inlineStr">
        <is>
          <t xml:space="preserve">  Purchase Price</t>
        </is>
      </c>
      <c r="C29" s="191">
        <f>C17</f>
        <v/>
      </c>
      <c r="D29" s="182" t="n"/>
      <c r="E29" s="161" t="n"/>
      <c r="F29" s="161" t="n"/>
      <c r="G29" s="161" t="n"/>
      <c r="H29" s="161" t="n"/>
    </row>
    <row r="30" ht="15" customHeight="1" s="160">
      <c r="A30" s="182" t="n"/>
      <c r="B30" s="185" t="inlineStr">
        <is>
          <t xml:space="preserve">  Transfer Tax</t>
        </is>
      </c>
      <c r="C30" s="191">
        <f>C19</f>
        <v/>
      </c>
      <c r="D30" s="182" t="n"/>
      <c r="E30" s="161" t="n"/>
      <c r="F30" s="161" t="n"/>
      <c r="G30" s="161" t="n"/>
      <c r="H30" s="161" t="n"/>
    </row>
    <row r="31" ht="15" customHeight="1" s="160">
      <c r="A31" s="182" t="n"/>
      <c r="B31" s="185" t="inlineStr">
        <is>
          <t xml:space="preserve">  Tenant Buyout</t>
        </is>
      </c>
      <c r="C31" s="189" t="n">
        <v>0</v>
      </c>
      <c r="D31" s="182" t="n"/>
      <c r="E31" s="161" t="n"/>
      <c r="F31" s="161" t="n"/>
      <c r="G31" s="161" t="n"/>
      <c r="H31" s="161" t="n"/>
    </row>
    <row r="32" ht="7.5" customHeight="1" s="160">
      <c r="A32" s="182" t="n"/>
      <c r="B32" s="182" t="n"/>
      <c r="C32" s="182" t="n"/>
      <c r="D32" s="182" t="n"/>
      <c r="E32" s="161" t="n"/>
      <c r="F32" s="161" t="n"/>
      <c r="G32" s="161" t="n"/>
      <c r="H32" s="161" t="n"/>
    </row>
    <row r="33" ht="21.75" customHeight="1" s="160">
      <c r="A33" s="182" t="n"/>
      <c r="B33" s="197" t="inlineStr">
        <is>
          <t xml:space="preserve">  USES — Professional &amp; Due Diligence</t>
        </is>
      </c>
      <c r="D33" s="182" t="n"/>
      <c r="E33" s="161" t="n"/>
      <c r="F33" s="161" t="n"/>
      <c r="G33" s="161" t="n"/>
      <c r="H33" s="161" t="n"/>
    </row>
    <row r="34" ht="15" customHeight="1" s="160">
      <c r="A34" s="182" t="n"/>
      <c r="B34" s="185" t="inlineStr">
        <is>
          <t xml:space="preserve">  Legal — Closing &amp; Borrowing</t>
        </is>
      </c>
      <c r="C34" s="189" t="n">
        <v>25000</v>
      </c>
      <c r="D34" s="182" t="n"/>
      <c r="E34" s="161" t="n"/>
      <c r="F34" s="161" t="n"/>
      <c r="G34" s="161" t="n"/>
      <c r="H34" s="161" t="n"/>
    </row>
    <row r="35" ht="15" customHeight="1" s="160">
      <c r="A35" s="182" t="n"/>
      <c r="B35" s="185" t="inlineStr">
        <is>
          <t xml:space="preserve">  Title Insurance</t>
        </is>
      </c>
      <c r="C35" s="189" t="n">
        <v>8000</v>
      </c>
      <c r="D35" s="182" t="n"/>
      <c r="E35" s="161" t="n"/>
      <c r="F35" s="161" t="n"/>
      <c r="G35" s="161" t="n"/>
      <c r="H35" s="161" t="n"/>
    </row>
    <row r="36" ht="15" customHeight="1" s="160">
      <c r="A36" s="182" t="n"/>
      <c r="B36" s="185" t="inlineStr">
        <is>
          <t xml:space="preserve">  Legal — Bank</t>
        </is>
      </c>
      <c r="C36" s="189" t="n">
        <v>5000</v>
      </c>
      <c r="D36" s="182" t="n"/>
      <c r="E36" s="161" t="n"/>
      <c r="F36" s="161" t="n"/>
      <c r="G36" s="161" t="n"/>
      <c r="H36" s="161" t="n"/>
    </row>
    <row r="37" ht="15" customHeight="1" s="160">
      <c r="A37" s="182" t="n"/>
      <c r="B37" s="185" t="inlineStr">
        <is>
          <t xml:space="preserve">  Appraisal</t>
        </is>
      </c>
      <c r="C37" s="189" t="n">
        <v>5000</v>
      </c>
      <c r="D37" s="182" t="n"/>
      <c r="E37" s="161" t="n"/>
      <c r="F37" s="161" t="n"/>
      <c r="G37" s="161" t="n"/>
      <c r="H37" s="161" t="n"/>
    </row>
    <row r="38" ht="15" customHeight="1" s="160">
      <c r="A38" s="182" t="n"/>
      <c r="B38" s="185" t="inlineStr">
        <is>
          <t xml:space="preserve">  Environmental (Phase I/II)</t>
        </is>
      </c>
      <c r="C38" s="189" t="n">
        <v>6000</v>
      </c>
      <c r="D38" s="182" t="n"/>
      <c r="E38" s="161" t="n"/>
      <c r="F38" s="161" t="n"/>
      <c r="G38" s="161" t="n"/>
      <c r="H38" s="161" t="n"/>
    </row>
    <row r="39" ht="15" customHeight="1" s="160">
      <c r="A39" s="182" t="n"/>
      <c r="B39" s="185" t="inlineStr">
        <is>
          <t xml:space="preserve">  Architect</t>
        </is>
      </c>
      <c r="C39" s="189" t="n">
        <v>0</v>
      </c>
      <c r="D39" s="182" t="n"/>
      <c r="E39" s="161" t="n"/>
      <c r="F39" s="161" t="n"/>
      <c r="G39" s="161" t="n"/>
      <c r="H39" s="161" t="n"/>
    </row>
    <row r="40" ht="15" customHeight="1" s="160">
      <c r="A40" s="182" t="n"/>
      <c r="B40" s="185" t="inlineStr">
        <is>
          <t xml:space="preserve">  Structural Engineer</t>
        </is>
      </c>
      <c r="C40" s="189" t="n">
        <v>0</v>
      </c>
      <c r="D40" s="182" t="n"/>
      <c r="E40" s="161" t="n"/>
      <c r="F40" s="161" t="n"/>
      <c r="G40" s="161" t="n"/>
      <c r="H40" s="161" t="n"/>
    </row>
    <row r="41" ht="15" customHeight="1" s="160">
      <c r="A41" s="182" t="n"/>
      <c r="B41" s="185" t="inlineStr">
        <is>
          <t xml:space="preserve">  GeoTech</t>
        </is>
      </c>
      <c r="C41" s="189" t="n">
        <v>0</v>
      </c>
      <c r="D41" s="182" t="n"/>
      <c r="E41" s="161" t="n"/>
      <c r="F41" s="161" t="n"/>
      <c r="G41" s="161" t="n"/>
      <c r="H41" s="161" t="n"/>
    </row>
    <row r="42" ht="15" customHeight="1" s="160">
      <c r="A42" s="182" t="n"/>
      <c r="B42" s="185" t="inlineStr">
        <is>
          <t xml:space="preserve">  Surveyor</t>
        </is>
      </c>
      <c r="C42" s="189" t="n">
        <v>3500</v>
      </c>
      <c r="D42" s="182" t="n"/>
      <c r="E42" s="161" t="n"/>
      <c r="F42" s="161" t="n"/>
      <c r="G42" s="161" t="n"/>
      <c r="H42" s="161" t="n"/>
    </row>
    <row r="43" ht="15" customHeight="1" s="160">
      <c r="A43" s="182" t="n"/>
      <c r="B43" s="185" t="inlineStr">
        <is>
          <t xml:space="preserve">  Civil Engineer</t>
        </is>
      </c>
      <c r="C43" s="189" t="n">
        <v>0</v>
      </c>
      <c r="D43" s="182" t="n"/>
      <c r="E43" s="161" t="n"/>
      <c r="F43" s="161" t="n"/>
      <c r="G43" s="161" t="n"/>
      <c r="H43" s="161" t="n"/>
    </row>
    <row r="44" ht="15" customHeight="1" s="160">
      <c r="A44" s="182" t="n"/>
      <c r="B44" s="185" t="inlineStr">
        <is>
          <t xml:space="preserve">  MEPs</t>
        </is>
      </c>
      <c r="C44" s="189" t="n">
        <v>0</v>
      </c>
      <c r="D44" s="182" t="n"/>
      <c r="E44" s="161" t="n"/>
      <c r="F44" s="161" t="n"/>
      <c r="G44" s="161" t="n"/>
      <c r="H44" s="161" t="n"/>
    </row>
    <row r="45" ht="15" customHeight="1" s="160">
      <c r="A45" s="182" t="n"/>
      <c r="B45" s="185" t="inlineStr">
        <is>
          <t xml:space="preserve">  Legal — Zoning</t>
        </is>
      </c>
      <c r="C45" s="189" t="n">
        <v>0</v>
      </c>
      <c r="D45" s="182" t="n"/>
      <c r="E45" s="161" t="n"/>
      <c r="F45" s="161" t="n"/>
      <c r="G45" s="161" t="n"/>
      <c r="H45" s="161" t="n"/>
    </row>
    <row r="46" ht="7.5" customHeight="1" s="160">
      <c r="A46" s="182" t="n"/>
      <c r="B46" s="182" t="n"/>
      <c r="C46" s="182" t="n"/>
      <c r="D46" s="182" t="n"/>
      <c r="E46" s="161" t="n"/>
      <c r="F46" s="161" t="n"/>
      <c r="G46" s="161" t="n"/>
      <c r="H46" s="161" t="n"/>
    </row>
    <row r="47" ht="21.75" customHeight="1" s="160">
      <c r="A47" s="182" t="n"/>
      <c r="B47" s="198" t="inlineStr">
        <is>
          <t xml:space="preserve">  USES — Financing Costs</t>
        </is>
      </c>
      <c r="D47" s="182" t="n"/>
      <c r="E47" s="161" t="n"/>
      <c r="F47" s="161" t="n"/>
      <c r="G47" s="161" t="n"/>
      <c r="H47" s="161" t="n"/>
    </row>
    <row r="48" ht="15" customHeight="1" s="160">
      <c r="A48" s="182" t="n"/>
      <c r="B48" s="185" t="inlineStr">
        <is>
          <t xml:space="preserve">  Acquisition Fee</t>
        </is>
      </c>
      <c r="C48" s="189" t="n">
        <v>25000</v>
      </c>
      <c r="D48" s="182" t="n"/>
      <c r="E48" s="161" t="n"/>
      <c r="F48" s="161" t="n"/>
      <c r="G48" s="161" t="n"/>
      <c r="H48" s="161" t="n"/>
    </row>
    <row r="49" ht="15" customHeight="1" s="160">
      <c r="A49" s="182" t="n"/>
      <c r="B49" s="185" t="inlineStr">
        <is>
          <t xml:space="preserve">  Mortgage Interest (Carry)</t>
        </is>
      </c>
      <c r="C49" s="189" t="n">
        <v>0</v>
      </c>
      <c r="D49" s="182" t="n"/>
      <c r="E49" s="161" t="n"/>
      <c r="F49" s="161" t="n"/>
      <c r="G49" s="161" t="n"/>
      <c r="H49" s="161" t="n"/>
    </row>
    <row r="50" ht="15" customHeight="1" s="160">
      <c r="A50" s="182" t="n"/>
      <c r="B50" s="185" t="inlineStr">
        <is>
          <t xml:space="preserve">  Mortgage Fees / Origination</t>
        </is>
      </c>
      <c r="C50" s="191">
        <f>C71*C75</f>
        <v/>
      </c>
      <c r="D50" s="182" t="n"/>
      <c r="E50" s="161" t="n"/>
      <c r="F50" s="161" t="n"/>
      <c r="G50" s="161" t="n"/>
      <c r="H50" s="161" t="n"/>
    </row>
    <row r="51" ht="15" customHeight="1" s="160">
      <c r="A51" s="182" t="n"/>
      <c r="B51" s="185" t="inlineStr">
        <is>
          <t xml:space="preserve">  Mezzanine Interest</t>
        </is>
      </c>
      <c r="C51" s="189" t="n">
        <v>0</v>
      </c>
      <c r="D51" s="182" t="n"/>
      <c r="E51" s="161" t="n"/>
      <c r="F51" s="161" t="n"/>
      <c r="G51" s="161" t="n"/>
      <c r="H51" s="161" t="n"/>
    </row>
    <row r="52" ht="7.5" customHeight="1" s="160">
      <c r="A52" s="182" t="n"/>
      <c r="B52" s="182" t="n"/>
      <c r="C52" s="182" t="n"/>
      <c r="D52" s="182" t="n"/>
      <c r="E52" s="161" t="n"/>
      <c r="F52" s="161" t="n"/>
      <c r="G52" s="161" t="n"/>
      <c r="H52" s="161" t="n"/>
    </row>
    <row r="53" ht="21.75" customHeight="1" s="160">
      <c r="A53" s="182" t="n"/>
      <c r="B53" s="199" t="inlineStr">
        <is>
          <t xml:space="preserve">  USES — Soft Costs</t>
        </is>
      </c>
      <c r="D53" s="182" t="n"/>
      <c r="E53" s="161" t="n"/>
      <c r="F53" s="161" t="n"/>
      <c r="G53" s="161" t="n"/>
      <c r="H53" s="161" t="n"/>
    </row>
    <row r="54" ht="15" customHeight="1" s="160">
      <c r="A54" s="182" t="n"/>
      <c r="B54" s="185" t="inlineStr">
        <is>
          <t xml:space="preserve">  Working Capital</t>
        </is>
      </c>
      <c r="C54" s="189" t="n">
        <v>15000</v>
      </c>
      <c r="D54" s="182" t="n"/>
      <c r="E54" s="161" t="n"/>
      <c r="F54" s="161" t="n"/>
      <c r="G54" s="161" t="n"/>
      <c r="H54" s="161" t="n"/>
    </row>
    <row r="55" ht="15" customHeight="1" s="160">
      <c r="A55" s="182" t="n"/>
      <c r="B55" s="185" t="inlineStr">
        <is>
          <t xml:space="preserve">  Marketing</t>
        </is>
      </c>
      <c r="C55" s="189" t="n">
        <v>5000</v>
      </c>
      <c r="D55" s="182" t="n"/>
      <c r="E55" s="161" t="n"/>
      <c r="F55" s="161" t="n"/>
      <c r="G55" s="161" t="n"/>
      <c r="H55" s="161" t="n"/>
    </row>
    <row r="56" ht="15" customHeight="1" s="160">
      <c r="A56" s="182" t="n"/>
      <c r="B56" s="185" t="inlineStr">
        <is>
          <t xml:space="preserve">  Real Estate Tax (Carry)</t>
        </is>
      </c>
      <c r="C56" s="189" t="n">
        <v>0</v>
      </c>
      <c r="D56" s="182" t="n"/>
      <c r="E56" s="161" t="n"/>
      <c r="F56" s="161" t="n"/>
      <c r="G56" s="161" t="n"/>
      <c r="H56" s="161" t="n"/>
    </row>
    <row r="57" ht="15" customHeight="1" s="160">
      <c r="A57" s="182" t="n"/>
      <c r="B57" s="185" t="inlineStr">
        <is>
          <t xml:space="preserve">  Property / BR / Contractor Ins.</t>
        </is>
      </c>
      <c r="C57" s="189" t="n">
        <v>0</v>
      </c>
      <c r="D57" s="182" t="n"/>
      <c r="E57" s="161" t="n"/>
      <c r="F57" s="161" t="n"/>
      <c r="G57" s="161" t="n"/>
      <c r="H57" s="161" t="n"/>
    </row>
    <row r="58" ht="15" customHeight="1" s="160">
      <c r="A58" s="182" t="n"/>
      <c r="B58" s="185" t="inlineStr">
        <is>
          <t xml:space="preserve">  Development Fee</t>
        </is>
      </c>
      <c r="C58" s="189" t="n">
        <v>0</v>
      </c>
      <c r="D58" s="182" t="n"/>
      <c r="E58" s="161" t="n"/>
      <c r="F58" s="161" t="n"/>
      <c r="G58" s="161" t="n"/>
      <c r="H58" s="161" t="n"/>
    </row>
    <row r="59" ht="15" customHeight="1" s="160">
      <c r="A59" s="182" t="n"/>
      <c r="B59" s="185" t="inlineStr">
        <is>
          <t xml:space="preserve">  Development Equity Pref Return</t>
        </is>
      </c>
      <c r="C59" s="189" t="n">
        <v>0</v>
      </c>
      <c r="D59" s="182" t="n"/>
      <c r="E59" s="161" t="n"/>
      <c r="F59" s="161" t="n"/>
      <c r="G59" s="161" t="n"/>
      <c r="H59" s="161" t="n"/>
    </row>
    <row r="60" ht="15" customHeight="1" s="160">
      <c r="A60" s="182" t="n"/>
      <c r="B60" s="185" t="inlineStr">
        <is>
          <t xml:space="preserve">  Permits / Expediting</t>
        </is>
      </c>
      <c r="C60" s="189" t="n">
        <v>0</v>
      </c>
      <c r="D60" s="182" t="n"/>
      <c r="E60" s="161" t="n"/>
      <c r="F60" s="161" t="n"/>
      <c r="G60" s="161" t="n"/>
      <c r="H60" s="161" t="n"/>
    </row>
    <row r="61" ht="7.5" customHeight="1" s="160">
      <c r="A61" s="182" t="n"/>
      <c r="B61" s="182" t="n"/>
      <c r="C61" s="182" t="n"/>
      <c r="D61" s="182" t="n"/>
      <c r="E61" s="161" t="n"/>
      <c r="F61" s="161" t="n"/>
      <c r="G61" s="161" t="n"/>
      <c r="H61" s="161" t="n"/>
    </row>
    <row r="62" ht="21.75" customHeight="1" s="160">
      <c r="A62" s="182" t="n"/>
      <c r="B62" s="200" t="inlineStr">
        <is>
          <t xml:space="preserve">  USES — Hard Costs</t>
        </is>
      </c>
      <c r="D62" s="182" t="n"/>
      <c r="E62" s="161" t="n"/>
      <c r="F62" s="161" t="n"/>
      <c r="G62" s="161" t="n"/>
      <c r="H62" s="161" t="n"/>
    </row>
    <row r="63" ht="15" customHeight="1" s="160">
      <c r="A63" s="182" t="n"/>
      <c r="B63" s="185" t="inlineStr">
        <is>
          <t xml:space="preserve">  Stormwater Management System</t>
        </is>
      </c>
      <c r="C63" s="189" t="n">
        <v>0</v>
      </c>
      <c r="D63" s="182" t="n"/>
      <c r="E63" s="161" t="n"/>
      <c r="F63" s="161" t="n"/>
      <c r="G63" s="161" t="n"/>
      <c r="H63" s="161" t="n"/>
    </row>
    <row r="64" ht="15" customHeight="1" s="160">
      <c r="A64" s="182" t="n"/>
      <c r="B64" s="185" t="inlineStr">
        <is>
          <t xml:space="preserve">  Demolition &amp; Site Work</t>
        </is>
      </c>
      <c r="C64" s="189" t="n">
        <v>0</v>
      </c>
      <c r="D64" s="182" t="n"/>
      <c r="E64" s="161" t="n"/>
      <c r="F64" s="161" t="n"/>
      <c r="G64" s="161" t="n"/>
      <c r="H64" s="161" t="n"/>
    </row>
    <row r="65" ht="15" customHeight="1" s="160">
      <c r="A65" s="182" t="n"/>
      <c r="B65" s="185" t="inlineStr">
        <is>
          <t xml:space="preserve">  Construction — Hard Costs</t>
        </is>
      </c>
      <c r="C65" s="189" t="n">
        <v>0</v>
      </c>
      <c r="D65" s="182" t="n"/>
      <c r="E65" s="161" t="n"/>
      <c r="F65" s="161" t="n"/>
      <c r="G65" s="161" t="n"/>
      <c r="H65" s="161" t="n"/>
    </row>
    <row r="66" ht="15" customHeight="1" s="160">
      <c r="A66" s="182" t="n"/>
      <c r="B66" s="185" t="inlineStr">
        <is>
          <t xml:space="preserve">  Construction — Reserve</t>
        </is>
      </c>
      <c r="C66" s="189" t="n">
        <v>0</v>
      </c>
      <c r="D66" s="182" t="n"/>
      <c r="E66" s="161" t="n"/>
      <c r="F66" s="161" t="n"/>
      <c r="G66" s="161" t="n"/>
      <c r="H66" s="161" t="n"/>
    </row>
    <row r="67" ht="15" customHeight="1" s="160">
      <c r="A67" s="182" t="n"/>
      <c r="B67" s="185" t="inlineStr">
        <is>
          <t xml:space="preserve">  GC Profit &amp; Overhead</t>
        </is>
      </c>
      <c r="C67" s="189" t="n">
        <v>0</v>
      </c>
      <c r="D67" s="182" t="n"/>
      <c r="E67" s="161" t="n"/>
      <c r="F67" s="161" t="n"/>
      <c r="G67" s="161" t="n"/>
      <c r="H67" s="161" t="n"/>
    </row>
    <row r="68" ht="7.5" customHeight="1" s="160">
      <c r="A68" s="182" t="n"/>
      <c r="B68" s="182" t="n"/>
      <c r="C68" s="182" t="n"/>
      <c r="D68" s="182" t="n"/>
      <c r="E68" s="161" t="n"/>
      <c r="F68" s="161" t="n"/>
      <c r="G68" s="161" t="n"/>
      <c r="H68" s="161" t="n"/>
    </row>
    <row r="69" ht="27.75" customHeight="1" s="160">
      <c r="A69" s="183" t="n"/>
      <c r="B69" s="184" t="inlineStr">
        <is>
          <t xml:space="preserve">  4. INITIAL FINANCING</t>
        </is>
      </c>
    </row>
    <row r="70" ht="15" customHeight="1" s="160">
      <c r="A70" s="182" t="n"/>
      <c r="B70" s="185" t="inlineStr">
        <is>
          <t>Loan-to-Value (LTV)</t>
        </is>
      </c>
      <c r="C70" s="201" t="n">
        <v>0.7</v>
      </c>
      <c r="D70" s="182" t="n"/>
      <c r="E70" s="161" t="n"/>
      <c r="F70" s="161" t="n"/>
      <c r="G70" s="161" t="n"/>
      <c r="H70" s="161" t="n"/>
    </row>
    <row r="71" ht="15" customHeight="1" s="160">
      <c r="A71" s="182" t="n"/>
      <c r="B71" s="185" t="inlineStr">
        <is>
          <t>Initial Loan Amount</t>
        </is>
      </c>
      <c r="C71" s="191">
        <f>C17*C70</f>
        <v/>
      </c>
      <c r="D71" s="182" t="n"/>
      <c r="E71" s="161" t="n"/>
      <c r="F71" s="161" t="n"/>
      <c r="G71" s="161" t="n"/>
      <c r="H71" s="161" t="n"/>
    </row>
    <row r="72" ht="15" customHeight="1" s="160">
      <c r="A72" s="182" t="n"/>
      <c r="B72" s="185" t="inlineStr">
        <is>
          <t>Interest Rate</t>
        </is>
      </c>
      <c r="C72" s="190" t="n">
        <v>0.065</v>
      </c>
      <c r="D72" s="182" t="n"/>
      <c r="E72" s="161" t="n"/>
      <c r="F72" s="161" t="n"/>
      <c r="G72" s="161" t="n"/>
      <c r="H72" s="161" t="n"/>
    </row>
    <row r="73" ht="15" customHeight="1" s="160">
      <c r="A73" s="182" t="n"/>
      <c r="B73" s="185" t="inlineStr">
        <is>
          <t>Amortization (Years)</t>
        </is>
      </c>
      <c r="C73" s="187" t="n">
        <v>30</v>
      </c>
      <c r="D73" s="182" t="n"/>
      <c r="E73" s="161" t="n"/>
      <c r="F73" s="161" t="n"/>
      <c r="G73" s="161" t="n"/>
      <c r="H73" s="161" t="n"/>
    </row>
    <row r="74" ht="15" customHeight="1" s="160">
      <c r="A74" s="182" t="n"/>
      <c r="B74" s="185" t="inlineStr">
        <is>
          <t>Loan Term (Years)</t>
        </is>
      </c>
      <c r="C74" s="187" t="n">
        <v>10</v>
      </c>
      <c r="D74" s="182" t="n"/>
      <c r="E74" s="161" t="n"/>
      <c r="F74" s="161" t="n"/>
      <c r="G74" s="161" t="n"/>
      <c r="H74" s="161" t="n"/>
    </row>
    <row r="75" ht="15" customHeight="1" s="160">
      <c r="A75" s="182" t="n"/>
      <c r="B75" s="185" t="inlineStr">
        <is>
          <t>Origination Fee (%)</t>
        </is>
      </c>
      <c r="C75" s="201" t="n">
        <v>0.01</v>
      </c>
      <c r="D75" s="182" t="n"/>
      <c r="E75" s="161" t="n"/>
      <c r="F75" s="161" t="n"/>
      <c r="G75" s="161" t="n"/>
      <c r="H75" s="161" t="n"/>
    </row>
    <row r="76" ht="15" customHeight="1" s="160">
      <c r="A76" s="182" t="n"/>
      <c r="B76" s="185" t="inlineStr">
        <is>
          <t>Origination Fee ($)</t>
        </is>
      </c>
      <c r="C76" s="191">
        <f>C71*C75</f>
        <v/>
      </c>
      <c r="D76" s="182" t="n"/>
      <c r="E76" s="161" t="n"/>
      <c r="F76" s="161" t="n"/>
      <c r="G76" s="161" t="n"/>
      <c r="H76" s="161" t="n"/>
    </row>
    <row r="77" ht="15" customHeight="1" s="160">
      <c r="A77" s="182" t="n"/>
      <c r="B77" s="185" t="inlineStr">
        <is>
          <t>Interest-Only Period (Months)</t>
        </is>
      </c>
      <c r="C77" s="187" t="n">
        <v>0</v>
      </c>
      <c r="D77" s="182" t="n"/>
      <c r="E77" s="161" t="n"/>
      <c r="F77" s="161" t="n"/>
      <c r="G77" s="161" t="n"/>
      <c r="H77" s="161" t="n"/>
    </row>
    <row r="78" ht="15" customHeight="1" s="160">
      <c r="A78" s="182" t="n"/>
      <c r="B78" s="185" t="inlineStr">
        <is>
          <t>Monthly Payment (P&amp;I)</t>
        </is>
      </c>
      <c r="C78" s="195">
        <f>IF(C73&gt;0,PMT(C72/12,C73*12,-C71),C71*C72/12)</f>
        <v/>
      </c>
      <c r="D78" s="182" t="n"/>
      <c r="E78" s="161" t="n"/>
      <c r="F78" s="161" t="n"/>
      <c r="G78" s="161" t="n"/>
      <c r="H78" s="161" t="n"/>
    </row>
    <row r="79" ht="15" customHeight="1" s="160">
      <c r="A79" s="182" t="n"/>
      <c r="B79" s="185" t="inlineStr">
        <is>
          <t>Annual Debt Service</t>
        </is>
      </c>
      <c r="C79" s="194">
        <f>C78*12</f>
        <v/>
      </c>
      <c r="D79" s="182" t="n"/>
      <c r="E79" s="161" t="n"/>
      <c r="F79" s="161" t="n"/>
      <c r="G79" s="161" t="n"/>
      <c r="H79" s="161" t="n"/>
    </row>
    <row r="80" ht="7.5" customHeight="1" s="160">
      <c r="A80" s="182" t="n"/>
      <c r="B80" s="182" t="n"/>
      <c r="C80" s="182" t="n"/>
      <c r="D80" s="182" t="n"/>
      <c r="E80" s="161" t="n"/>
      <c r="F80" s="161" t="n"/>
      <c r="G80" s="161" t="n"/>
      <c r="H80" s="161" t="n"/>
    </row>
    <row r="81" ht="21.75" customHeight="1" s="160">
      <c r="A81" s="182" t="n"/>
      <c r="B81" s="196" t="inlineStr">
        <is>
          <t xml:space="preserve">  SOURCES</t>
        </is>
      </c>
      <c r="D81" s="182" t="n"/>
      <c r="E81" s="161" t="n"/>
      <c r="F81" s="161" t="n"/>
      <c r="G81" s="161" t="n"/>
      <c r="H81" s="161" t="n"/>
    </row>
    <row r="82" ht="15" customHeight="1" s="160">
      <c r="A82" s="182" t="n"/>
      <c r="B82" s="185" t="inlineStr">
        <is>
          <t xml:space="preserve">  Senior Debt</t>
        </is>
      </c>
      <c r="C82" s="191">
        <f>C71</f>
        <v/>
      </c>
      <c r="D82" s="182" t="n"/>
      <c r="E82" s="161" t="n"/>
      <c r="F82" s="161" t="n"/>
      <c r="G82" s="161" t="n"/>
      <c r="H82" s="161" t="n"/>
    </row>
    <row r="83" ht="15" customHeight="1" s="160">
      <c r="A83" s="182" t="n"/>
      <c r="B83" s="185" t="inlineStr">
        <is>
          <t xml:space="preserve">  Mezzanine Debt</t>
        </is>
      </c>
      <c r="C83" s="189" t="n">
        <v>0</v>
      </c>
      <c r="D83" s="182" t="n"/>
      <c r="E83" s="161" t="n"/>
      <c r="F83" s="161" t="n"/>
      <c r="G83" s="161" t="n"/>
      <c r="H83" s="161" t="n"/>
    </row>
    <row r="84" ht="15" customHeight="1" s="160">
      <c r="A84" s="182" t="n"/>
      <c r="B84" s="185" t="inlineStr">
        <is>
          <t xml:space="preserve">  GP Equity</t>
        </is>
      </c>
      <c r="C84" s="189" t="n">
        <v>0</v>
      </c>
      <c r="D84" s="182" t="n"/>
      <c r="E84" s="161" t="n"/>
      <c r="F84" s="161" t="n"/>
      <c r="G84" s="161" t="n"/>
      <c r="H84" s="161" t="n"/>
    </row>
    <row r="85" ht="15" customHeight="1" s="160">
      <c r="A85" s="182" t="n"/>
      <c r="B85" s="185" t="inlineStr">
        <is>
          <t xml:space="preserve">  LP Equity</t>
        </is>
      </c>
      <c r="C85" s="189" t="n">
        <v>0</v>
      </c>
      <c r="D85" s="182" t="n"/>
      <c r="E85" s="161" t="n"/>
      <c r="F85" s="161" t="n"/>
      <c r="G85" s="161" t="n"/>
      <c r="H85" s="161" t="n"/>
    </row>
    <row r="86" ht="15" customHeight="1" s="160">
      <c r="A86" s="182" t="n"/>
      <c r="B86" s="185" t="inlineStr">
        <is>
          <t xml:space="preserve">  Tax Credit Equity</t>
        </is>
      </c>
      <c r="C86" s="189" t="n">
        <v>0</v>
      </c>
      <c r="D86" s="182" t="n"/>
      <c r="E86" s="161" t="n"/>
      <c r="F86" s="161" t="n"/>
      <c r="G86" s="161" t="n"/>
      <c r="H86" s="161" t="n"/>
    </row>
    <row r="87" ht="15" customHeight="1" s="160">
      <c r="A87" s="182" t="n"/>
      <c r="B87" s="185" t="inlineStr">
        <is>
          <t xml:space="preserve">  Grants / Subsidies</t>
        </is>
      </c>
      <c r="C87" s="189" t="n">
        <v>0</v>
      </c>
      <c r="D87" s="182" t="n"/>
      <c r="E87" s="161" t="n"/>
      <c r="F87" s="161" t="n"/>
      <c r="G87" s="161" t="n"/>
      <c r="H87" s="161" t="n"/>
    </row>
    <row r="88" ht="7.5" customHeight="1" s="160">
      <c r="A88" s="182" t="n"/>
      <c r="B88" s="182" t="n"/>
      <c r="C88" s="182" t="n"/>
      <c r="D88" s="182" t="n"/>
      <c r="E88" s="161" t="n"/>
      <c r="F88" s="161" t="n"/>
      <c r="G88" s="161" t="n"/>
      <c r="H88" s="161" t="n"/>
    </row>
    <row r="89" ht="15" customHeight="1" s="160">
      <c r="A89" s="182" t="n"/>
      <c r="B89" s="192" t="inlineStr">
        <is>
          <t>TOTAL USES</t>
        </is>
      </c>
      <c r="C89" s="193">
        <f>SUM(C29:C31)+SUM(C34:C45)+SUM(C48:C51)+SUM(C54:C60)+SUM(C63:C67)</f>
        <v/>
      </c>
      <c r="D89" s="182" t="n"/>
      <c r="E89" s="161" t="n"/>
      <c r="F89" s="161" t="n"/>
      <c r="G89" s="161" t="n"/>
      <c r="H89" s="161" t="n"/>
    </row>
    <row r="90" ht="15" customHeight="1" s="160">
      <c r="A90" s="182" t="n"/>
      <c r="B90" s="192" t="inlineStr">
        <is>
          <t>TOTAL SOURCES</t>
        </is>
      </c>
      <c r="C90" s="193">
        <f>SUM(C82:C87)</f>
        <v/>
      </c>
      <c r="D90" s="182" t="n"/>
      <c r="E90" s="161" t="n"/>
      <c r="F90" s="161" t="n"/>
      <c r="G90" s="161" t="n"/>
      <c r="H90" s="161" t="n"/>
    </row>
    <row r="91" ht="15" customHeight="1" s="160">
      <c r="A91" s="182" t="n"/>
      <c r="B91" s="202" t="inlineStr">
        <is>
          <t>TOTAL EQUITY REQUIRED</t>
        </is>
      </c>
      <c r="C91" s="203">
        <f>C89-C82-C83</f>
        <v/>
      </c>
      <c r="D91" s="182" t="n"/>
      <c r="E91" s="161" t="n"/>
      <c r="F91" s="161" t="n"/>
      <c r="G91" s="161" t="n"/>
      <c r="H91" s="161" t="n"/>
    </row>
    <row r="92" ht="15" customHeight="1" s="160">
      <c r="A92" s="182" t="n"/>
      <c r="B92" s="204" t="inlineStr">
        <is>
          <t>Surplus / (Gap)</t>
        </is>
      </c>
      <c r="C92" s="205">
        <f>C90-C89</f>
        <v/>
      </c>
      <c r="D92" s="182" t="n"/>
      <c r="E92" s="161" t="n"/>
      <c r="F92" s="161" t="n"/>
      <c r="G92" s="161" t="n"/>
      <c r="H92" s="161" t="n"/>
    </row>
    <row r="93" ht="7.5" customHeight="1" s="160">
      <c r="A93" s="182" t="n"/>
      <c r="B93" s="182" t="n"/>
      <c r="C93" s="182" t="n"/>
      <c r="D93" s="182" t="n"/>
      <c r="E93" s="161" t="n"/>
      <c r="F93" s="161" t="n"/>
      <c r="G93" s="161" t="n"/>
      <c r="H93" s="161" t="n"/>
    </row>
    <row r="94" ht="27.75" customHeight="1" s="160">
      <c r="A94" s="183" t="n"/>
      <c r="B94" s="184" t="inlineStr">
        <is>
          <t xml:space="preserve">  5. REFINANCE 1</t>
        </is>
      </c>
    </row>
    <row r="95" ht="15" customHeight="1" s="160">
      <c r="A95" s="182" t="n"/>
      <c r="B95" s="185" t="inlineStr">
        <is>
          <t>Refi 1 — Active? (1=Yes, 0=No)</t>
        </is>
      </c>
      <c r="C95" s="187" t="n">
        <v>0</v>
      </c>
      <c r="D95" s="182" t="n"/>
      <c r="E95" s="161" t="n"/>
      <c r="F95" s="161" t="n"/>
      <c r="G95" s="161" t="n"/>
      <c r="H95" s="179" t="inlineStr">
        <is>
          <t>Set to 1 to activate</t>
        </is>
      </c>
    </row>
    <row r="96" ht="15" customHeight="1" s="160">
      <c r="A96" s="182" t="n"/>
      <c r="B96" s="185" t="inlineStr">
        <is>
          <t>Refi 1 — Timing (Year)</t>
        </is>
      </c>
      <c r="C96" s="187" t="n">
        <v>5</v>
      </c>
      <c r="D96" s="182" t="n"/>
      <c r="E96" s="161" t="n"/>
      <c r="F96" s="161" t="n"/>
      <c r="G96" s="161" t="n"/>
      <c r="H96" s="161" t="n"/>
    </row>
    <row r="97" ht="15" customHeight="1" s="160">
      <c r="A97" s="182" t="n"/>
      <c r="B97" s="185" t="inlineStr">
        <is>
          <t>Refi 1 — Appraised Value</t>
        </is>
      </c>
      <c r="C97" s="189" t="n">
        <v>3200000</v>
      </c>
      <c r="D97" s="182" t="n"/>
      <c r="E97" s="161" t="n"/>
      <c r="F97" s="161" t="n"/>
      <c r="G97" s="161" t="n"/>
      <c r="H97" s="161" t="n"/>
    </row>
    <row r="98" ht="15" customHeight="1" s="160">
      <c r="A98" s="182" t="n"/>
      <c r="B98" s="185" t="inlineStr">
        <is>
          <t>Refi 1 — LTV</t>
        </is>
      </c>
      <c r="C98" s="201" t="n">
        <v>0.7</v>
      </c>
      <c r="D98" s="182" t="n"/>
      <c r="E98" s="161" t="n"/>
      <c r="F98" s="161" t="n"/>
      <c r="G98" s="161" t="n"/>
      <c r="H98" s="161" t="n"/>
    </row>
    <row r="99" ht="15" customHeight="1" s="160">
      <c r="A99" s="182" t="n"/>
      <c r="B99" s="185" t="inlineStr">
        <is>
          <t>Refi 1 — New Loan Amount</t>
        </is>
      </c>
      <c r="C99" s="191">
        <f>C97*C98</f>
        <v/>
      </c>
      <c r="D99" s="182" t="n"/>
      <c r="E99" s="161" t="n"/>
      <c r="F99" s="161" t="n"/>
      <c r="G99" s="161" t="n"/>
      <c r="H99" s="161" t="n"/>
    </row>
    <row r="100" ht="15" customHeight="1" s="160">
      <c r="A100" s="182" t="n"/>
      <c r="B100" s="185" t="inlineStr">
        <is>
          <t>Refi 1 — Interest Rate</t>
        </is>
      </c>
      <c r="C100" s="190" t="n">
        <v>0.06</v>
      </c>
      <c r="D100" s="182" t="n"/>
      <c r="E100" s="161" t="n"/>
      <c r="F100" s="161" t="n"/>
      <c r="G100" s="161" t="n"/>
      <c r="H100" s="161" t="n"/>
    </row>
    <row r="101" ht="15" customHeight="1" s="160">
      <c r="A101" s="182" t="n"/>
      <c r="B101" s="185" t="inlineStr">
        <is>
          <t>Refi 1 — Amortization (Yrs)</t>
        </is>
      </c>
      <c r="C101" s="187" t="n">
        <v>30</v>
      </c>
      <c r="D101" s="182" t="n"/>
      <c r="E101" s="161" t="n"/>
      <c r="F101" s="161" t="n"/>
      <c r="G101" s="161" t="n"/>
      <c r="H101" s="161" t="n"/>
    </row>
    <row r="102" ht="15" customHeight="1" s="160">
      <c r="A102" s="182" t="n"/>
      <c r="B102" s="185" t="inlineStr">
        <is>
          <t>Refi 1 — Loan Term (Yrs)</t>
        </is>
      </c>
      <c r="C102" s="187" t="n">
        <v>10</v>
      </c>
      <c r="D102" s="182" t="n"/>
      <c r="E102" s="161" t="n"/>
      <c r="F102" s="161" t="n"/>
      <c r="G102" s="161" t="n"/>
      <c r="H102" s="161" t="n"/>
    </row>
    <row r="103" ht="15" customHeight="1" s="160">
      <c r="A103" s="182" t="n"/>
      <c r="B103" s="185" t="inlineStr">
        <is>
          <t>Refi 1 — Origination Fee (%)</t>
        </is>
      </c>
      <c r="C103" s="201" t="n">
        <v>0.01</v>
      </c>
      <c r="D103" s="182" t="n"/>
      <c r="E103" s="161" t="n"/>
      <c r="F103" s="161" t="n"/>
      <c r="G103" s="161" t="n"/>
      <c r="H103" s="161" t="n"/>
    </row>
    <row r="104" ht="15" customHeight="1" s="160">
      <c r="A104" s="182" t="n"/>
      <c r="B104" s="185" t="inlineStr">
        <is>
          <t>Refi 1 — Prepayment Penalty (%)</t>
        </is>
      </c>
      <c r="C104" s="201" t="n">
        <v>0.01</v>
      </c>
      <c r="D104" s="182" t="n"/>
      <c r="E104" s="161" t="n"/>
      <c r="F104" s="161" t="n"/>
      <c r="G104" s="161" t="n"/>
      <c r="H104" s="161" t="n"/>
    </row>
    <row r="105" ht="15" customHeight="1" s="160">
      <c r="A105" s="182" t="n"/>
      <c r="B105" s="185" t="inlineStr">
        <is>
          <t>Refi 1 — Closing Costs ($)</t>
        </is>
      </c>
      <c r="C105" s="189" t="n">
        <v>25000</v>
      </c>
      <c r="D105" s="182" t="n"/>
      <c r="E105" s="161" t="n"/>
      <c r="F105" s="161" t="n"/>
      <c r="G105" s="161" t="n"/>
      <c r="H105" s="161" t="n"/>
    </row>
    <row r="106" ht="7.5" customHeight="1" s="160">
      <c r="A106" s="182" t="n"/>
      <c r="B106" s="182" t="n"/>
      <c r="C106" s="182" t="n"/>
      <c r="D106" s="182" t="n"/>
      <c r="E106" s="161" t="n"/>
      <c r="F106" s="161" t="n"/>
      <c r="G106" s="161" t="n"/>
      <c r="H106" s="161" t="n"/>
    </row>
    <row r="107" ht="27.75" customHeight="1" s="160">
      <c r="A107" s="183" t="n"/>
      <c r="B107" s="184" t="inlineStr">
        <is>
          <t xml:space="preserve">  6. REFINANCE 2</t>
        </is>
      </c>
    </row>
    <row r="108" ht="15" customHeight="1" s="160">
      <c r="A108" s="182" t="n"/>
      <c r="B108" s="185" t="inlineStr">
        <is>
          <t>Refi 2 — Active? (1=Yes, 0=No)</t>
        </is>
      </c>
      <c r="C108" s="187" t="n">
        <v>0</v>
      </c>
      <c r="D108" s="182" t="n"/>
      <c r="E108" s="161" t="n"/>
      <c r="F108" s="161" t="n"/>
      <c r="G108" s="161" t="n"/>
      <c r="H108" s="179" t="inlineStr">
        <is>
          <t>Set to 1 to activate</t>
        </is>
      </c>
    </row>
    <row r="109" ht="15" customHeight="1" s="160">
      <c r="A109" s="182" t="n"/>
      <c r="B109" s="185" t="inlineStr">
        <is>
          <t>Refi 2 — Timing (Year)</t>
        </is>
      </c>
      <c r="C109" s="187" t="n">
        <v>8</v>
      </c>
      <c r="D109" s="182" t="n"/>
      <c r="E109" s="161" t="n"/>
      <c r="F109" s="161" t="n"/>
      <c r="G109" s="161" t="n"/>
      <c r="H109" s="161" t="n"/>
    </row>
    <row r="110" ht="15" customHeight="1" s="160">
      <c r="A110" s="182" t="n"/>
      <c r="B110" s="185" t="inlineStr">
        <is>
          <t>Refi 2 — Appraised Value</t>
        </is>
      </c>
      <c r="C110" s="189" t="n">
        <v>3800000</v>
      </c>
      <c r="D110" s="182" t="n"/>
      <c r="E110" s="161" t="n"/>
      <c r="F110" s="161" t="n"/>
      <c r="G110" s="161" t="n"/>
      <c r="H110" s="161" t="n"/>
    </row>
    <row r="111" ht="15" customHeight="1" s="160">
      <c r="A111" s="182" t="n"/>
      <c r="B111" s="185" t="inlineStr">
        <is>
          <t>Refi 2 — LTV</t>
        </is>
      </c>
      <c r="C111" s="201" t="n">
        <v>0.65</v>
      </c>
      <c r="D111" s="182" t="n"/>
      <c r="E111" s="161" t="n"/>
      <c r="F111" s="161" t="n"/>
      <c r="G111" s="161" t="n"/>
      <c r="H111" s="161" t="n"/>
    </row>
    <row r="112" ht="15" customHeight="1" s="160">
      <c r="A112" s="182" t="n"/>
      <c r="B112" s="185" t="inlineStr">
        <is>
          <t>Refi 2 — New Loan Amount</t>
        </is>
      </c>
      <c r="C112" s="191">
        <f>C110*C111</f>
        <v/>
      </c>
      <c r="D112" s="182" t="n"/>
      <c r="E112" s="161" t="n"/>
      <c r="F112" s="161" t="n"/>
      <c r="G112" s="161" t="n"/>
      <c r="H112" s="161" t="n"/>
    </row>
    <row r="113" ht="15" customHeight="1" s="160">
      <c r="A113" s="182" t="n"/>
      <c r="B113" s="185" t="inlineStr">
        <is>
          <t>Refi 2 — Interest Rate</t>
        </is>
      </c>
      <c r="C113" s="190" t="n">
        <v>0.055</v>
      </c>
      <c r="D113" s="182" t="n"/>
      <c r="E113" s="161" t="n"/>
      <c r="F113" s="161" t="n"/>
      <c r="G113" s="161" t="n"/>
      <c r="H113" s="161" t="n"/>
    </row>
    <row r="114" ht="15" customHeight="1" s="160">
      <c r="A114" s="182" t="n"/>
      <c r="B114" s="185" t="inlineStr">
        <is>
          <t>Refi 2 — Amortization (Yrs)</t>
        </is>
      </c>
      <c r="C114" s="187" t="n">
        <v>30</v>
      </c>
      <c r="D114" s="182" t="n"/>
      <c r="E114" s="161" t="n"/>
      <c r="F114" s="161" t="n"/>
      <c r="G114" s="161" t="n"/>
      <c r="H114" s="161" t="n"/>
    </row>
    <row r="115" ht="15" customHeight="1" s="160">
      <c r="A115" s="182" t="n"/>
      <c r="B115" s="185" t="inlineStr">
        <is>
          <t>Refi 2 — Loan Term (Yrs)</t>
        </is>
      </c>
      <c r="C115" s="187" t="n">
        <v>10</v>
      </c>
      <c r="D115" s="182" t="n"/>
      <c r="E115" s="161" t="n"/>
      <c r="F115" s="161" t="n"/>
      <c r="G115" s="161" t="n"/>
      <c r="H115" s="161" t="n"/>
    </row>
    <row r="116" ht="15" customHeight="1" s="160">
      <c r="A116" s="182" t="n"/>
      <c r="B116" s="185" t="inlineStr">
        <is>
          <t>Refi 2 — Origination Fee (%)</t>
        </is>
      </c>
      <c r="C116" s="201" t="n">
        <v>0.01</v>
      </c>
      <c r="D116" s="182" t="n"/>
      <c r="E116" s="161" t="n"/>
      <c r="F116" s="161" t="n"/>
      <c r="G116" s="161" t="n"/>
      <c r="H116" s="161" t="n"/>
    </row>
    <row r="117" ht="15" customHeight="1" s="160">
      <c r="A117" s="182" t="n"/>
      <c r="B117" s="185" t="inlineStr">
        <is>
          <t>Refi 2 — Prepayment Penalty (%)</t>
        </is>
      </c>
      <c r="C117" s="201" t="n">
        <v>0.01</v>
      </c>
      <c r="D117" s="182" t="n"/>
      <c r="E117" s="161" t="n"/>
      <c r="F117" s="161" t="n"/>
      <c r="G117" s="161" t="n"/>
      <c r="H117" s="161" t="n"/>
    </row>
    <row r="118" ht="15" customHeight="1" s="160">
      <c r="A118" s="182" t="n"/>
      <c r="B118" s="185" t="inlineStr">
        <is>
          <t>Refi 2 — Closing Costs ($)</t>
        </is>
      </c>
      <c r="C118" s="189" t="n">
        <v>25000</v>
      </c>
      <c r="D118" s="182" t="n"/>
      <c r="E118" s="161" t="n"/>
      <c r="F118" s="161" t="n"/>
      <c r="G118" s="161" t="n"/>
      <c r="H118" s="161" t="n"/>
    </row>
    <row r="119" ht="7.5" customHeight="1" s="160">
      <c r="A119" s="182" t="n"/>
      <c r="B119" s="182" t="n"/>
      <c r="C119" s="182" t="n"/>
      <c r="D119" s="182" t="n"/>
      <c r="E119" s="161" t="n"/>
      <c r="F119" s="161" t="n"/>
      <c r="G119" s="161" t="n"/>
      <c r="H119" s="161" t="n"/>
    </row>
    <row r="120" ht="27.75" customHeight="1" s="160">
      <c r="A120" s="183" t="n"/>
      <c r="B120" s="184" t="inlineStr">
        <is>
          <t xml:space="preserve">  7. REFINANCE 3</t>
        </is>
      </c>
    </row>
    <row r="121" ht="15" customHeight="1" s="160">
      <c r="A121" s="182" t="n"/>
      <c r="B121" s="185" t="inlineStr">
        <is>
          <t>Refi 3 — Active? (1=Yes, 0=No)</t>
        </is>
      </c>
      <c r="C121" s="187" t="n">
        <v>0</v>
      </c>
      <c r="D121" s="182" t="n"/>
      <c r="E121" s="161" t="n"/>
      <c r="F121" s="161" t="n"/>
      <c r="G121" s="161" t="n"/>
      <c r="H121" s="179" t="inlineStr">
        <is>
          <t>Set to 1 to activate</t>
        </is>
      </c>
    </row>
    <row r="122" ht="15" customHeight="1" s="160">
      <c r="A122" s="182" t="n"/>
      <c r="B122" s="185" t="inlineStr">
        <is>
          <t>Refi 3 — Timing (Year)</t>
        </is>
      </c>
      <c r="C122" s="187" t="n">
        <v>0</v>
      </c>
      <c r="D122" s="182" t="n"/>
      <c r="E122" s="161" t="n"/>
      <c r="F122" s="161" t="n"/>
      <c r="G122" s="161" t="n"/>
      <c r="H122" s="161" t="n"/>
    </row>
    <row r="123" ht="15" customHeight="1" s="160">
      <c r="A123" s="182" t="n"/>
      <c r="B123" s="185" t="inlineStr">
        <is>
          <t>Refi 3 — Appraised Value</t>
        </is>
      </c>
      <c r="C123" s="189" t="n">
        <v>0</v>
      </c>
      <c r="D123" s="182" t="n"/>
      <c r="E123" s="161" t="n"/>
      <c r="F123" s="161" t="n"/>
      <c r="G123" s="161" t="n"/>
      <c r="H123" s="161" t="n"/>
    </row>
    <row r="124" ht="15" customHeight="1" s="160">
      <c r="A124" s="182" t="n"/>
      <c r="B124" s="185" t="inlineStr">
        <is>
          <t>Refi 3 — LTV</t>
        </is>
      </c>
      <c r="C124" s="201" t="n">
        <v>0.65</v>
      </c>
      <c r="D124" s="182" t="n"/>
      <c r="E124" s="161" t="n"/>
      <c r="F124" s="161" t="n"/>
      <c r="G124" s="161" t="n"/>
      <c r="H124" s="161" t="n"/>
    </row>
    <row r="125" ht="15" customHeight="1" s="160">
      <c r="A125" s="182" t="n"/>
      <c r="B125" s="185" t="inlineStr">
        <is>
          <t>Refi 3 — New Loan Amount</t>
        </is>
      </c>
      <c r="C125" s="191">
        <f>C123*C124</f>
        <v/>
      </c>
      <c r="D125" s="182" t="n"/>
      <c r="E125" s="161" t="n"/>
      <c r="F125" s="161" t="n"/>
      <c r="G125" s="161" t="n"/>
      <c r="H125" s="161" t="n"/>
    </row>
    <row r="126" ht="15" customHeight="1" s="160">
      <c r="A126" s="182" t="n"/>
      <c r="B126" s="185" t="inlineStr">
        <is>
          <t>Refi 3 — Interest Rate</t>
        </is>
      </c>
      <c r="C126" s="190" t="n">
        <v>0.055</v>
      </c>
      <c r="D126" s="182" t="n"/>
      <c r="E126" s="161" t="n"/>
      <c r="F126" s="161" t="n"/>
      <c r="G126" s="161" t="n"/>
      <c r="H126" s="161" t="n"/>
    </row>
    <row r="127" ht="15" customHeight="1" s="160">
      <c r="A127" s="182" t="n"/>
      <c r="B127" s="185" t="inlineStr">
        <is>
          <t>Refi 3 — Amortization (Yrs)</t>
        </is>
      </c>
      <c r="C127" s="187" t="n">
        <v>30</v>
      </c>
      <c r="D127" s="182" t="n"/>
      <c r="E127" s="161" t="n"/>
      <c r="F127" s="161" t="n"/>
      <c r="G127" s="161" t="n"/>
      <c r="H127" s="161" t="n"/>
    </row>
    <row r="128" ht="15" customHeight="1" s="160">
      <c r="A128" s="182" t="n"/>
      <c r="B128" s="185" t="inlineStr">
        <is>
          <t>Refi 3 — Loan Term (Yrs)</t>
        </is>
      </c>
      <c r="C128" s="187" t="n">
        <v>10</v>
      </c>
      <c r="D128" s="182" t="n"/>
      <c r="E128" s="161" t="n"/>
      <c r="F128" s="161" t="n"/>
      <c r="G128" s="161" t="n"/>
      <c r="H128" s="161" t="n"/>
    </row>
    <row r="129" ht="15" customHeight="1" s="160">
      <c r="A129" s="182" t="n"/>
      <c r="B129" s="185" t="inlineStr">
        <is>
          <t>Refi 3 — Origination Fee (%)</t>
        </is>
      </c>
      <c r="C129" s="201" t="n">
        <v>0.01</v>
      </c>
      <c r="D129" s="182" t="n"/>
      <c r="E129" s="161" t="n"/>
      <c r="F129" s="161" t="n"/>
      <c r="G129" s="161" t="n"/>
      <c r="H129" s="161" t="n"/>
    </row>
    <row r="130" ht="15" customHeight="1" s="160">
      <c r="A130" s="182" t="n"/>
      <c r="B130" s="185" t="inlineStr">
        <is>
          <t>Refi 3 — Prepayment Penalty (%)</t>
        </is>
      </c>
      <c r="C130" s="201" t="n">
        <v>0</v>
      </c>
      <c r="D130" s="182" t="n"/>
      <c r="E130" s="161" t="n"/>
      <c r="F130" s="161" t="n"/>
      <c r="G130" s="161" t="n"/>
      <c r="H130" s="161" t="n"/>
    </row>
    <row r="131" ht="15" customHeight="1" s="160">
      <c r="A131" s="182" t="n"/>
      <c r="B131" s="185" t="inlineStr">
        <is>
          <t>Refi 3 — Closing Costs ($)</t>
        </is>
      </c>
      <c r="C131" s="189" t="n">
        <v>0</v>
      </c>
      <c r="D131" s="182" t="n"/>
      <c r="E131" s="161" t="n"/>
      <c r="F131" s="161" t="n"/>
      <c r="G131" s="161" t="n"/>
      <c r="H131" s="161" t="n"/>
    </row>
    <row r="132" ht="7.5" customHeight="1" s="160">
      <c r="A132" s="182" t="n"/>
      <c r="B132" s="182" t="n"/>
      <c r="C132" s="182" t="n"/>
      <c r="D132" s="182" t="n"/>
      <c r="E132" s="161" t="n"/>
      <c r="F132" s="161" t="n"/>
      <c r="G132" s="161" t="n"/>
      <c r="H132" s="161" t="n"/>
    </row>
    <row r="133" ht="27.75" customHeight="1" s="160">
      <c r="A133" s="183" t="n"/>
      <c r="B133" s="184" t="inlineStr">
        <is>
          <t xml:space="preserve">  8. OPERATING ASSUMPTIONS — INCOME</t>
        </is>
      </c>
    </row>
    <row r="134" ht="15" customHeight="1" s="160">
      <c r="A134" s="182" t="n"/>
      <c r="B134" s="185" t="inlineStr">
        <is>
          <t>Vacancy &amp; Bad Debt Rate</t>
        </is>
      </c>
      <c r="C134" s="201" t="n">
        <v>0.075</v>
      </c>
      <c r="D134" s="182" t="n"/>
      <c r="E134" s="161" t="n"/>
      <c r="F134" s="161" t="n"/>
      <c r="G134" s="161" t="n"/>
      <c r="H134" s="161" t="n"/>
    </row>
    <row r="135" ht="15" customHeight="1" s="160">
      <c r="A135" s="182" t="n"/>
      <c r="B135" s="185" t="inlineStr">
        <is>
          <t>Annual Rent Growth</t>
        </is>
      </c>
      <c r="C135" s="201" t="n">
        <v>0.03</v>
      </c>
      <c r="D135" s="182" t="n"/>
      <c r="E135" s="161" t="n"/>
      <c r="F135" s="161" t="n"/>
      <c r="G135" s="161" t="n"/>
      <c r="H135" s="161" t="n"/>
    </row>
    <row r="136" ht="15" customHeight="1" s="160">
      <c r="A136" s="182" t="n"/>
      <c r="B136" s="185" t="inlineStr">
        <is>
          <t>Annual Expense Growth</t>
        </is>
      </c>
      <c r="C136" s="201" t="n">
        <v>0.03</v>
      </c>
      <c r="D136" s="182" t="n"/>
      <c r="E136" s="161" t="n"/>
      <c r="F136" s="161" t="n"/>
      <c r="G136" s="161" t="n"/>
      <c r="H136" s="161" t="n"/>
    </row>
    <row r="137" ht="15" customHeight="1" s="160">
      <c r="A137" s="182" t="n"/>
      <c r="B137" s="185" t="inlineStr">
        <is>
          <t>Loss to Lease (%)</t>
        </is>
      </c>
      <c r="C137" s="201" t="n">
        <v>0.03</v>
      </c>
      <c r="D137" s="182" t="n"/>
      <c r="E137" s="161" t="n"/>
      <c r="F137" s="161" t="n"/>
      <c r="G137" s="161" t="n"/>
      <c r="H137" s="161" t="n"/>
    </row>
    <row r="138" ht="15" customHeight="1" s="160">
      <c r="A138" s="182" t="n"/>
      <c r="B138" s="185" t="inlineStr">
        <is>
          <t>CAM Reimbursements (Year 1)</t>
        </is>
      </c>
      <c r="C138" s="189" t="n">
        <v>0</v>
      </c>
      <c r="D138" s="182" t="n"/>
      <c r="E138" s="161" t="n"/>
      <c r="F138" s="161" t="n"/>
      <c r="G138" s="161" t="n"/>
      <c r="H138" s="161" t="n"/>
    </row>
    <row r="139" ht="15" customHeight="1" s="160">
      <c r="A139" s="182" t="n"/>
      <c r="B139" s="185" t="inlineStr">
        <is>
          <t>Fee Income (Year 1)</t>
        </is>
      </c>
      <c r="C139" s="189" t="n">
        <v>6000</v>
      </c>
      <c r="D139" s="182" t="n"/>
      <c r="E139" s="161" t="n"/>
      <c r="F139" s="161" t="n"/>
      <c r="G139" s="161" t="n"/>
      <c r="H139" s="161" t="n"/>
    </row>
    <row r="140" ht="7.5" customHeight="1" s="160">
      <c r="A140" s="182" t="n"/>
      <c r="B140" s="182" t="n"/>
      <c r="C140" s="182" t="n"/>
      <c r="D140" s="182" t="n"/>
      <c r="E140" s="161" t="n"/>
      <c r="F140" s="161" t="n"/>
      <c r="G140" s="161" t="n"/>
      <c r="H140" s="161" t="n"/>
    </row>
    <row r="141" ht="27.75" customHeight="1" s="160">
      <c r="A141" s="183" t="n"/>
      <c r="B141" s="184" t="inlineStr">
        <is>
          <t xml:space="preserve">  9. OPERATING EXPENSES — FIXED (Year 1 Values)</t>
        </is>
      </c>
    </row>
    <row r="142" ht="15" customHeight="1" s="160">
      <c r="A142" s="182" t="n"/>
      <c r="B142" s="185" t="inlineStr">
        <is>
          <t>Real Estate Taxes</t>
        </is>
      </c>
      <c r="C142" s="189" t="n">
        <v>45000</v>
      </c>
      <c r="D142" s="182" t="n"/>
      <c r="E142" s="161" t="n"/>
      <c r="F142" s="161" t="n"/>
      <c r="G142" s="161" t="n"/>
      <c r="H142" s="161" t="n"/>
    </row>
    <row r="143" ht="15" customHeight="1" s="160">
      <c r="A143" s="182" t="n"/>
      <c r="B143" s="185" t="inlineStr">
        <is>
          <t>Insurance</t>
        </is>
      </c>
      <c r="C143" s="189" t="n">
        <v>18000</v>
      </c>
      <c r="D143" s="182" t="n"/>
      <c r="E143" s="161" t="n"/>
      <c r="F143" s="161" t="n"/>
      <c r="G143" s="161" t="n"/>
      <c r="H143" s="161" t="n"/>
    </row>
    <row r="144" ht="15" customHeight="1" s="160">
      <c r="A144" s="182" t="n"/>
      <c r="B144" s="185" t="inlineStr">
        <is>
          <t>Gas</t>
        </is>
      </c>
      <c r="C144" s="189" t="n">
        <v>12000</v>
      </c>
      <c r="D144" s="182" t="n"/>
      <c r="E144" s="161" t="n"/>
      <c r="F144" s="161" t="n"/>
      <c r="G144" s="161" t="n"/>
      <c r="H144" s="161" t="n"/>
    </row>
    <row r="145" ht="15" customHeight="1" s="160">
      <c r="A145" s="182" t="n"/>
      <c r="B145" s="185" t="inlineStr">
        <is>
          <t>Water &amp; Sewer</t>
        </is>
      </c>
      <c r="C145" s="189" t="n">
        <v>14000</v>
      </c>
      <c r="D145" s="182" t="n"/>
      <c r="E145" s="161" t="n"/>
      <c r="F145" s="161" t="n"/>
      <c r="G145" s="161" t="n"/>
      <c r="H145" s="161" t="n"/>
    </row>
    <row r="146" ht="15" customHeight="1" s="160">
      <c r="A146" s="182" t="n"/>
      <c r="B146" s="185" t="inlineStr">
        <is>
          <t>Electric</t>
        </is>
      </c>
      <c r="C146" s="189" t="n">
        <v>10000</v>
      </c>
      <c r="D146" s="182" t="n"/>
      <c r="E146" s="161" t="n"/>
      <c r="F146" s="161" t="n"/>
      <c r="G146" s="161" t="n"/>
      <c r="H146" s="161" t="n"/>
    </row>
    <row r="147" ht="15" customHeight="1" s="160">
      <c r="A147" s="182" t="n"/>
      <c r="B147" s="185" t="inlineStr">
        <is>
          <t>License / Inspections</t>
        </is>
      </c>
      <c r="C147" s="189" t="n">
        <v>2500</v>
      </c>
      <c r="D147" s="182" t="n"/>
      <c r="E147" s="161" t="n"/>
      <c r="F147" s="161" t="n"/>
      <c r="G147" s="161" t="n"/>
      <c r="H147" s="161" t="n"/>
    </row>
    <row r="148" ht="15" customHeight="1" s="160">
      <c r="A148" s="182" t="n"/>
      <c r="B148" s="185" t="inlineStr">
        <is>
          <t>Trash Removal</t>
        </is>
      </c>
      <c r="C148" s="189" t="n">
        <v>8000</v>
      </c>
      <c r="D148" s="182" t="n"/>
      <c r="E148" s="161" t="n"/>
      <c r="F148" s="161" t="n"/>
      <c r="G148" s="161" t="n"/>
      <c r="H148" s="161" t="n"/>
    </row>
    <row r="149" ht="15" customHeight="1" s="160">
      <c r="A149" s="182" t="n"/>
      <c r="B149" s="192" t="inlineStr">
        <is>
          <t>Total Fixed Expenses</t>
        </is>
      </c>
      <c r="C149" s="193">
        <f>SUM(C142:C148)</f>
        <v/>
      </c>
      <c r="D149" s="182" t="n"/>
      <c r="E149" s="161" t="n"/>
      <c r="F149" s="161" t="n"/>
      <c r="G149" s="161" t="n"/>
      <c r="H149" s="161" t="n"/>
    </row>
    <row r="150" ht="7.5" customHeight="1" s="160">
      <c r="A150" s="182" t="n"/>
      <c r="B150" s="182" t="n"/>
      <c r="C150" s="182" t="n"/>
      <c r="D150" s="182" t="n"/>
      <c r="E150" s="161" t="n"/>
      <c r="F150" s="161" t="n"/>
      <c r="G150" s="161" t="n"/>
      <c r="H150" s="161" t="n"/>
    </row>
    <row r="151" ht="27.75" customHeight="1" s="160">
      <c r="A151" s="183" t="n"/>
      <c r="B151" s="184" t="inlineStr">
        <is>
          <t xml:space="preserve">  10. OPERATING EXPENSES — VARIABLE (Year 1 Values)</t>
        </is>
      </c>
    </row>
    <row r="152" ht="15" customHeight="1" s="160">
      <c r="A152" s="182" t="n"/>
      <c r="B152" s="185" t="inlineStr">
        <is>
          <t>Management Fee (% of EGI)</t>
        </is>
      </c>
      <c r="C152" s="201" t="n">
        <v>0.06</v>
      </c>
      <c r="D152" s="182" t="n"/>
      <c r="E152" s="161" t="n"/>
      <c r="F152" s="161" t="n"/>
      <c r="G152" s="161" t="n"/>
      <c r="H152" s="161" t="n"/>
    </row>
    <row r="153" ht="15" customHeight="1" s="160">
      <c r="A153" s="182" t="n"/>
      <c r="B153" s="185" t="inlineStr">
        <is>
          <t>Salaries</t>
        </is>
      </c>
      <c r="C153" s="189" t="n">
        <v>24000</v>
      </c>
      <c r="D153" s="182" t="n"/>
      <c r="E153" s="161" t="n"/>
      <c r="F153" s="161" t="n"/>
      <c r="G153" s="161" t="n"/>
      <c r="H153" s="161" t="n"/>
    </row>
    <row r="154" ht="15" customHeight="1" s="160">
      <c r="A154" s="182" t="n"/>
      <c r="B154" s="185" t="inlineStr">
        <is>
          <t>Repairs</t>
        </is>
      </c>
      <c r="C154" s="189" t="n">
        <v>8000</v>
      </c>
      <c r="D154" s="182" t="n"/>
      <c r="E154" s="161" t="n"/>
      <c r="F154" s="161" t="n"/>
      <c r="G154" s="161" t="n"/>
      <c r="H154" s="161" t="n"/>
    </row>
    <row r="155" ht="15" customHeight="1" s="160">
      <c r="A155" s="182" t="n"/>
      <c r="B155" s="185" t="inlineStr">
        <is>
          <t>Exterminator</t>
        </is>
      </c>
      <c r="C155" s="189" t="n">
        <v>3600</v>
      </c>
      <c r="D155" s="182" t="n"/>
      <c r="E155" s="161" t="n"/>
      <c r="F155" s="161" t="n"/>
      <c r="G155" s="161" t="n"/>
      <c r="H155" s="161" t="n"/>
    </row>
    <row r="156" ht="15" customHeight="1" s="160">
      <c r="A156" s="182" t="n"/>
      <c r="B156" s="185" t="inlineStr">
        <is>
          <t>Cleaning / Maintenance</t>
        </is>
      </c>
      <c r="C156" s="189" t="n">
        <v>6000</v>
      </c>
      <c r="D156" s="182" t="n"/>
      <c r="E156" s="161" t="n"/>
      <c r="F156" s="161" t="n"/>
      <c r="G156" s="161" t="n"/>
      <c r="H156" s="161" t="n"/>
    </row>
    <row r="157" ht="15" customHeight="1" s="160">
      <c r="A157" s="182" t="n"/>
      <c r="B157" s="185" t="inlineStr">
        <is>
          <t>Turnover</t>
        </is>
      </c>
      <c r="C157" s="189" t="n">
        <v>5000</v>
      </c>
      <c r="D157" s="182" t="n"/>
      <c r="E157" s="161" t="n"/>
      <c r="F157" s="161" t="n"/>
      <c r="G157" s="161" t="n"/>
      <c r="H157" s="161" t="n"/>
    </row>
    <row r="158" ht="15" customHeight="1" s="160">
      <c r="A158" s="182" t="n"/>
      <c r="B158" s="185" t="inlineStr">
        <is>
          <t>Advertising</t>
        </is>
      </c>
      <c r="C158" s="189" t="n">
        <v>4000</v>
      </c>
      <c r="D158" s="182" t="n"/>
      <c r="E158" s="161" t="n"/>
      <c r="F158" s="161" t="n"/>
      <c r="G158" s="161" t="n"/>
      <c r="H158" s="161" t="n"/>
    </row>
    <row r="159" ht="15" customHeight="1" s="160">
      <c r="A159" s="182" t="n"/>
      <c r="B159" s="185" t="inlineStr">
        <is>
          <t>Landscape / Snow</t>
        </is>
      </c>
      <c r="C159" s="189" t="n">
        <v>6000</v>
      </c>
      <c r="D159" s="182" t="n"/>
      <c r="E159" s="161" t="n"/>
      <c r="F159" s="161" t="n"/>
      <c r="G159" s="161" t="n"/>
      <c r="H159" s="161" t="n"/>
    </row>
    <row r="160" ht="15" customHeight="1" s="160">
      <c r="A160" s="182" t="n"/>
      <c r="B160" s="185" t="inlineStr">
        <is>
          <t>Admin / Legal / Acct.</t>
        </is>
      </c>
      <c r="C160" s="189" t="n">
        <v>5000</v>
      </c>
      <c r="D160" s="182" t="n"/>
      <c r="E160" s="161" t="n"/>
      <c r="F160" s="161" t="n"/>
      <c r="G160" s="161" t="n"/>
      <c r="H160" s="161" t="n"/>
    </row>
    <row r="161" ht="15" customHeight="1" s="160">
      <c r="A161" s="182" t="n"/>
      <c r="B161" s="185" t="inlineStr">
        <is>
          <t>Office / Phone / Supplies</t>
        </is>
      </c>
      <c r="C161" s="189" t="n">
        <v>3000</v>
      </c>
      <c r="D161" s="182" t="n"/>
      <c r="E161" s="161" t="n"/>
      <c r="F161" s="161" t="n"/>
      <c r="G161" s="161" t="n"/>
      <c r="H161" s="161" t="n"/>
    </row>
    <row r="162" ht="15" customHeight="1" s="160">
      <c r="A162" s="182" t="n"/>
      <c r="B162" s="185" t="inlineStr">
        <is>
          <t>Miscellaneous</t>
        </is>
      </c>
      <c r="C162" s="189" t="n">
        <v>2000</v>
      </c>
      <c r="D162" s="182" t="n"/>
      <c r="E162" s="161" t="n"/>
      <c r="F162" s="161" t="n"/>
      <c r="G162" s="161" t="n"/>
      <c r="H162" s="161" t="n"/>
    </row>
    <row r="163" ht="15" customHeight="1" s="160">
      <c r="A163" s="182" t="n"/>
      <c r="B163" s="192" t="inlineStr">
        <is>
          <t>Total Variable Expenses (ex. Mgmt)</t>
        </is>
      </c>
      <c r="C163" s="193">
        <f>SUM(C153:C162)</f>
        <v/>
      </c>
      <c r="D163" s="182" t="n"/>
      <c r="E163" s="161" t="n"/>
      <c r="F163" s="161" t="n"/>
      <c r="G163" s="161" t="n"/>
      <c r="H163" s="161" t="n"/>
    </row>
    <row r="164" ht="7.5" customHeight="1" s="160">
      <c r="A164" s="182" t="n"/>
      <c r="B164" s="182" t="n"/>
      <c r="C164" s="182" t="n"/>
      <c r="D164" s="182" t="n"/>
      <c r="E164" s="161" t="n"/>
      <c r="F164" s="161" t="n"/>
      <c r="G164" s="161" t="n"/>
      <c r="H164" s="161" t="n"/>
    </row>
    <row r="165" ht="27.75" customHeight="1" s="160">
      <c r="A165" s="183" t="n"/>
      <c r="B165" s="184" t="inlineStr">
        <is>
          <t xml:space="preserve">  11. BELOW-THE-LINE ITEMS</t>
        </is>
      </c>
    </row>
    <row r="166" ht="15" customHeight="1" s="160">
      <c r="A166" s="182" t="n"/>
      <c r="B166" s="185" t="inlineStr">
        <is>
          <t>Commissions (Year 1)</t>
        </is>
      </c>
      <c r="C166" s="189" t="n">
        <v>0</v>
      </c>
      <c r="D166" s="182" t="n"/>
      <c r="E166" s="161" t="n"/>
      <c r="F166" s="161" t="n"/>
      <c r="G166" s="161" t="n"/>
      <c r="H166" s="161" t="n"/>
    </row>
    <row r="167" ht="15" customHeight="1" s="160">
      <c r="A167" s="182" t="n"/>
      <c r="B167" s="185" t="inlineStr">
        <is>
          <t>Capital Reserves ($/unit/year)</t>
        </is>
      </c>
      <c r="C167" s="189" t="n">
        <v>400</v>
      </c>
      <c r="D167" s="182" t="n"/>
      <c r="E167" s="161" t="n"/>
      <c r="F167" s="161" t="n"/>
      <c r="G167" s="161" t="n"/>
      <c r="H167" s="161" t="n"/>
    </row>
    <row r="168" ht="15" customHeight="1" s="160">
      <c r="A168" s="182" t="n"/>
      <c r="B168" s="185" t="inlineStr">
        <is>
          <t>Renovations (Year 1)</t>
        </is>
      </c>
      <c r="C168" s="189" t="n">
        <v>0</v>
      </c>
      <c r="D168" s="182" t="n"/>
      <c r="E168" s="161" t="n"/>
      <c r="F168" s="161" t="n"/>
      <c r="G168" s="161" t="n"/>
      <c r="H168" s="161" t="n"/>
    </row>
    <row r="169" ht="7.5" customHeight="1" s="160">
      <c r="A169" s="161" t="n"/>
      <c r="B169" s="206" t="inlineStr">
        <is>
          <t xml:space="preserve">  11A. DEVELOPMENT PERIOD &amp; CARRY COSTS</t>
        </is>
      </c>
      <c r="C169" s="207" t="n"/>
      <c r="D169" s="207" t="n"/>
      <c r="E169" s="207" t="n"/>
      <c r="F169" s="207" t="n"/>
      <c r="G169" s="207" t="n"/>
      <c r="H169" s="207" t="n"/>
    </row>
    <row r="170" ht="27.75" customHeight="1" s="160">
      <c r="A170" s="161" t="n"/>
      <c r="B170" s="179" t="inlineStr">
        <is>
          <t>Set to 0 for stabilized acquisitions with no construction.</t>
        </is>
      </c>
    </row>
    <row r="171" ht="15" customHeight="1" s="160">
      <c r="A171" s="161" t="n"/>
      <c r="B171" s="208" t="inlineStr">
        <is>
          <t xml:space="preserve">  CONSTRUCTION / RENOVATION</t>
        </is>
      </c>
      <c r="C171" s="209" t="n"/>
      <c r="D171" s="209" t="n"/>
      <c r="E171" s="209" t="n"/>
      <c r="F171" s="209" t="n"/>
      <c r="G171" s="209" t="n"/>
      <c r="H171" s="209" t="n"/>
    </row>
    <row r="172" ht="15" customHeight="1" s="160">
      <c r="A172" s="161" t="n"/>
      <c r="B172" s="182" t="inlineStr">
        <is>
          <t>Construction/Reno Period (Months)</t>
        </is>
      </c>
      <c r="C172" s="210" t="n">
        <v>0</v>
      </c>
      <c r="D172" s="161" t="n"/>
    </row>
    <row r="173" ht="7.5" customHeight="1" s="160">
      <c r="A173" s="161" t="n"/>
      <c r="B173" s="182" t="inlineStr">
        <is>
          <t>Construction Loan Rate</t>
        </is>
      </c>
      <c r="C173" s="211" t="n">
        <v>0.08</v>
      </c>
      <c r="D173" s="161" t="n"/>
    </row>
    <row r="174" ht="27.75" customHeight="1" s="160">
      <c r="A174" s="161" t="n"/>
      <c r="B174" s="182" t="inlineStr">
        <is>
          <t>Construction Budget (Hard Costs)</t>
        </is>
      </c>
      <c r="C174" s="212" t="n">
        <v>0</v>
      </c>
    </row>
    <row r="175" ht="15" customHeight="1" s="160">
      <c r="A175" s="161" t="n"/>
      <c r="B175" s="182" t="inlineStr">
        <is>
          <t>Construction Budget (Soft Costs)</t>
        </is>
      </c>
      <c r="C175" s="213" t="n">
        <v>0</v>
      </c>
      <c r="D175" s="161" t="n"/>
    </row>
    <row r="176" ht="15" customHeight="1" s="160">
      <c r="A176" s="161" t="n"/>
      <c r="B176" s="182" t="inlineStr">
        <is>
          <t>Total Construction Budget</t>
        </is>
      </c>
      <c r="C176" s="194">
        <f>C174+C175</f>
        <v/>
      </c>
      <c r="D176" s="161" t="n"/>
    </row>
    <row r="177" ht="15" customHeight="1" s="160">
      <c r="A177" s="161" t="n"/>
      <c r="B177" s="182" t="inlineStr">
        <is>
          <t>Monthly Draw Rate (% of budget)</t>
        </is>
      </c>
      <c r="C177" s="214" t="n">
        <v>0</v>
      </c>
      <c r="D177" s="161" t="n"/>
    </row>
    <row r="178" ht="15" customHeight="1" s="160">
      <c r="A178" s="161" t="n"/>
      <c r="B178" s="182" t="inlineStr">
        <is>
          <t>Est. Interest Carry</t>
        </is>
      </c>
      <c r="C178" s="194">
        <f>C173*C174*(C172/12)/2</f>
        <v/>
      </c>
      <c r="D178" s="161" t="n"/>
    </row>
    <row r="179" ht="15" customHeight="1" s="160">
      <c r="A179" s="161" t="n"/>
      <c r="B179" s="161" t="n"/>
      <c r="C179" s="161" t="n"/>
      <c r="D179" s="161" t="n"/>
    </row>
    <row r="180" ht="7.5" customHeight="1" s="160">
      <c r="A180" s="161" t="n"/>
      <c r="B180" s="208" t="inlineStr">
        <is>
          <t xml:space="preserve">  LEASE-UP PERIOD</t>
        </is>
      </c>
      <c r="C180" s="209" t="n"/>
      <c r="D180" s="209" t="n"/>
      <c r="E180" s="209" t="n"/>
      <c r="F180" s="209" t="n"/>
      <c r="G180" s="209" t="n"/>
      <c r="H180" s="209" t="n"/>
    </row>
    <row r="181" ht="21.75" customHeight="1" s="160">
      <c r="A181" s="161" t="n"/>
      <c r="B181" s="182" t="inlineStr">
        <is>
          <t>Lease-Up Period (Months)</t>
        </is>
      </c>
      <c r="C181" s="215" t="n">
        <v>0</v>
      </c>
      <c r="D181" s="161" t="n"/>
    </row>
    <row r="182" ht="15" customHeight="1" s="160">
      <c r="A182" s="161" t="n"/>
      <c r="B182" s="182" t="inlineStr">
        <is>
          <t>Lease-Up Vacancy Rate</t>
        </is>
      </c>
      <c r="C182" s="214" t="n">
        <v>0.25</v>
      </c>
      <c r="D182" s="161" t="n"/>
    </row>
    <row r="183" ht="15" customHeight="1" s="160">
      <c r="A183" s="161" t="n"/>
      <c r="B183" s="182" t="inlineStr">
        <is>
          <t>Lease-Up Concessions ($)</t>
        </is>
      </c>
      <c r="C183" s="213" t="n">
        <v>0</v>
      </c>
      <c r="D183" s="161" t="n"/>
    </row>
    <row r="184" ht="15" customHeight="1" s="160">
      <c r="A184" s="161" t="n"/>
      <c r="B184" s="182" t="inlineStr">
        <is>
          <t>Marketing During Lease-Up ($)</t>
        </is>
      </c>
      <c r="C184" s="213" t="n">
        <v>0</v>
      </c>
      <c r="D184" s="161" t="n"/>
    </row>
    <row r="185" ht="15" customHeight="1" s="160">
      <c r="A185" s="161" t="n"/>
      <c r="B185" s="161" t="n"/>
      <c r="C185" s="161" t="n"/>
      <c r="D185" s="161" t="n"/>
    </row>
    <row r="186" ht="15" customHeight="1" s="160">
      <c r="A186" s="161" t="n"/>
      <c r="B186" s="208" t="inlineStr">
        <is>
          <t xml:space="preserve">  TOTAL CARRY COSTS (PRE-STABILIZATION)</t>
        </is>
      </c>
      <c r="C186" s="209" t="n"/>
      <c r="D186" s="209" t="n"/>
      <c r="E186" s="209" t="n"/>
      <c r="F186" s="209" t="n"/>
      <c r="G186" s="209" t="n"/>
      <c r="H186" s="209" t="n"/>
    </row>
    <row r="187" ht="15" customHeight="1" s="160">
      <c r="A187" s="161" t="n"/>
      <c r="B187" s="182" t="inlineStr">
        <is>
          <t>Total Carry Costs</t>
        </is>
      </c>
      <c r="C187" s="194">
        <f>C178+C183+C184</f>
        <v/>
      </c>
      <c r="D187" s="161" t="n"/>
    </row>
    <row r="188" ht="15" customHeight="1" s="160">
      <c r="A188" s="161" t="n"/>
      <c r="B188" s="161" t="n"/>
      <c r="C188" s="161" t="n"/>
      <c r="D188" s="161" t="n"/>
    </row>
    <row r="189" ht="15" customHeight="1" s="160">
      <c r="A189" s="161" t="n"/>
      <c r="B189" s="161" t="n"/>
      <c r="C189" s="161" t="n"/>
      <c r="D189" s="161" t="n"/>
    </row>
    <row r="190" ht="15" customHeight="1" s="160">
      <c r="A190" s="161" t="n"/>
      <c r="B190" s="161" t="n"/>
      <c r="C190" s="161" t="n"/>
      <c r="D190" s="161" t="n"/>
    </row>
    <row r="191" ht="15" customHeight="1" s="160">
      <c r="A191" s="182" t="n"/>
      <c r="B191" s="182" t="n"/>
      <c r="C191" s="182" t="n"/>
      <c r="D191" s="182" t="n"/>
      <c r="E191" s="161" t="n"/>
      <c r="F191" s="161" t="n"/>
      <c r="G191" s="161" t="n"/>
      <c r="H191" s="161" t="n"/>
    </row>
    <row r="192" ht="7.5" customHeight="1" s="160">
      <c r="A192" s="183" t="n"/>
      <c r="B192" s="184" t="inlineStr">
        <is>
          <t xml:space="preserve">  12. EXIT ASSUMPTIONS</t>
        </is>
      </c>
    </row>
    <row r="193" ht="27.75" customHeight="1" s="160">
      <c r="A193" s="182" t="n"/>
      <c r="B193" s="185" t="inlineStr">
        <is>
          <t>Exit Cap Rate</t>
        </is>
      </c>
      <c r="C193" s="216" t="n">
        <v>0.07000000000000001</v>
      </c>
    </row>
    <row r="194" ht="15" customHeight="1" s="160">
      <c r="A194" s="182" t="n"/>
      <c r="B194" s="185" t="inlineStr">
        <is>
          <t>Disposition Costs (% of Sale)</t>
        </is>
      </c>
      <c r="C194" s="201" t="n">
        <v>0.02</v>
      </c>
      <c r="D194" s="182" t="n"/>
      <c r="E194" s="161" t="n"/>
      <c r="F194" s="161" t="n"/>
      <c r="G194" s="161" t="n"/>
      <c r="H194" s="161" t="n"/>
    </row>
    <row r="195" ht="15" customHeight="1" s="160">
      <c r="A195" s="182" t="n"/>
      <c r="B195" s="182" t="n"/>
      <c r="C195" s="182" t="n"/>
      <c r="D195" s="182" t="n"/>
      <c r="E195" s="161" t="n"/>
      <c r="F195" s="161" t="n"/>
      <c r="G195" s="161" t="n"/>
      <c r="H195" s="161" t="n"/>
    </row>
    <row r="196" ht="15" customHeight="1" s="160">
      <c r="A196" s="183" t="n"/>
      <c r="B196" s="184" t="inlineStr">
        <is>
          <t xml:space="preserve">  13. WATERFALL / PARTNERSHIP STRUCTURE</t>
        </is>
      </c>
    </row>
    <row r="197" ht="7.5" customHeight="1" s="160">
      <c r="A197" s="182" t="n"/>
      <c r="B197" s="185" t="inlineStr">
        <is>
          <t>GP Equity Contribution (%)</t>
        </is>
      </c>
      <c r="C197" s="201" t="n">
        <v>0</v>
      </c>
      <c r="D197" s="182" t="n"/>
      <c r="E197" s="161" t="n"/>
      <c r="F197" s="161" t="n"/>
      <c r="G197" s="161" t="n"/>
      <c r="H197" s="179" t="inlineStr">
        <is>
          <t>0% = no GP co-invest</t>
        </is>
      </c>
    </row>
    <row r="198" ht="27.75" customHeight="1" s="160">
      <c r="A198" s="182" t="n"/>
      <c r="B198" s="185" t="inlineStr">
        <is>
          <t>LP Equity Contribution (%)</t>
        </is>
      </c>
      <c r="C198" s="159">
        <f>1-C197</f>
        <v/>
      </c>
    </row>
    <row r="199" ht="15" customHeight="1" s="160">
      <c r="A199" s="182" t="n"/>
      <c r="B199" s="185" t="inlineStr">
        <is>
          <t>Waterfall Type (1=Full, 0=Simple)</t>
        </is>
      </c>
      <c r="C199" s="187" t="n">
        <v>1</v>
      </c>
      <c r="D199" s="182" t="n"/>
      <c r="E199" s="161" t="n"/>
      <c r="F199" s="161" t="n"/>
      <c r="G199" s="161" t="n"/>
      <c r="H199" s="179" t="inlineStr">
        <is>
          <t>1 = tiered promote</t>
        </is>
      </c>
    </row>
    <row r="200" ht="15" customHeight="1" s="160">
      <c r="A200" s="182" t="n"/>
      <c r="B200" s="185" t="inlineStr">
        <is>
          <t>Simple Split — LP %</t>
        </is>
      </c>
      <c r="C200" s="201" t="n">
        <v>0.8</v>
      </c>
      <c r="D200" s="182" t="n"/>
      <c r="E200" s="161" t="n"/>
      <c r="F200" s="161" t="n"/>
      <c r="G200" s="161" t="n"/>
      <c r="H200" s="179" t="inlineStr">
        <is>
          <t>Only used if Type = 0</t>
        </is>
      </c>
    </row>
    <row r="201" ht="15" customHeight="1" s="160">
      <c r="A201" s="182" t="n"/>
      <c r="B201" s="185" t="inlineStr">
        <is>
          <t>Simple Split — GP %</t>
        </is>
      </c>
      <c r="C201" s="201" t="n">
        <v>0.2</v>
      </c>
      <c r="D201" s="182" t="n"/>
      <c r="E201" s="161" t="n"/>
      <c r="F201" s="161" t="n"/>
      <c r="G201" s="161" t="n"/>
      <c r="H201" s="161" t="n"/>
    </row>
    <row r="202" ht="15" customHeight="1" s="160">
      <c r="A202" s="182" t="n"/>
      <c r="B202" s="182" t="n"/>
      <c r="C202" s="182" t="n"/>
      <c r="D202" s="182" t="n"/>
      <c r="E202" s="161" t="n"/>
      <c r="F202" s="161" t="n"/>
      <c r="G202" s="161" t="n"/>
      <c r="H202" s="161" t="n"/>
    </row>
    <row r="203" ht="15" customHeight="1" s="160">
      <c r="A203" s="182" t="n"/>
      <c r="B203" s="196" t="inlineStr">
        <is>
          <t xml:space="preserve">  FULL WATERFALL — TIER STRUCTURE</t>
        </is>
      </c>
      <c r="D203" s="182" t="n"/>
      <c r="E203" s="161" t="n"/>
      <c r="F203" s="161" t="n"/>
      <c r="G203" s="161" t="n"/>
      <c r="H203" s="161" t="n"/>
    </row>
    <row r="204" ht="15" customHeight="1" s="160">
      <c r="A204" s="182" t="n"/>
      <c r="B204" s="185" t="inlineStr">
        <is>
          <t xml:space="preserve">  Tier 1: Preferred Return (Hurdle)</t>
        </is>
      </c>
      <c r="C204" s="201" t="n">
        <v>0.08</v>
      </c>
      <c r="D204" s="182" t="n"/>
      <c r="E204" s="161" t="n"/>
      <c r="F204" s="161" t="n"/>
      <c r="G204" s="161" t="n"/>
      <c r="H204" s="179" t="inlineStr">
        <is>
          <t>LP 100% / GP 0%</t>
        </is>
      </c>
    </row>
    <row r="205" ht="15" customHeight="1" s="160">
      <c r="A205" s="182" t="n"/>
      <c r="B205" s="185" t="inlineStr">
        <is>
          <t xml:space="preserve">  Tier 2: IRR Hurdle</t>
        </is>
      </c>
      <c r="C205" s="201" t="n">
        <v>0.12</v>
      </c>
      <c r="D205" s="182" t="n"/>
      <c r="E205" s="161" t="n"/>
      <c r="F205" s="161" t="n"/>
      <c r="G205" s="161" t="n"/>
      <c r="H205" s="161" t="n"/>
    </row>
    <row r="206" ht="15" customHeight="1" s="160">
      <c r="A206" s="182" t="n"/>
      <c r="B206" s="185" t="inlineStr">
        <is>
          <t xml:space="preserve">  Tier 2: LP Share</t>
        </is>
      </c>
      <c r="C206" s="201" t="n">
        <v>0.7</v>
      </c>
      <c r="D206" s="182" t="n"/>
      <c r="E206" s="161" t="n"/>
      <c r="F206" s="161" t="n"/>
      <c r="G206" s="161" t="n"/>
      <c r="H206" s="179" t="inlineStr">
        <is>
          <t>GP gets 30%</t>
        </is>
      </c>
    </row>
    <row r="207" ht="15" customHeight="1" s="160">
      <c r="A207" s="182" t="n"/>
      <c r="B207" s="185" t="inlineStr">
        <is>
          <t xml:space="preserve">  Tier 3: IRR Hurdle</t>
        </is>
      </c>
      <c r="C207" s="201" t="n">
        <v>0.15</v>
      </c>
      <c r="D207" s="182" t="n"/>
      <c r="E207" s="161" t="n"/>
      <c r="F207" s="161" t="n"/>
      <c r="G207" s="161" t="n"/>
      <c r="H207" s="161" t="n"/>
    </row>
    <row r="208" ht="15" customHeight="1" s="160">
      <c r="A208" s="182" t="n"/>
      <c r="B208" s="185" t="inlineStr">
        <is>
          <t xml:space="preserve">  Tier 3: LP Share</t>
        </is>
      </c>
      <c r="C208" s="201" t="n">
        <v>0.6</v>
      </c>
      <c r="D208" s="182" t="n"/>
      <c r="E208" s="161" t="n"/>
      <c r="F208" s="161" t="n"/>
      <c r="G208" s="161" t="n"/>
      <c r="H208" s="179" t="inlineStr">
        <is>
          <t>GP gets 40%</t>
        </is>
      </c>
    </row>
    <row r="209" ht="15" customHeight="1" s="160">
      <c r="A209" s="182" t="n"/>
      <c r="B209" s="185" t="inlineStr">
        <is>
          <t xml:space="preserve">  Tier 4: IRR Hurdle</t>
        </is>
      </c>
      <c r="C209" s="201" t="n">
        <v>0.18</v>
      </c>
      <c r="D209" s="182" t="n"/>
      <c r="E209" s="161" t="n"/>
      <c r="F209" s="161" t="n"/>
      <c r="G209" s="161" t="n"/>
      <c r="H209" s="161" t="n"/>
    </row>
    <row r="210" ht="15" customHeight="1" s="160">
      <c r="A210" s="182" t="n"/>
      <c r="B210" s="185" t="inlineStr">
        <is>
          <t xml:space="preserve">  Tier 4: LP Share</t>
        </is>
      </c>
      <c r="C210" s="201" t="n">
        <v>0.3</v>
      </c>
      <c r="D210" s="182" t="n"/>
      <c r="E210" s="161" t="n"/>
      <c r="F210" s="161" t="n"/>
      <c r="G210" s="161" t="n"/>
      <c r="H210" s="179" t="inlineStr">
        <is>
          <t>GP gets 70%</t>
        </is>
      </c>
    </row>
    <row r="211" ht="15" customHeight="1" s="160">
      <c r="A211" s="182" t="n"/>
      <c r="B211" s="185" t="inlineStr">
        <is>
          <t xml:space="preserve">  Tier 5: IRR Hurdle</t>
        </is>
      </c>
      <c r="C211" s="201" t="n">
        <v>0.24</v>
      </c>
      <c r="D211" s="182" t="n"/>
      <c r="E211" s="161" t="n"/>
      <c r="F211" s="161" t="n"/>
      <c r="G211" s="161" t="n"/>
      <c r="H211" s="161" t="n"/>
    </row>
    <row r="212" ht="15" customHeight="1" s="160">
      <c r="A212" s="182" t="n"/>
      <c r="B212" s="185" t="inlineStr">
        <is>
          <t xml:space="preserve">  Tier 5: LP Share</t>
        </is>
      </c>
      <c r="C212" s="201" t="n">
        <v>0.2</v>
      </c>
      <c r="D212" s="182" t="n"/>
      <c r="E212" s="161" t="n"/>
      <c r="F212" s="161" t="n"/>
      <c r="G212" s="161" t="n"/>
      <c r="H212" s="179" t="inlineStr">
        <is>
          <t>GP gets 80%</t>
        </is>
      </c>
    </row>
    <row r="213" ht="15" customHeight="1" s="160">
      <c r="A213" s="182" t="n"/>
      <c r="B213" s="185" t="inlineStr">
        <is>
          <t xml:space="preserve">  Tier 6 (above Tier 5): LP Share</t>
        </is>
      </c>
      <c r="C213" s="201" t="n">
        <v>0.1</v>
      </c>
      <c r="D213" s="182" t="n"/>
      <c r="E213" s="161" t="n"/>
      <c r="F213" s="161" t="n"/>
      <c r="G213" s="161" t="n"/>
      <c r="H213" s="179" t="inlineStr">
        <is>
          <t>GP gets 90%</t>
        </is>
      </c>
    </row>
    <row r="214" ht="15" customHeight="1" s="160">
      <c r="A214" s="182" t="n"/>
      <c r="B214" s="182" t="n"/>
      <c r="C214" s="182" t="n"/>
      <c r="D214" s="182" t="n"/>
      <c r="E214" s="161" t="n"/>
      <c r="F214" s="161" t="n"/>
      <c r="G214" s="161" t="n"/>
      <c r="H214" s="161" t="n"/>
    </row>
    <row r="215" ht="15.75" customHeight="1" s="160">
      <c r="A215" s="183" t="n"/>
      <c r="B215" s="184" t="inlineStr">
        <is>
          <t xml:space="preserve">  14. EQUITY MULTIPLE HURDLES (if EM method used)</t>
        </is>
      </c>
    </row>
    <row r="216" ht="15" customHeight="1" s="160">
      <c r="A216" s="182" t="n"/>
      <c r="B216" s="185" t="inlineStr">
        <is>
          <t xml:space="preserve">  Tier 1 EM Hurdle</t>
        </is>
      </c>
      <c r="C216" s="217" t="n">
        <v>2</v>
      </c>
      <c r="D216" s="182" t="n"/>
      <c r="E216" s="161" t="n"/>
      <c r="F216" s="161" t="n"/>
      <c r="G216" s="161" t="n"/>
      <c r="H216" s="161" t="n"/>
    </row>
    <row r="217" ht="15" customHeight="1" s="160">
      <c r="A217" s="182" t="n"/>
      <c r="B217" s="185" t="inlineStr">
        <is>
          <t xml:space="preserve">  Tier 2 EM Hurdle</t>
        </is>
      </c>
      <c r="C217" s="217" t="n">
        <v>2.5</v>
      </c>
      <c r="D217" s="182" t="n"/>
      <c r="E217" s="161" t="n"/>
      <c r="F217" s="161" t="n"/>
      <c r="G217" s="161" t="n"/>
      <c r="H217" s="161" t="n"/>
    </row>
    <row r="218" ht="15" customHeight="1" s="160">
      <c r="A218" s="182" t="n"/>
      <c r="B218" s="185" t="inlineStr">
        <is>
          <t xml:space="preserve">  Tier 3 EM Hurdle</t>
        </is>
      </c>
      <c r="C218" s="217" t="n">
        <v>3</v>
      </c>
      <c r="D218" s="182" t="n"/>
      <c r="E218" s="161" t="n"/>
      <c r="F218" s="161" t="n"/>
      <c r="G218" s="161" t="n"/>
      <c r="H218" s="161" t="n"/>
    </row>
    <row r="219" ht="15" customHeight="1" s="160">
      <c r="A219" s="182" t="n"/>
      <c r="B219" s="182" t="n"/>
      <c r="C219" s="182" t="n"/>
      <c r="D219" s="182" t="n"/>
      <c r="E219" s="161" t="n"/>
      <c r="F219" s="161" t="n"/>
      <c r="G219" s="161" t="n"/>
      <c r="H219" s="161" t="n"/>
    </row>
    <row r="220" ht="15.75" customHeight="1" s="160">
      <c r="A220" s="183" t="n"/>
      <c r="B220" s="184" t="inlineStr">
        <is>
          <t xml:space="preserve">  15. SENSITIVITY ANALYSIS RANGES</t>
        </is>
      </c>
    </row>
    <row r="221" ht="15" customHeight="1" s="160">
      <c r="A221" s="182" t="n"/>
      <c r="B221" s="179" t="inlineStr">
        <is>
          <t>Define the axes of the sensitivity matrix.</t>
        </is>
      </c>
      <c r="C221" s="182" t="n"/>
      <c r="D221" s="182" t="n"/>
      <c r="E221" s="161" t="n"/>
      <c r="F221" s="161" t="n"/>
      <c r="G221" s="161" t="n"/>
      <c r="H221" s="161" t="n"/>
    </row>
    <row r="222" ht="15" customHeight="1" s="160">
      <c r="A222" s="182" t="n"/>
      <c r="B222" s="185" t="inlineStr">
        <is>
          <t>Rent Growth — Low</t>
        </is>
      </c>
      <c r="C222" s="201" t="n">
        <v>0</v>
      </c>
      <c r="D222" s="182" t="n"/>
      <c r="E222" s="161" t="n"/>
      <c r="F222" s="161" t="n"/>
      <c r="G222" s="161" t="n"/>
      <c r="H222" s="161" t="n"/>
    </row>
    <row r="223" ht="15" customHeight="1" s="160">
      <c r="A223" s="182" t="n"/>
      <c r="B223" s="185" t="inlineStr">
        <is>
          <t>Rent Growth — High</t>
        </is>
      </c>
      <c r="C223" s="201" t="n">
        <v>0.05</v>
      </c>
      <c r="D223" s="182" t="n"/>
      <c r="E223" s="161" t="n"/>
      <c r="F223" s="161" t="n"/>
      <c r="G223" s="161" t="n"/>
      <c r="H223" s="161" t="n"/>
    </row>
    <row r="224" ht="15" customHeight="1" s="160">
      <c r="A224" s="182" t="n"/>
      <c r="B224" s="185" t="inlineStr">
        <is>
          <t>Rent Growth — Step</t>
        </is>
      </c>
      <c r="C224" s="201" t="n">
        <v>0.01</v>
      </c>
      <c r="D224" s="182" t="n"/>
      <c r="E224" s="161" t="n"/>
      <c r="F224" s="161" t="n"/>
      <c r="G224" s="161" t="n"/>
      <c r="H224" s="161" t="n"/>
    </row>
    <row r="225" ht="15" customHeight="1" s="160">
      <c r="A225" s="182" t="n"/>
      <c r="B225" s="185" t="inlineStr">
        <is>
          <t>Exit Cap — Low</t>
        </is>
      </c>
      <c r="C225" s="190" t="n">
        <v>0.055</v>
      </c>
      <c r="D225" s="182" t="n"/>
      <c r="E225" s="161" t="n"/>
      <c r="F225" s="161" t="n"/>
      <c r="G225" s="161" t="n"/>
      <c r="H225" s="161" t="n"/>
    </row>
    <row r="226" ht="15" customHeight="1" s="160">
      <c r="A226" s="182" t="n"/>
      <c r="B226" s="185" t="inlineStr">
        <is>
          <t>Exit Cap — High</t>
        </is>
      </c>
      <c r="C226" s="190" t="n">
        <v>0.08500000000000001</v>
      </c>
      <c r="D226" s="182" t="n"/>
      <c r="E226" s="161" t="n"/>
      <c r="F226" s="161" t="n"/>
      <c r="G226" s="161" t="n"/>
      <c r="H226" s="161" t="n"/>
    </row>
    <row r="227" ht="15" customHeight="1" s="160">
      <c r="A227" s="182" t="n"/>
      <c r="B227" s="185" t="inlineStr">
        <is>
          <t>Exit Cap — Step</t>
        </is>
      </c>
      <c r="C227" s="190" t="n">
        <v>0.005</v>
      </c>
      <c r="D227" s="182" t="n"/>
      <c r="E227" s="161" t="n"/>
      <c r="F227" s="161" t="n"/>
      <c r="G227" s="161" t="n"/>
      <c r="H227" s="161" t="n"/>
    </row>
  </sheetData>
  <mergeCells count="19">
    <mergeCell ref="B47:C47"/>
    <mergeCell ref="B62:C62"/>
    <mergeCell ref="B81:C81"/>
    <mergeCell ref="B133:H133"/>
    <mergeCell ref="A1:H1"/>
    <mergeCell ref="B94:H94"/>
    <mergeCell ref="B4:H4"/>
    <mergeCell ref="B16:H16"/>
    <mergeCell ref="B25:H25"/>
    <mergeCell ref="B165:H165"/>
    <mergeCell ref="B53:C53"/>
    <mergeCell ref="B141:H141"/>
    <mergeCell ref="A2:H2"/>
    <mergeCell ref="B28:C28"/>
    <mergeCell ref="B151:H151"/>
    <mergeCell ref="B120:H120"/>
    <mergeCell ref="B107:H107"/>
    <mergeCell ref="B33:C33"/>
    <mergeCell ref="B69:H6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3E6844"/>
    <outlinePr summaryBelow="1" summaryRight="1"/>
    <pageSetUpPr fitToPage="0"/>
  </sheetPr>
  <dimension ref="A1:C6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2" customWidth="1" style="159" min="1" max="1"/>
    <col width="20" customWidth="1" style="159" min="2" max="2"/>
    <col width="18" customWidth="1" style="159" min="3" max="3"/>
  </cols>
  <sheetData>
    <row r="1" ht="19.5" customHeight="1" s="160">
      <c r="A1" s="218" t="inlineStr">
        <is>
          <t>SOURCES &amp; USES</t>
        </is>
      </c>
    </row>
    <row r="2" ht="15" customHeight="1" s="160">
      <c r="A2" s="179" t="inlineStr">
        <is>
          <t>All values reference Assumptions tab. No hardcoded numbers.</t>
        </is>
      </c>
    </row>
    <row r="3" ht="15" customHeight="1" s="160">
      <c r="A3" s="161" t="n"/>
      <c r="B3" s="161" t="n"/>
      <c r="C3" s="161" t="n"/>
    </row>
    <row r="4" ht="15" customHeight="1" s="160">
      <c r="A4" s="219" t="inlineStr">
        <is>
          <t>Line Item</t>
        </is>
      </c>
      <c r="B4" s="219" t="inlineStr">
        <is>
          <t>Amount</t>
        </is>
      </c>
      <c r="C4" s="219" t="inlineStr">
        <is>
          <t>% of Total</t>
        </is>
      </c>
    </row>
    <row r="5" ht="15" customHeight="1" s="160">
      <c r="A5" s="220" t="inlineStr">
        <is>
          <t>Acquisition Costs</t>
        </is>
      </c>
      <c r="B5" s="221" t="n"/>
      <c r="C5" s="221" t="n"/>
    </row>
    <row r="6" ht="15" customHeight="1" s="160">
      <c r="A6" s="166" t="inlineStr">
        <is>
          <t xml:space="preserve">  Purchase Price</t>
        </is>
      </c>
      <c r="B6" s="222">
        <f>Assumptions!C17</f>
        <v/>
      </c>
      <c r="C6" s="223">
        <f>IF(B51&lt;&gt;0,B6/B51,0)</f>
        <v/>
      </c>
    </row>
    <row r="7" ht="15" customHeight="1" s="160">
      <c r="A7" s="166" t="inlineStr">
        <is>
          <t xml:space="preserve">  Transfer Tax</t>
        </is>
      </c>
      <c r="B7" s="222">
        <f>Assumptions!C19</f>
        <v/>
      </c>
      <c r="C7" s="223">
        <f>IF(B51&lt;&gt;0,B7/B51,0)</f>
        <v/>
      </c>
    </row>
    <row r="8" ht="15" customHeight="1" s="160">
      <c r="A8" s="166" t="inlineStr">
        <is>
          <t xml:space="preserve">  Tenant Buyout</t>
        </is>
      </c>
      <c r="B8" s="222">
        <f>Assumptions!C31</f>
        <v/>
      </c>
      <c r="C8" s="223">
        <f>IF(B51&lt;&gt;0,B8/B51,0)</f>
        <v/>
      </c>
    </row>
    <row r="9" ht="15" customHeight="1" s="160">
      <c r="A9" s="224" t="inlineStr">
        <is>
          <t xml:space="preserve">  Subtotal — Acquisition Costs</t>
        </is>
      </c>
      <c r="B9" s="193">
        <f>SUM(B6:B8)</f>
        <v/>
      </c>
      <c r="C9" s="225">
        <f>IF(B51&lt;&gt;0,B9/B51,0)</f>
        <v/>
      </c>
    </row>
    <row r="10" ht="15" customHeight="1" s="160">
      <c r="A10" s="161" t="n"/>
      <c r="B10" s="161" t="n"/>
      <c r="C10" s="161" t="n"/>
    </row>
    <row r="11" ht="15" customHeight="1" s="160">
      <c r="A11" s="226" t="inlineStr">
        <is>
          <t>Professional &amp; Due Diligence</t>
        </is>
      </c>
      <c r="B11" s="221" t="n"/>
      <c r="C11" s="221" t="n"/>
    </row>
    <row r="12" ht="15" customHeight="1" s="160">
      <c r="A12" s="166" t="inlineStr">
        <is>
          <t xml:space="preserve">  Legal — Closing &amp; Borrowing</t>
        </is>
      </c>
      <c r="B12" s="222">
        <f>Assumptions!C34</f>
        <v/>
      </c>
      <c r="C12" s="223">
        <f>IF(B51&lt;&gt;0,B12/B51,0)</f>
        <v/>
      </c>
    </row>
    <row r="13" ht="15" customHeight="1" s="160">
      <c r="A13" s="166" t="inlineStr">
        <is>
          <t xml:space="preserve">  Title Insurance</t>
        </is>
      </c>
      <c r="B13" s="222">
        <f>Assumptions!C35</f>
        <v/>
      </c>
      <c r="C13" s="223">
        <f>IF(B51&lt;&gt;0,B13/B51,0)</f>
        <v/>
      </c>
    </row>
    <row r="14" ht="15" customHeight="1" s="160">
      <c r="A14" s="166" t="inlineStr">
        <is>
          <t xml:space="preserve">  Legal — Bank</t>
        </is>
      </c>
      <c r="B14" s="222">
        <f>Assumptions!C36</f>
        <v/>
      </c>
      <c r="C14" s="223">
        <f>IF(B51&lt;&gt;0,B14/B51,0)</f>
        <v/>
      </c>
    </row>
    <row r="15" ht="15" customHeight="1" s="160">
      <c r="A15" s="166" t="inlineStr">
        <is>
          <t xml:space="preserve">  Appraisal</t>
        </is>
      </c>
      <c r="B15" s="222">
        <f>Assumptions!C37</f>
        <v/>
      </c>
      <c r="C15" s="223">
        <f>IF(B51&lt;&gt;0,B15/B51,0)</f>
        <v/>
      </c>
    </row>
    <row r="16" ht="15" customHeight="1" s="160">
      <c r="A16" s="166" t="inlineStr">
        <is>
          <t xml:space="preserve">  Environmental (Phase I/II)</t>
        </is>
      </c>
      <c r="B16" s="222">
        <f>Assumptions!C38</f>
        <v/>
      </c>
      <c r="C16" s="223">
        <f>IF(B51&lt;&gt;0,B16/B51,0)</f>
        <v/>
      </c>
    </row>
    <row r="17" ht="15" customHeight="1" s="160">
      <c r="A17" s="166" t="inlineStr">
        <is>
          <t xml:space="preserve">  Architect</t>
        </is>
      </c>
      <c r="B17" s="222">
        <f>Assumptions!C39</f>
        <v/>
      </c>
      <c r="C17" s="223">
        <f>IF(B51&lt;&gt;0,B17/B51,0)</f>
        <v/>
      </c>
    </row>
    <row r="18" ht="15" customHeight="1" s="160">
      <c r="A18" s="166" t="inlineStr">
        <is>
          <t xml:space="preserve">  Structural Engineer</t>
        </is>
      </c>
      <c r="B18" s="222">
        <f>Assumptions!C40</f>
        <v/>
      </c>
      <c r="C18" s="223">
        <f>IF(B51&lt;&gt;0,B18/B51,0)</f>
        <v/>
      </c>
    </row>
    <row r="19" ht="15" customHeight="1" s="160">
      <c r="A19" s="166" t="inlineStr">
        <is>
          <t xml:space="preserve">  GeoTech</t>
        </is>
      </c>
      <c r="B19" s="222">
        <f>Assumptions!C41</f>
        <v/>
      </c>
      <c r="C19" s="223">
        <f>IF(B51&lt;&gt;0,B19/B51,0)</f>
        <v/>
      </c>
    </row>
    <row r="20" ht="15" customHeight="1" s="160">
      <c r="A20" s="166" t="inlineStr">
        <is>
          <t xml:space="preserve">  Surveyor</t>
        </is>
      </c>
      <c r="B20" s="222">
        <f>Assumptions!C42</f>
        <v/>
      </c>
      <c r="C20" s="223">
        <f>IF(B51&lt;&gt;0,B20/B51,0)</f>
        <v/>
      </c>
    </row>
    <row r="21" ht="15" customHeight="1" s="160">
      <c r="A21" s="166" t="inlineStr">
        <is>
          <t xml:space="preserve">  Civil Engineer</t>
        </is>
      </c>
      <c r="B21" s="222">
        <f>Assumptions!C43</f>
        <v/>
      </c>
      <c r="C21" s="223">
        <f>IF(B51&lt;&gt;0,B21/B51,0)</f>
        <v/>
      </c>
    </row>
    <row r="22" ht="15" customHeight="1" s="160">
      <c r="A22" s="166" t="inlineStr">
        <is>
          <t xml:space="preserve">  MEPs</t>
        </is>
      </c>
      <c r="B22" s="222">
        <f>Assumptions!C44</f>
        <v/>
      </c>
      <c r="C22" s="223">
        <f>IF(B51&lt;&gt;0,B22/B51,0)</f>
        <v/>
      </c>
    </row>
    <row r="23" ht="15" customHeight="1" s="160">
      <c r="A23" s="166" t="inlineStr">
        <is>
          <t xml:space="preserve">  Legal — Zoning</t>
        </is>
      </c>
      <c r="B23" s="222">
        <f>Assumptions!C45</f>
        <v/>
      </c>
      <c r="C23" s="223">
        <f>IF(B51&lt;&gt;0,B23/B51,0)</f>
        <v/>
      </c>
    </row>
    <row r="24" ht="15" customHeight="1" s="160">
      <c r="A24" s="227" t="inlineStr">
        <is>
          <t xml:space="preserve">  Subtotal — Professional &amp; Due Diligence</t>
        </is>
      </c>
      <c r="B24" s="193">
        <f>SUM(B12:B23)</f>
        <v/>
      </c>
      <c r="C24" s="225">
        <f>IF(B51&lt;&gt;0,B24/B51,0)</f>
        <v/>
      </c>
    </row>
    <row r="25" ht="15" customHeight="1" s="160">
      <c r="A25" s="161" t="n"/>
      <c r="B25" s="161" t="n"/>
      <c r="C25" s="161" t="n"/>
    </row>
    <row r="26" ht="15" customHeight="1" s="160">
      <c r="A26" s="228" t="inlineStr">
        <is>
          <t>Financing Costs</t>
        </is>
      </c>
      <c r="B26" s="221" t="n"/>
      <c r="C26" s="221" t="n"/>
    </row>
    <row r="27" ht="15" customHeight="1" s="160">
      <c r="A27" s="166" t="inlineStr">
        <is>
          <t xml:space="preserve">  Acquisition Fee</t>
        </is>
      </c>
      <c r="B27" s="222">
        <f>Assumptions!C48</f>
        <v/>
      </c>
      <c r="C27" s="223">
        <f>IF(B51&lt;&gt;0,B27/B51,0)</f>
        <v/>
      </c>
    </row>
    <row r="28" ht="15" customHeight="1" s="160">
      <c r="A28" s="166" t="inlineStr">
        <is>
          <t xml:space="preserve">  Mortgage Interest (Carry)</t>
        </is>
      </c>
      <c r="B28" s="222">
        <f>Assumptions!C49</f>
        <v/>
      </c>
      <c r="C28" s="223">
        <f>IF(B51&lt;&gt;0,B28/B51,0)</f>
        <v/>
      </c>
    </row>
    <row r="29" ht="15" customHeight="1" s="160">
      <c r="A29" s="166" t="inlineStr">
        <is>
          <t xml:space="preserve">  Mortgage Fees / Origination</t>
        </is>
      </c>
      <c r="B29" s="222">
        <f>Assumptions!C50</f>
        <v/>
      </c>
      <c r="C29" s="223">
        <f>IF(B51&lt;&gt;0,B29/B51,0)</f>
        <v/>
      </c>
    </row>
    <row r="30" ht="15" customHeight="1" s="160">
      <c r="A30" s="166" t="inlineStr">
        <is>
          <t xml:space="preserve">  Mezzanine Interest</t>
        </is>
      </c>
      <c r="B30" s="222">
        <f>Assumptions!C51</f>
        <v/>
      </c>
      <c r="C30" s="223">
        <f>IF(B51&lt;&gt;0,B30/B51,0)</f>
        <v/>
      </c>
    </row>
    <row r="31" ht="15" customHeight="1" s="160">
      <c r="A31" s="229" t="inlineStr">
        <is>
          <t xml:space="preserve">  Subtotal — Financing Costs</t>
        </is>
      </c>
      <c r="B31" s="193">
        <f>SUM(B27:B30)</f>
        <v/>
      </c>
      <c r="C31" s="225">
        <f>IF(B51&lt;&gt;0,B31/B51,0)</f>
        <v/>
      </c>
    </row>
    <row r="32" ht="15" customHeight="1" s="160">
      <c r="A32" s="161" t="n"/>
      <c r="B32" s="161" t="n"/>
      <c r="C32" s="161" t="n"/>
    </row>
    <row r="33" ht="15" customHeight="1" s="160">
      <c r="A33" s="230" t="inlineStr">
        <is>
          <t>Soft Costs</t>
        </is>
      </c>
      <c r="B33" s="221" t="n"/>
      <c r="C33" s="221" t="n"/>
    </row>
    <row r="34" ht="15" customHeight="1" s="160">
      <c r="A34" s="166" t="inlineStr">
        <is>
          <t xml:space="preserve">  Working Capital</t>
        </is>
      </c>
      <c r="B34" s="222">
        <f>Assumptions!C54</f>
        <v/>
      </c>
      <c r="C34" s="223">
        <f>IF(B51&lt;&gt;0,B34/B51,0)</f>
        <v/>
      </c>
    </row>
    <row r="35" ht="15" customHeight="1" s="160">
      <c r="A35" s="166" t="inlineStr">
        <is>
          <t xml:space="preserve">  Marketing</t>
        </is>
      </c>
      <c r="B35" s="222">
        <f>Assumptions!C55</f>
        <v/>
      </c>
      <c r="C35" s="223">
        <f>IF(B51&lt;&gt;0,B35/B51,0)</f>
        <v/>
      </c>
    </row>
    <row r="36" ht="15" customHeight="1" s="160">
      <c r="A36" s="166" t="inlineStr">
        <is>
          <t xml:space="preserve">  RE Tax (Carry)</t>
        </is>
      </c>
      <c r="B36" s="222">
        <f>Assumptions!C56</f>
        <v/>
      </c>
      <c r="C36" s="223">
        <f>IF(B51&lt;&gt;0,B36/B51,0)</f>
        <v/>
      </c>
    </row>
    <row r="37" ht="15" customHeight="1" s="160">
      <c r="A37" s="166" t="inlineStr">
        <is>
          <t xml:space="preserve">  Prop / BR / Contr Insurance</t>
        </is>
      </c>
      <c r="B37" s="222">
        <f>Assumptions!C57</f>
        <v/>
      </c>
      <c r="C37" s="223">
        <f>IF(B51&lt;&gt;0,B37/B51,0)</f>
        <v/>
      </c>
    </row>
    <row r="38" ht="15" customHeight="1" s="160">
      <c r="A38" s="166" t="inlineStr">
        <is>
          <t xml:space="preserve">  Development Fee</t>
        </is>
      </c>
      <c r="B38" s="222">
        <f>Assumptions!C58</f>
        <v/>
      </c>
      <c r="C38" s="223">
        <f>IF(B51&lt;&gt;0,B38/B51,0)</f>
        <v/>
      </c>
    </row>
    <row r="39" ht="15" customHeight="1" s="160">
      <c r="A39" s="166" t="inlineStr">
        <is>
          <t xml:space="preserve">  Dev Equity Pref Return</t>
        </is>
      </c>
      <c r="B39" s="222">
        <f>Assumptions!C59</f>
        <v/>
      </c>
      <c r="C39" s="223">
        <f>IF(B51&lt;&gt;0,B39/B51,0)</f>
        <v/>
      </c>
    </row>
    <row r="40" ht="15" customHeight="1" s="160">
      <c r="A40" s="166" t="inlineStr">
        <is>
          <t xml:space="preserve">  Permits / Expediting</t>
        </is>
      </c>
      <c r="B40" s="222">
        <f>Assumptions!C60</f>
        <v/>
      </c>
      <c r="C40" s="223">
        <f>IF(B51&lt;&gt;0,B40/B51,0)</f>
        <v/>
      </c>
    </row>
    <row r="41" ht="15" customHeight="1" s="160">
      <c r="A41" s="231" t="inlineStr">
        <is>
          <t xml:space="preserve">  Subtotal — Soft Costs</t>
        </is>
      </c>
      <c r="B41" s="193">
        <f>SUM(B34:B40)</f>
        <v/>
      </c>
      <c r="C41" s="225">
        <f>IF(B51&lt;&gt;0,B41/B51,0)</f>
        <v/>
      </c>
    </row>
    <row r="42" ht="15" customHeight="1" s="160">
      <c r="A42" s="161" t="n"/>
      <c r="B42" s="161" t="n"/>
      <c r="C42" s="161" t="n"/>
    </row>
    <row r="43" ht="15" customHeight="1" s="160">
      <c r="A43" s="232" t="inlineStr">
        <is>
          <t>Hard Costs</t>
        </is>
      </c>
      <c r="B43" s="221" t="n"/>
      <c r="C43" s="221" t="n"/>
    </row>
    <row r="44" ht="15" customHeight="1" s="160">
      <c r="A44" s="166" t="inlineStr">
        <is>
          <t xml:space="preserve">  Stormwater Mgmt</t>
        </is>
      </c>
      <c r="B44" s="222">
        <f>Assumptions!C63</f>
        <v/>
      </c>
      <c r="C44" s="223">
        <f>IF(B51&lt;&gt;0,B44/B51,0)</f>
        <v/>
      </c>
    </row>
    <row r="45" ht="15" customHeight="1" s="160">
      <c r="A45" s="166" t="inlineStr">
        <is>
          <t xml:space="preserve">  Demolition &amp; Site Work</t>
        </is>
      </c>
      <c r="B45" s="222">
        <f>Assumptions!C64</f>
        <v/>
      </c>
      <c r="C45" s="223">
        <f>IF(B51&lt;&gt;0,B45/B51,0)</f>
        <v/>
      </c>
    </row>
    <row r="46" ht="15" customHeight="1" s="160">
      <c r="A46" s="166" t="inlineStr">
        <is>
          <t xml:space="preserve">  Construction — Hard Costs</t>
        </is>
      </c>
      <c r="B46" s="222">
        <f>Assumptions!C65</f>
        <v/>
      </c>
      <c r="C46" s="223">
        <f>IF(B51&lt;&gt;0,B46/B51,0)</f>
        <v/>
      </c>
    </row>
    <row r="47" ht="15" customHeight="1" s="160">
      <c r="A47" s="166" t="inlineStr">
        <is>
          <t xml:space="preserve">  Construction — Reserve</t>
        </is>
      </c>
      <c r="B47" s="222">
        <f>Assumptions!C66</f>
        <v/>
      </c>
      <c r="C47" s="223">
        <f>IF(B51&lt;&gt;0,B47/B51,0)</f>
        <v/>
      </c>
    </row>
    <row r="48" ht="15" customHeight="1" s="160">
      <c r="A48" s="166" t="inlineStr">
        <is>
          <t xml:space="preserve">  GC Profit &amp; Overhead</t>
        </is>
      </c>
      <c r="B48" s="222">
        <f>Assumptions!C67</f>
        <v/>
      </c>
      <c r="C48" s="223">
        <f>IF(B51&lt;&gt;0,B48/B51,0)</f>
        <v/>
      </c>
    </row>
    <row r="49" ht="15" customHeight="1" s="160">
      <c r="A49" s="233" t="inlineStr">
        <is>
          <t xml:space="preserve">  Subtotal — Hard Costs</t>
        </is>
      </c>
      <c r="B49" s="193">
        <f>SUM(B44:B48)</f>
        <v/>
      </c>
      <c r="C49" s="225">
        <f>IF(B51&lt;&gt;0,B49/B51,0)</f>
        <v/>
      </c>
    </row>
    <row r="50" ht="15" customHeight="1" s="160">
      <c r="A50" s="161" t="n"/>
      <c r="B50" s="161" t="n"/>
      <c r="C50" s="161" t="n"/>
    </row>
    <row r="51" ht="15" customHeight="1" s="160">
      <c r="A51" s="234" t="inlineStr">
        <is>
          <t>TOTAL USES</t>
        </is>
      </c>
      <c r="B51" s="235">
        <f>B9+B24+B31+B41+B49</f>
        <v/>
      </c>
      <c r="C51" s="236" t="n"/>
    </row>
    <row r="52" ht="15" customHeight="1" s="160">
      <c r="A52" s="161" t="n"/>
      <c r="B52" s="161" t="n"/>
      <c r="C52" s="161" t="n"/>
    </row>
    <row r="53" ht="15" customHeight="1" s="160">
      <c r="A53" s="169" t="inlineStr">
        <is>
          <t>Sources</t>
        </is>
      </c>
    </row>
    <row r="54" ht="15" customHeight="1" s="160">
      <c r="A54" s="166" t="inlineStr">
        <is>
          <t xml:space="preserve">  Senior Debt</t>
        </is>
      </c>
      <c r="B54" s="222">
        <f>Assumptions!C82</f>
        <v/>
      </c>
      <c r="C54" s="161" t="n"/>
    </row>
    <row r="55" ht="15" customHeight="1" s="160">
      <c r="A55" s="166" t="inlineStr">
        <is>
          <t xml:space="preserve">  Mezzanine Debt</t>
        </is>
      </c>
      <c r="B55" s="222">
        <f>Assumptions!C83</f>
        <v/>
      </c>
      <c r="C55" s="161" t="n"/>
    </row>
    <row r="56" ht="15" customHeight="1" s="160">
      <c r="A56" s="166" t="inlineStr">
        <is>
          <t xml:space="preserve">  GP Equity</t>
        </is>
      </c>
      <c r="B56" s="222">
        <f>Assumptions!C84</f>
        <v/>
      </c>
      <c r="C56" s="161" t="n"/>
    </row>
    <row r="57" ht="15" customHeight="1" s="160">
      <c r="A57" s="166" t="inlineStr">
        <is>
          <t xml:space="preserve">  LP Equity</t>
        </is>
      </c>
      <c r="B57" s="222">
        <f>Assumptions!C85</f>
        <v/>
      </c>
      <c r="C57" s="161" t="n"/>
    </row>
    <row r="58" ht="15" customHeight="1" s="160">
      <c r="A58" s="166" t="inlineStr">
        <is>
          <t xml:space="preserve">  Tax Credit Equity</t>
        </is>
      </c>
      <c r="B58" s="222">
        <f>Assumptions!C86</f>
        <v/>
      </c>
      <c r="C58" s="161" t="n"/>
    </row>
    <row r="59" ht="15" customHeight="1" s="160">
      <c r="A59" s="166" t="inlineStr">
        <is>
          <t xml:space="preserve">  Grants / Subsidies</t>
        </is>
      </c>
      <c r="B59" s="222">
        <f>Assumptions!C87</f>
        <v/>
      </c>
      <c r="C59" s="161" t="n"/>
    </row>
    <row r="60" ht="15" customHeight="1" s="160">
      <c r="A60" s="237" t="inlineStr">
        <is>
          <t>TOTAL SOURCES</t>
        </is>
      </c>
      <c r="B60" s="238">
        <f>SUM(B54:B59)</f>
        <v/>
      </c>
      <c r="C60" s="207" t="n"/>
    </row>
    <row r="61" ht="15" customHeight="1" s="160">
      <c r="A61" s="161" t="n"/>
      <c r="B61" s="161" t="n"/>
      <c r="C61" s="161" t="n"/>
    </row>
    <row r="62" ht="15" customHeight="1" s="160">
      <c r="A62" s="239" t="inlineStr">
        <is>
          <t>SURPLUS / (GAP)</t>
        </is>
      </c>
      <c r="B62" s="205">
        <f>B60-B51</f>
        <v/>
      </c>
      <c r="C62" s="161" t="n"/>
    </row>
  </sheetData>
  <mergeCells count="3">
    <mergeCell ref="A1:C1"/>
    <mergeCell ref="A2:C2"/>
    <mergeCell ref="A53:C5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tabColor rgb="FF5A8A62"/>
    <outlinePr summaryBelow="1" summaryRight="1"/>
    <pageSetUpPr fitToPage="0"/>
  </sheetPr>
  <dimension ref="A1:J4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159" min="1" max="1"/>
    <col width="8" customWidth="1" style="159" min="2" max="2"/>
    <col width="14" customWidth="1" style="159" min="3" max="3"/>
    <col width="8" customWidth="1" style="159" min="4" max="4"/>
    <col width="12" customWidth="1" style="159" min="5" max="7"/>
    <col width="10" customWidth="1" style="159" min="8" max="8"/>
    <col width="12" customWidth="1" style="159" min="9" max="10"/>
  </cols>
  <sheetData>
    <row r="1" ht="36" customHeight="1" s="160">
      <c r="A1" s="240" t="inlineStr">
        <is>
          <t>RENT ROLL</t>
        </is>
      </c>
    </row>
    <row r="2" ht="15" customHeight="1" s="160">
      <c r="A2" s="241" t="inlineStr">
        <is>
          <t>Residential and commercial unit/tenant data. Blue cells are editable inputs.</t>
        </is>
      </c>
    </row>
    <row r="3" ht="15" customHeight="1" s="160">
      <c r="A3" s="161" t="n"/>
      <c r="B3" s="161" t="n"/>
      <c r="C3" s="161" t="n"/>
      <c r="D3" s="161" t="n"/>
      <c r="E3" s="161" t="n"/>
      <c r="F3" s="161" t="n"/>
      <c r="G3" s="161" t="n"/>
      <c r="H3" s="161" t="n"/>
      <c r="I3" s="161" t="n"/>
      <c r="J3" s="161" t="n"/>
    </row>
    <row r="4" ht="25.5" customHeight="1" s="160">
      <c r="A4" s="184" t="inlineStr">
        <is>
          <t xml:space="preserve">  RESIDENTIAL UNITS</t>
        </is>
      </c>
    </row>
    <row r="5" ht="15" customHeight="1" s="160">
      <c r="A5" s="219" t="n"/>
      <c r="B5" s="219" t="inlineStr">
        <is>
          <t>Unit #</t>
        </is>
      </c>
      <c r="C5" s="219" t="inlineStr">
        <is>
          <t>Type</t>
        </is>
      </c>
      <c r="D5" s="219" t="inlineStr">
        <is>
          <t>SF</t>
        </is>
      </c>
      <c r="E5" s="219" t="inlineStr">
        <is>
          <t>Rent/Mo</t>
        </is>
      </c>
      <c r="F5" s="219" t="inlineStr">
        <is>
          <t>Rent/SF/Mo</t>
        </is>
      </c>
      <c r="G5" s="219" t="inlineStr">
        <is>
          <t>Annual Rent</t>
        </is>
      </c>
      <c r="H5" s="219" t="inlineStr">
        <is>
          <t>Status</t>
        </is>
      </c>
      <c r="I5" s="219" t="inlineStr">
        <is>
          <t>Lease Exp</t>
        </is>
      </c>
      <c r="J5" s="219" t="inlineStr">
        <is>
          <t>Market Rent</t>
        </is>
      </c>
    </row>
    <row r="6" ht="15" customHeight="1" s="160">
      <c r="A6" s="221" t="n"/>
      <c r="B6" s="242" t="inlineStr">
        <is>
          <t>001</t>
        </is>
      </c>
      <c r="C6" s="243" t="inlineStr">
        <is>
          <t>Studio</t>
        </is>
      </c>
      <c r="D6" s="244" t="n">
        <v>450</v>
      </c>
      <c r="E6" s="245" t="n">
        <v>950</v>
      </c>
      <c r="F6" s="246">
        <f>IF(D6&gt;0,E6/D6,0)</f>
        <v/>
      </c>
      <c r="G6" s="247">
        <f>E6*12</f>
        <v/>
      </c>
      <c r="H6" s="243" t="inlineStr">
        <is>
          <t>Occupied</t>
        </is>
      </c>
      <c r="I6" s="243" t="inlineStr">
        <is>
          <t>12/31/2026</t>
        </is>
      </c>
      <c r="J6" s="245" t="n">
        <v>1000</v>
      </c>
    </row>
    <row r="7" ht="15" customHeight="1" s="160">
      <c r="A7" s="161" t="n"/>
      <c r="B7" s="248" t="inlineStr">
        <is>
          <t>002</t>
        </is>
      </c>
      <c r="C7" s="249" t="inlineStr">
        <is>
          <t>Studio</t>
        </is>
      </c>
      <c r="D7" s="250" t="n">
        <v>450</v>
      </c>
      <c r="E7" s="251" t="n">
        <v>950</v>
      </c>
      <c r="F7" s="252">
        <f>IF(D7&gt;0,E7/D7,0)</f>
        <v/>
      </c>
      <c r="G7" s="253">
        <f>E7*12</f>
        <v/>
      </c>
      <c r="H7" s="249" t="inlineStr">
        <is>
          <t>Occupied</t>
        </is>
      </c>
      <c r="I7" s="249" t="inlineStr">
        <is>
          <t>12/31/2026</t>
        </is>
      </c>
      <c r="J7" s="251" t="n">
        <v>1000</v>
      </c>
    </row>
    <row r="8" ht="15" customHeight="1" s="160">
      <c r="A8" s="221" t="n"/>
      <c r="B8" s="242" t="inlineStr">
        <is>
          <t>003</t>
        </is>
      </c>
      <c r="C8" s="243" t="inlineStr">
        <is>
          <t>Studio</t>
        </is>
      </c>
      <c r="D8" s="244" t="n">
        <v>450</v>
      </c>
      <c r="E8" s="245" t="n">
        <v>950</v>
      </c>
      <c r="F8" s="246">
        <f>IF(D8&gt;0,E8/D8,0)</f>
        <v/>
      </c>
      <c r="G8" s="247">
        <f>E8*12</f>
        <v/>
      </c>
      <c r="H8" s="243" t="inlineStr">
        <is>
          <t>Occupied</t>
        </is>
      </c>
      <c r="I8" s="243" t="inlineStr">
        <is>
          <t>12/31/2026</t>
        </is>
      </c>
      <c r="J8" s="245" t="n">
        <v>1000</v>
      </c>
    </row>
    <row r="9" ht="15" customHeight="1" s="160">
      <c r="A9" s="161" t="n"/>
      <c r="B9" s="248" t="inlineStr">
        <is>
          <t>004</t>
        </is>
      </c>
      <c r="C9" s="249" t="inlineStr">
        <is>
          <t>Studio</t>
        </is>
      </c>
      <c r="D9" s="250" t="n">
        <v>450</v>
      </c>
      <c r="E9" s="251" t="n">
        <v>950</v>
      </c>
      <c r="F9" s="252">
        <f>IF(D9&gt;0,E9/D9,0)</f>
        <v/>
      </c>
      <c r="G9" s="253">
        <f>E9*12</f>
        <v/>
      </c>
      <c r="H9" s="249" t="inlineStr">
        <is>
          <t>Occupied</t>
        </is>
      </c>
      <c r="I9" s="249" t="inlineStr">
        <is>
          <t>12/31/2026</t>
        </is>
      </c>
      <c r="J9" s="251" t="n">
        <v>1000</v>
      </c>
    </row>
    <row r="10" ht="15" customHeight="1" s="160">
      <c r="A10" s="221" t="n"/>
      <c r="B10" s="242" t="inlineStr">
        <is>
          <t>005</t>
        </is>
      </c>
      <c r="C10" s="243" t="inlineStr">
        <is>
          <t>Studio</t>
        </is>
      </c>
      <c r="D10" s="244" t="n">
        <v>450</v>
      </c>
      <c r="E10" s="245" t="n">
        <v>950</v>
      </c>
      <c r="F10" s="246">
        <f>IF(D10&gt;0,E10/D10,0)</f>
        <v/>
      </c>
      <c r="G10" s="247">
        <f>E10*12</f>
        <v/>
      </c>
      <c r="H10" s="243" t="inlineStr">
        <is>
          <t>Vacant</t>
        </is>
      </c>
      <c r="I10" s="243" t="inlineStr">
        <is>
          <t>12/31/2026</t>
        </is>
      </c>
      <c r="J10" s="245" t="n">
        <v>1000</v>
      </c>
    </row>
    <row r="11" ht="15" customHeight="1" s="160">
      <c r="A11" s="161" t="n"/>
      <c r="B11" s="248" t="inlineStr">
        <is>
          <t>006</t>
        </is>
      </c>
      <c r="C11" s="249" t="inlineStr">
        <is>
          <t>1BR</t>
        </is>
      </c>
      <c r="D11" s="250" t="n">
        <v>650</v>
      </c>
      <c r="E11" s="251" t="n">
        <v>1200</v>
      </c>
      <c r="F11" s="252">
        <f>IF(D11&gt;0,E11/D11,0)</f>
        <v/>
      </c>
      <c r="G11" s="253">
        <f>E11*12</f>
        <v/>
      </c>
      <c r="H11" s="249" t="inlineStr">
        <is>
          <t>Occupied</t>
        </is>
      </c>
      <c r="I11" s="249" t="inlineStr">
        <is>
          <t>12/31/2026</t>
        </is>
      </c>
      <c r="J11" s="251" t="n">
        <v>1275</v>
      </c>
    </row>
    <row r="12" ht="15" customHeight="1" s="160">
      <c r="A12" s="221" t="n"/>
      <c r="B12" s="242" t="inlineStr">
        <is>
          <t>007</t>
        </is>
      </c>
      <c r="C12" s="243" t="inlineStr">
        <is>
          <t>1BR</t>
        </is>
      </c>
      <c r="D12" s="244" t="n">
        <v>650</v>
      </c>
      <c r="E12" s="245" t="n">
        <v>1200</v>
      </c>
      <c r="F12" s="246">
        <f>IF(D12&gt;0,E12/D12,0)</f>
        <v/>
      </c>
      <c r="G12" s="247">
        <f>E12*12</f>
        <v/>
      </c>
      <c r="H12" s="243" t="inlineStr">
        <is>
          <t>Occupied</t>
        </is>
      </c>
      <c r="I12" s="243" t="inlineStr">
        <is>
          <t>12/31/2026</t>
        </is>
      </c>
      <c r="J12" s="245" t="n">
        <v>1275</v>
      </c>
    </row>
    <row r="13" ht="15" customHeight="1" s="160">
      <c r="A13" s="161" t="n"/>
      <c r="B13" s="248" t="inlineStr">
        <is>
          <t>008</t>
        </is>
      </c>
      <c r="C13" s="249" t="inlineStr">
        <is>
          <t>1BR</t>
        </is>
      </c>
      <c r="D13" s="250" t="n">
        <v>650</v>
      </c>
      <c r="E13" s="251" t="n">
        <v>1200</v>
      </c>
      <c r="F13" s="252">
        <f>IF(D13&gt;0,E13/D13,0)</f>
        <v/>
      </c>
      <c r="G13" s="253">
        <f>E13*12</f>
        <v/>
      </c>
      <c r="H13" s="249" t="inlineStr">
        <is>
          <t>Occupied</t>
        </is>
      </c>
      <c r="I13" s="249" t="inlineStr">
        <is>
          <t>12/31/2026</t>
        </is>
      </c>
      <c r="J13" s="251" t="n">
        <v>1275</v>
      </c>
    </row>
    <row r="14" ht="15" customHeight="1" s="160">
      <c r="A14" s="221" t="n"/>
      <c r="B14" s="242" t="inlineStr">
        <is>
          <t>009</t>
        </is>
      </c>
      <c r="C14" s="243" t="inlineStr">
        <is>
          <t>1BR</t>
        </is>
      </c>
      <c r="D14" s="244" t="n">
        <v>650</v>
      </c>
      <c r="E14" s="245" t="n">
        <v>1200</v>
      </c>
      <c r="F14" s="246">
        <f>IF(D14&gt;0,E14/D14,0)</f>
        <v/>
      </c>
      <c r="G14" s="247">
        <f>E14*12</f>
        <v/>
      </c>
      <c r="H14" s="243" t="inlineStr">
        <is>
          <t>Occupied</t>
        </is>
      </c>
      <c r="I14" s="243" t="inlineStr">
        <is>
          <t>12/31/2026</t>
        </is>
      </c>
      <c r="J14" s="245" t="n">
        <v>1275</v>
      </c>
    </row>
    <row r="15" ht="15" customHeight="1" s="160">
      <c r="A15" s="161" t="n"/>
      <c r="B15" s="248" t="inlineStr">
        <is>
          <t>010</t>
        </is>
      </c>
      <c r="C15" s="249" t="inlineStr">
        <is>
          <t>1BR</t>
        </is>
      </c>
      <c r="D15" s="250" t="n">
        <v>650</v>
      </c>
      <c r="E15" s="251" t="n">
        <v>1200</v>
      </c>
      <c r="F15" s="252">
        <f>IF(D15&gt;0,E15/D15,0)</f>
        <v/>
      </c>
      <c r="G15" s="253">
        <f>E15*12</f>
        <v/>
      </c>
      <c r="H15" s="249" t="inlineStr">
        <is>
          <t>Vacant</t>
        </is>
      </c>
      <c r="I15" s="249" t="inlineStr">
        <is>
          <t>12/31/2026</t>
        </is>
      </c>
      <c r="J15" s="251" t="n">
        <v>1275</v>
      </c>
    </row>
    <row r="16" ht="15" customHeight="1" s="160">
      <c r="A16" s="221" t="n"/>
      <c r="B16" s="242" t="inlineStr">
        <is>
          <t>011</t>
        </is>
      </c>
      <c r="C16" s="243" t="inlineStr">
        <is>
          <t>2BR</t>
        </is>
      </c>
      <c r="D16" s="244" t="n">
        <v>900</v>
      </c>
      <c r="E16" s="245" t="n">
        <v>1500</v>
      </c>
      <c r="F16" s="246">
        <f>IF(D16&gt;0,E16/D16,0)</f>
        <v/>
      </c>
      <c r="G16" s="247">
        <f>E16*12</f>
        <v/>
      </c>
      <c r="H16" s="243" t="inlineStr">
        <is>
          <t>Occupied</t>
        </is>
      </c>
      <c r="I16" s="243" t="inlineStr">
        <is>
          <t>12/31/2026</t>
        </is>
      </c>
      <c r="J16" s="245" t="n">
        <v>1600</v>
      </c>
    </row>
    <row r="17" ht="15" customHeight="1" s="160">
      <c r="A17" s="161" t="n"/>
      <c r="B17" s="248" t="inlineStr">
        <is>
          <t>012</t>
        </is>
      </c>
      <c r="C17" s="249" t="inlineStr">
        <is>
          <t>2BR</t>
        </is>
      </c>
      <c r="D17" s="250" t="n">
        <v>900</v>
      </c>
      <c r="E17" s="251" t="n">
        <v>1500</v>
      </c>
      <c r="F17" s="252">
        <f>IF(D17&gt;0,E17/D17,0)</f>
        <v/>
      </c>
      <c r="G17" s="253">
        <f>E17*12</f>
        <v/>
      </c>
      <c r="H17" s="249" t="inlineStr">
        <is>
          <t>Occupied</t>
        </is>
      </c>
      <c r="I17" s="249" t="inlineStr">
        <is>
          <t>12/31/2026</t>
        </is>
      </c>
      <c r="J17" s="251" t="n">
        <v>1600</v>
      </c>
    </row>
    <row r="18" ht="15" customHeight="1" s="160">
      <c r="A18" s="221" t="n"/>
      <c r="B18" s="242" t="inlineStr">
        <is>
          <t>013</t>
        </is>
      </c>
      <c r="C18" s="243" t="inlineStr">
        <is>
          <t>2BR</t>
        </is>
      </c>
      <c r="D18" s="244" t="n">
        <v>900</v>
      </c>
      <c r="E18" s="245" t="n">
        <v>1500</v>
      </c>
      <c r="F18" s="246">
        <f>IF(D18&gt;0,E18/D18,0)</f>
        <v/>
      </c>
      <c r="G18" s="247">
        <f>E18*12</f>
        <v/>
      </c>
      <c r="H18" s="243" t="inlineStr">
        <is>
          <t>Occupied</t>
        </is>
      </c>
      <c r="I18" s="243" t="inlineStr">
        <is>
          <t>12/31/2026</t>
        </is>
      </c>
      <c r="J18" s="245" t="n">
        <v>1600</v>
      </c>
    </row>
    <row r="19" ht="15" customHeight="1" s="160">
      <c r="A19" s="161" t="n"/>
      <c r="B19" s="248" t="inlineStr">
        <is>
          <t>014</t>
        </is>
      </c>
      <c r="C19" s="249" t="inlineStr">
        <is>
          <t>2BR</t>
        </is>
      </c>
      <c r="D19" s="250" t="n">
        <v>900</v>
      </c>
      <c r="E19" s="251" t="n">
        <v>1500</v>
      </c>
      <c r="F19" s="252">
        <f>IF(D19&gt;0,E19/D19,0)</f>
        <v/>
      </c>
      <c r="G19" s="253">
        <f>E19*12</f>
        <v/>
      </c>
      <c r="H19" s="249" t="inlineStr">
        <is>
          <t>Occupied</t>
        </is>
      </c>
      <c r="I19" s="249" t="inlineStr">
        <is>
          <t>12/31/2026</t>
        </is>
      </c>
      <c r="J19" s="251" t="n">
        <v>1600</v>
      </c>
    </row>
    <row r="20" ht="15" customHeight="1" s="160">
      <c r="A20" s="221" t="n"/>
      <c r="B20" s="242" t="inlineStr">
        <is>
          <t>015</t>
        </is>
      </c>
      <c r="C20" s="243" t="inlineStr">
        <is>
          <t>2BR</t>
        </is>
      </c>
      <c r="D20" s="244" t="n">
        <v>900</v>
      </c>
      <c r="E20" s="245" t="n">
        <v>1500</v>
      </c>
      <c r="F20" s="246">
        <f>IF(D20&gt;0,E20/D20,0)</f>
        <v/>
      </c>
      <c r="G20" s="247">
        <f>E20*12</f>
        <v/>
      </c>
      <c r="H20" s="243" t="inlineStr">
        <is>
          <t>Vacant</t>
        </is>
      </c>
      <c r="I20" s="243" t="inlineStr">
        <is>
          <t>12/31/2026</t>
        </is>
      </c>
      <c r="J20" s="245" t="n">
        <v>1600</v>
      </c>
    </row>
    <row r="21" ht="15" customHeight="1" s="160">
      <c r="A21" s="161" t="n"/>
      <c r="B21" s="248" t="inlineStr">
        <is>
          <t>016</t>
        </is>
      </c>
      <c r="C21" s="249" t="inlineStr">
        <is>
          <t>3BR</t>
        </is>
      </c>
      <c r="D21" s="250" t="n">
        <v>1100</v>
      </c>
      <c r="E21" s="251" t="n">
        <v>1800</v>
      </c>
      <c r="F21" s="252">
        <f>IF(D21&gt;0,E21/D21,0)</f>
        <v/>
      </c>
      <c r="G21" s="253">
        <f>E21*12</f>
        <v/>
      </c>
      <c r="H21" s="249" t="inlineStr">
        <is>
          <t>Occupied</t>
        </is>
      </c>
      <c r="I21" s="249" t="inlineStr">
        <is>
          <t>12/31/2026</t>
        </is>
      </c>
      <c r="J21" s="251" t="n">
        <v>1900</v>
      </c>
    </row>
    <row r="22" ht="15" customHeight="1" s="160">
      <c r="A22" s="221" t="n"/>
      <c r="B22" s="242" t="inlineStr">
        <is>
          <t>017</t>
        </is>
      </c>
      <c r="C22" s="243" t="inlineStr">
        <is>
          <t>3BR</t>
        </is>
      </c>
      <c r="D22" s="244" t="n">
        <v>1100</v>
      </c>
      <c r="E22" s="245" t="n">
        <v>1800</v>
      </c>
      <c r="F22" s="246">
        <f>IF(D22&gt;0,E22/D22,0)</f>
        <v/>
      </c>
      <c r="G22" s="247">
        <f>E22*12</f>
        <v/>
      </c>
      <c r="H22" s="243" t="inlineStr">
        <is>
          <t>Occupied</t>
        </is>
      </c>
      <c r="I22" s="243" t="inlineStr">
        <is>
          <t>12/31/2026</t>
        </is>
      </c>
      <c r="J22" s="245" t="n">
        <v>1900</v>
      </c>
    </row>
    <row r="23" ht="15" customHeight="1" s="160">
      <c r="A23" s="161" t="n"/>
      <c r="B23" s="248" t="inlineStr">
        <is>
          <t>018</t>
        </is>
      </c>
      <c r="C23" s="249" t="inlineStr">
        <is>
          <t>3BR</t>
        </is>
      </c>
      <c r="D23" s="250" t="n">
        <v>1100</v>
      </c>
      <c r="E23" s="251" t="n">
        <v>1800</v>
      </c>
      <c r="F23" s="252">
        <f>IF(D23&gt;0,E23/D23,0)</f>
        <v/>
      </c>
      <c r="G23" s="253">
        <f>E23*12</f>
        <v/>
      </c>
      <c r="H23" s="249" t="inlineStr">
        <is>
          <t>Occupied</t>
        </is>
      </c>
      <c r="I23" s="249" t="inlineStr">
        <is>
          <t>12/31/2026</t>
        </is>
      </c>
      <c r="J23" s="251" t="n">
        <v>1900</v>
      </c>
    </row>
    <row r="24" ht="15" customHeight="1" s="160">
      <c r="A24" s="221" t="n"/>
      <c r="B24" s="242" t="inlineStr">
        <is>
          <t>019</t>
        </is>
      </c>
      <c r="C24" s="243" t="inlineStr">
        <is>
          <t>3BR</t>
        </is>
      </c>
      <c r="D24" s="244" t="n">
        <v>1100</v>
      </c>
      <c r="E24" s="245" t="n">
        <v>1800</v>
      </c>
      <c r="F24" s="246">
        <f>IF(D24&gt;0,E24/D24,0)</f>
        <v/>
      </c>
      <c r="G24" s="247">
        <f>E24*12</f>
        <v/>
      </c>
      <c r="H24" s="243" t="inlineStr">
        <is>
          <t>Occupied</t>
        </is>
      </c>
      <c r="I24" s="243" t="inlineStr">
        <is>
          <t>12/31/2026</t>
        </is>
      </c>
      <c r="J24" s="245" t="n">
        <v>1900</v>
      </c>
    </row>
    <row r="25" ht="15" customHeight="1" s="160">
      <c r="A25" s="161" t="n"/>
      <c r="B25" s="248" t="inlineStr">
        <is>
          <t>020</t>
        </is>
      </c>
      <c r="C25" s="249" t="inlineStr">
        <is>
          <t>3BR</t>
        </is>
      </c>
      <c r="D25" s="250" t="n">
        <v>1100</v>
      </c>
      <c r="E25" s="251" t="n">
        <v>1800</v>
      </c>
      <c r="F25" s="252">
        <f>IF(D25&gt;0,E25/D25,0)</f>
        <v/>
      </c>
      <c r="G25" s="253">
        <f>E25*12</f>
        <v/>
      </c>
      <c r="H25" s="249" t="inlineStr">
        <is>
          <t>Vacant</t>
        </is>
      </c>
      <c r="I25" s="249" t="inlineStr">
        <is>
          <t>12/31/2026</t>
        </is>
      </c>
      <c r="J25" s="251" t="n">
        <v>1900</v>
      </c>
    </row>
    <row r="26" ht="15" customHeight="1" s="160">
      <c r="A26" s="161" t="n"/>
      <c r="B26" s="161" t="n"/>
      <c r="C26" s="161" t="n"/>
      <c r="D26" s="161" t="n"/>
      <c r="E26" s="161" t="n"/>
      <c r="F26" s="161" t="n"/>
      <c r="G26" s="161" t="n"/>
      <c r="H26" s="161" t="n"/>
      <c r="I26" s="161" t="n"/>
      <c r="J26" s="161" t="n"/>
    </row>
    <row r="27" ht="15" customHeight="1" s="160">
      <c r="A27" s="234" t="n"/>
      <c r="B27" s="254" t="inlineStr">
        <is>
          <t>TOTALS</t>
        </is>
      </c>
      <c r="C27" s="255">
        <f>COUNTA(C6:C25)</f>
        <v/>
      </c>
      <c r="D27" s="256">
        <f>SUM(D6:D25)</f>
        <v/>
      </c>
      <c r="E27" s="235">
        <f>SUM(E6:E25)</f>
        <v/>
      </c>
      <c r="F27" s="257">
        <f>IF(D27&gt;0,E27/D27,0)</f>
        <v/>
      </c>
      <c r="G27" s="235">
        <f>SUM(G6:G25)</f>
        <v/>
      </c>
      <c r="H27" s="254">
        <f>COUNTIF(H6:H25,"Occupied")&amp;"/"&amp;COUNTA(H6:H25)</f>
        <v/>
      </c>
      <c r="I27" s="234" t="n"/>
      <c r="J27" s="235">
        <f>SUM(J6:J25)</f>
        <v/>
      </c>
    </row>
    <row r="28" ht="15" customHeight="1" s="160">
      <c r="A28" s="161" t="n"/>
      <c r="B28" s="161" t="n"/>
      <c r="C28" s="161" t="n"/>
      <c r="D28" s="161" t="n"/>
      <c r="E28" s="161" t="n"/>
      <c r="F28" s="161" t="n"/>
      <c r="G28" s="161" t="n"/>
      <c r="H28" s="161" t="n"/>
      <c r="I28" s="161" t="n"/>
      <c r="J28" s="161" t="n"/>
    </row>
    <row r="29" ht="15" customHeight="1" s="160">
      <c r="A29" s="161" t="n"/>
      <c r="B29" s="258" t="inlineStr">
        <is>
          <t>Residential GPR (Annual)</t>
        </is>
      </c>
      <c r="C29" s="161" t="n"/>
      <c r="D29" s="161" t="n"/>
      <c r="E29" s="259">
        <f>G27</f>
        <v/>
      </c>
      <c r="F29" s="161" t="n"/>
      <c r="G29" s="161" t="n"/>
      <c r="H29" s="161" t="n"/>
      <c r="I29" s="161" t="n"/>
      <c r="J29" s="161" t="n"/>
    </row>
    <row r="30" ht="15" customHeight="1" s="160">
      <c r="A30" s="161" t="n"/>
      <c r="B30" s="258" t="inlineStr">
        <is>
          <t>Occupancy Rate</t>
        </is>
      </c>
      <c r="C30" s="161" t="n"/>
      <c r="D30" s="161" t="n"/>
      <c r="E30" s="260">
        <f>IF(COUNTA(H6:H25)&gt;0,COUNTIF(H6:H25,"Occupied")/COUNTA(H6:H25),0)</f>
        <v/>
      </c>
      <c r="F30" s="161" t="n"/>
      <c r="G30" s="161" t="n"/>
      <c r="H30" s="161" t="n"/>
      <c r="I30" s="161" t="n"/>
      <c r="J30" s="161" t="n"/>
    </row>
    <row r="31" ht="15" customHeight="1" s="160">
      <c r="A31" s="161" t="n"/>
      <c r="B31" s="258" t="inlineStr">
        <is>
          <t>Average Rent/Unit/Mo</t>
        </is>
      </c>
      <c r="C31" s="161" t="n"/>
      <c r="D31" s="161" t="n"/>
      <c r="E31" s="259">
        <f>IF(C27&gt;0,E27/C27,0)</f>
        <v/>
      </c>
      <c r="F31" s="161" t="n"/>
      <c r="G31" s="161" t="n"/>
      <c r="H31" s="161" t="n"/>
      <c r="I31" s="161" t="n"/>
      <c r="J31" s="161" t="n"/>
    </row>
    <row r="32" ht="15" customHeight="1" s="160">
      <c r="A32" s="161" t="n"/>
      <c r="B32" s="161" t="n"/>
      <c r="C32" s="161" t="n"/>
      <c r="D32" s="161" t="n"/>
      <c r="E32" s="161" t="n"/>
      <c r="F32" s="161" t="n"/>
      <c r="G32" s="161" t="n"/>
      <c r="H32" s="161" t="n"/>
      <c r="I32" s="161" t="n"/>
      <c r="J32" s="161" t="n"/>
    </row>
    <row r="33" ht="25.5" customHeight="1" s="160">
      <c r="A33" s="184" t="inlineStr">
        <is>
          <t xml:space="preserve">  COMMERCIAL TENANTS</t>
        </is>
      </c>
    </row>
    <row r="34" ht="15" customHeight="1" s="160">
      <c r="A34" s="219" t="n"/>
      <c r="B34" s="219" t="inlineStr">
        <is>
          <t>Tenant</t>
        </is>
      </c>
      <c r="C34" s="219" t="inlineStr">
        <is>
          <t>Suite</t>
        </is>
      </c>
      <c r="D34" s="219" t="inlineStr">
        <is>
          <t>SF</t>
        </is>
      </c>
      <c r="E34" s="219" t="inlineStr">
        <is>
          <t>Rent/SF/Yr</t>
        </is>
      </c>
      <c r="F34" s="219" t="inlineStr">
        <is>
          <t>Annual Rent</t>
        </is>
      </c>
      <c r="G34" s="219" t="inlineStr">
        <is>
          <t>Lease Type</t>
        </is>
      </c>
      <c r="H34" s="219" t="inlineStr">
        <is>
          <t>Start</t>
        </is>
      </c>
      <c r="I34" s="219" t="inlineStr">
        <is>
          <t>Expiry</t>
        </is>
      </c>
      <c r="J34" s="219" t="inlineStr">
        <is>
          <t>TI/SF</t>
        </is>
      </c>
    </row>
    <row r="35" ht="15" customHeight="1" s="160">
      <c r="A35" s="161" t="n"/>
      <c r="B35" s="249" t="n"/>
      <c r="C35" s="249" t="n"/>
      <c r="D35" s="250" t="n">
        <v>0</v>
      </c>
      <c r="E35" s="261" t="n">
        <v>0</v>
      </c>
      <c r="F35" s="253">
        <f>D35*E35</f>
        <v/>
      </c>
      <c r="G35" s="249" t="n"/>
      <c r="H35" s="249" t="n"/>
      <c r="I35" s="249" t="n"/>
      <c r="J35" s="261" t="n">
        <v>0</v>
      </c>
    </row>
    <row r="36" ht="15" customHeight="1" s="160">
      <c r="A36" s="221" t="n"/>
      <c r="B36" s="243" t="n"/>
      <c r="C36" s="243" t="n"/>
      <c r="D36" s="244" t="n">
        <v>0</v>
      </c>
      <c r="E36" s="262" t="n">
        <v>0</v>
      </c>
      <c r="F36" s="247">
        <f>D36*E36</f>
        <v/>
      </c>
      <c r="G36" s="243" t="n"/>
      <c r="H36" s="243" t="n"/>
      <c r="I36" s="243" t="n"/>
      <c r="J36" s="262" t="n">
        <v>0</v>
      </c>
    </row>
    <row r="37" ht="15" customHeight="1" s="160">
      <c r="A37" s="161" t="n"/>
      <c r="B37" s="249" t="n"/>
      <c r="C37" s="249" t="n"/>
      <c r="D37" s="250" t="n">
        <v>0</v>
      </c>
      <c r="E37" s="261" t="n">
        <v>0</v>
      </c>
      <c r="F37" s="253">
        <f>D37*E37</f>
        <v/>
      </c>
      <c r="G37" s="249" t="n"/>
      <c r="H37" s="249" t="n"/>
      <c r="I37" s="249" t="n"/>
      <c r="J37" s="261" t="n">
        <v>0</v>
      </c>
    </row>
    <row r="38" ht="15" customHeight="1" s="160">
      <c r="A38" s="221" t="n"/>
      <c r="B38" s="243" t="n"/>
      <c r="C38" s="243" t="n"/>
      <c r="D38" s="244" t="n">
        <v>0</v>
      </c>
      <c r="E38" s="262" t="n">
        <v>0</v>
      </c>
      <c r="F38" s="247">
        <f>D38*E38</f>
        <v/>
      </c>
      <c r="G38" s="243" t="n"/>
      <c r="H38" s="243" t="n"/>
      <c r="I38" s="243" t="n"/>
      <c r="J38" s="262" t="n">
        <v>0</v>
      </c>
    </row>
    <row r="39" ht="15" customHeight="1" s="160">
      <c r="A39" s="161" t="n"/>
      <c r="B39" s="249" t="n"/>
      <c r="C39" s="249" t="n"/>
      <c r="D39" s="250" t="n">
        <v>0</v>
      </c>
      <c r="E39" s="261" t="n">
        <v>0</v>
      </c>
      <c r="F39" s="253">
        <f>D39*E39</f>
        <v/>
      </c>
      <c r="G39" s="249" t="n"/>
      <c r="H39" s="249" t="n"/>
      <c r="I39" s="249" t="n"/>
      <c r="J39" s="261" t="n">
        <v>0</v>
      </c>
    </row>
    <row r="40" ht="15" customHeight="1" s="160">
      <c r="A40" s="161" t="n"/>
      <c r="B40" s="161" t="n"/>
      <c r="C40" s="161" t="n"/>
      <c r="D40" s="161" t="n"/>
      <c r="E40" s="161" t="n"/>
      <c r="F40" s="161" t="n"/>
      <c r="G40" s="161" t="n"/>
      <c r="H40" s="161" t="n"/>
      <c r="I40" s="161" t="n"/>
      <c r="J40" s="161" t="n"/>
    </row>
    <row r="41" ht="15" customHeight="1" s="160">
      <c r="A41" s="234" t="n"/>
      <c r="B41" s="254" t="inlineStr">
        <is>
          <t>TOTALS</t>
        </is>
      </c>
      <c r="C41" s="234" t="n"/>
      <c r="D41" s="256">
        <f>SUM(D35:D39)</f>
        <v/>
      </c>
      <c r="E41" s="257">
        <f>IF(D41&gt;0,F41/D41,0)</f>
        <v/>
      </c>
      <c r="F41" s="235">
        <f>SUM(F35:F39)</f>
        <v/>
      </c>
      <c r="G41" s="234" t="n"/>
      <c r="H41" s="234" t="n"/>
      <c r="I41" s="234" t="n"/>
      <c r="J41" s="234" t="n"/>
    </row>
    <row r="42" ht="15" customHeight="1" s="160">
      <c r="A42" s="161" t="n"/>
      <c r="B42" s="161" t="n"/>
      <c r="C42" s="161" t="n"/>
      <c r="D42" s="161" t="n"/>
      <c r="E42" s="161" t="n"/>
      <c r="F42" s="161" t="n"/>
      <c r="G42" s="161" t="n"/>
      <c r="H42" s="161" t="n"/>
      <c r="I42" s="161" t="n"/>
      <c r="J42" s="161" t="n"/>
    </row>
    <row r="43" ht="15" customHeight="1" s="160">
      <c r="A43" s="161" t="n"/>
      <c r="B43" s="258" t="inlineStr">
        <is>
          <t>Commercial Income (Annual)</t>
        </is>
      </c>
      <c r="C43" s="161" t="n"/>
      <c r="D43" s="161" t="n"/>
      <c r="E43" s="259">
        <f>F41</f>
        <v/>
      </c>
      <c r="F43" s="161" t="n"/>
      <c r="G43" s="161" t="n"/>
      <c r="H43" s="161" t="n"/>
      <c r="I43" s="161" t="n"/>
      <c r="J43" s="161" t="n"/>
    </row>
    <row r="44" ht="15" customHeight="1" s="160">
      <c r="A44" s="161" t="n"/>
      <c r="B44" s="161" t="n"/>
      <c r="C44" s="161" t="n"/>
      <c r="D44" s="161" t="n"/>
      <c r="E44" s="161" t="n"/>
      <c r="F44" s="161" t="n"/>
      <c r="G44" s="161" t="n"/>
      <c r="H44" s="161" t="n"/>
      <c r="I44" s="161" t="n"/>
      <c r="J44" s="161" t="n"/>
    </row>
    <row r="45" ht="15" customHeight="1" s="160">
      <c r="A45" s="263" t="n"/>
      <c r="B45" s="264" t="inlineStr">
        <is>
          <t>TOTAL GROSS POTENTIAL RENT (Annual)</t>
        </is>
      </c>
      <c r="C45" s="263" t="n"/>
      <c r="D45" s="263" t="n"/>
      <c r="E45" s="265">
        <f>E29+E43</f>
        <v/>
      </c>
      <c r="F45" s="263" t="n"/>
      <c r="G45" s="263" t="n"/>
      <c r="H45" s="263" t="n"/>
      <c r="I45" s="263" t="n"/>
      <c r="J45" s="263" t="n"/>
    </row>
  </sheetData>
  <mergeCells count="4">
    <mergeCell ref="A1:J1"/>
    <mergeCell ref="A4:J4"/>
    <mergeCell ref="A33:J33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3E6844"/>
    <outlinePr summaryBelow="1" summaryRight="1"/>
    <pageSetUpPr fitToPage="0"/>
  </sheetPr>
  <dimension ref="A1:K6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36" customWidth="1" style="159" min="1" max="1"/>
    <col width="16" customWidth="1" style="159" min="2" max="12"/>
  </cols>
  <sheetData>
    <row r="1" ht="19.5" customHeight="1" s="160">
      <c r="A1" s="218" t="inlineStr">
        <is>
          <t>10-YEAR PRO FORMA</t>
        </is>
      </c>
    </row>
    <row r="2" ht="15" customHeight="1" s="160">
      <c r="A2" s="179" t="inlineStr">
        <is>
          <t>All Year 1 values reference Assumptions. No hardcoded numbers.</t>
        </is>
      </c>
    </row>
    <row r="3" ht="15" customHeight="1" s="160">
      <c r="A3" s="219" t="n"/>
      <c r="B3" s="219" t="inlineStr">
        <is>
          <t>Year 1</t>
        </is>
      </c>
      <c r="C3" s="219" t="inlineStr">
        <is>
          <t>Year 2</t>
        </is>
      </c>
      <c r="D3" s="219" t="inlineStr">
        <is>
          <t>Year 3</t>
        </is>
      </c>
      <c r="E3" s="219" t="inlineStr">
        <is>
          <t>Year 4</t>
        </is>
      </c>
      <c r="F3" s="219" t="inlineStr">
        <is>
          <t>Year 5</t>
        </is>
      </c>
      <c r="G3" s="219" t="inlineStr">
        <is>
          <t>Year 6</t>
        </is>
      </c>
      <c r="H3" s="219" t="inlineStr">
        <is>
          <t>Year 7</t>
        </is>
      </c>
      <c r="I3" s="219" t="inlineStr">
        <is>
          <t>Year 8</t>
        </is>
      </c>
      <c r="J3" s="219" t="inlineStr">
        <is>
          <t>Year 9</t>
        </is>
      </c>
      <c r="K3" s="219" t="inlineStr">
        <is>
          <t>Year 10</t>
        </is>
      </c>
    </row>
    <row r="4" ht="15" customHeight="1" s="160">
      <c r="A4" s="266" t="inlineStr">
        <is>
          <t>Stabilization Factor</t>
        </is>
      </c>
      <c r="B4" s="267">
        <f>IF(Assumptions!$C$172+Assumptions!$C$181=0,1,((12-MAX(0,MIN(Assumptions!$C$172,12)-MAX(0,0))-MAX(0,MIN(Assumptions!$C$172+Assumptions!$C$181,12)-MAX(Assumptions!$C$172,0)))+MAX(0,MIN(Assumptions!$C$172+Assumptions!$C$181,12)-MAX(Assumptions!$C$172,0))*(1-Assumptions!$C$182))/12)</f>
        <v/>
      </c>
      <c r="C4" s="267">
        <f>IF(Assumptions!$C$172+Assumptions!$C$181=0,1,((12-MAX(0,MIN(Assumptions!$C$172,24)-MAX(0,12))-MAX(0,MIN(Assumptions!$C$172+Assumptions!$C$181,24)-MAX(Assumptions!$C$172,12)))+MAX(0,MIN(Assumptions!$C$172+Assumptions!$C$181,24)-MAX(Assumptions!$C$172,12))*(1-Assumptions!$C$182))/12)</f>
        <v/>
      </c>
      <c r="D4" s="267">
        <f>IF(Assumptions!$C$172+Assumptions!$C$181=0,1,((12-MAX(0,MIN(Assumptions!$C$172,36)-MAX(0,24))-MAX(0,MIN(Assumptions!$C$172+Assumptions!$C$181,36)-MAX(Assumptions!$C$172,24)))+MAX(0,MIN(Assumptions!$C$172+Assumptions!$C$181,36)-MAX(Assumptions!$C$172,24))*(1-Assumptions!$C$182))/12)</f>
        <v/>
      </c>
      <c r="E4" s="267">
        <f>IF(Assumptions!$C$172+Assumptions!$C$181=0,1,((12-MAX(0,MIN(Assumptions!$C$172,48)-MAX(0,36))-MAX(0,MIN(Assumptions!$C$172+Assumptions!$C$181,48)-MAX(Assumptions!$C$172,36)))+MAX(0,MIN(Assumptions!$C$172+Assumptions!$C$181,48)-MAX(Assumptions!$C$172,36))*(1-Assumptions!$C$182))/12)</f>
        <v/>
      </c>
      <c r="F4" s="267">
        <f>IF(Assumptions!$C$172+Assumptions!$C$181=0,1,((12-MAX(0,MIN(Assumptions!$C$172,60)-MAX(0,48))-MAX(0,MIN(Assumptions!$C$172+Assumptions!$C$181,60)-MAX(Assumptions!$C$172,48)))+MAX(0,MIN(Assumptions!$C$172+Assumptions!$C$181,60)-MAX(Assumptions!$C$172,48))*(1-Assumptions!$C$182))/12)</f>
        <v/>
      </c>
      <c r="G4" s="267">
        <f>IF(Assumptions!$C$172+Assumptions!$C$181=0,1,((12-MAX(0,MIN(Assumptions!$C$172,72)-MAX(0,60))-MAX(0,MIN(Assumptions!$C$172+Assumptions!$C$181,72)-MAX(Assumptions!$C$172,60)))+MAX(0,MIN(Assumptions!$C$172+Assumptions!$C$181,72)-MAX(Assumptions!$C$172,60))*(1-Assumptions!$C$182))/12)</f>
        <v/>
      </c>
      <c r="H4" s="267">
        <f>IF(Assumptions!$C$172+Assumptions!$C$181=0,1,((12-MAX(0,MIN(Assumptions!$C$172,84)-MAX(0,72))-MAX(0,MIN(Assumptions!$C$172+Assumptions!$C$181,84)-MAX(Assumptions!$C$172,72)))+MAX(0,MIN(Assumptions!$C$172+Assumptions!$C$181,84)-MAX(Assumptions!$C$172,72))*(1-Assumptions!$C$182))/12)</f>
        <v/>
      </c>
      <c r="I4" s="267">
        <f>IF(Assumptions!$C$172+Assumptions!$C$181=0,1,((12-MAX(0,MIN(Assumptions!$C$172,96)-MAX(0,84))-MAX(0,MIN(Assumptions!$C$172+Assumptions!$C$181,96)-MAX(Assumptions!$C$172,84)))+MAX(0,MIN(Assumptions!$C$172+Assumptions!$C$181,96)-MAX(Assumptions!$C$172,84))*(1-Assumptions!$C$182))/12)</f>
        <v/>
      </c>
      <c r="J4" s="267">
        <f>IF(Assumptions!$C$172+Assumptions!$C$181=0,1,((12-MAX(0,MIN(Assumptions!$C$172,108)-MAX(0,96))-MAX(0,MIN(Assumptions!$C$172+Assumptions!$C$181,108)-MAX(Assumptions!$C$172,96)))+MAX(0,MIN(Assumptions!$C$172+Assumptions!$C$181,108)-MAX(Assumptions!$C$172,96))*(1-Assumptions!$C$182))/12)</f>
        <v/>
      </c>
      <c r="K4" s="267">
        <f>IF(Assumptions!$C$172+Assumptions!$C$181=0,1,((12-MAX(0,MIN(Assumptions!$C$172,120)-MAX(0,108))-MAX(0,MIN(Assumptions!$C$172+Assumptions!$C$181,120)-MAX(Assumptions!$C$172,108)))+MAX(0,MIN(Assumptions!$C$172+Assumptions!$C$181,120)-MAX(Assumptions!$C$172,108))*(1-Assumptions!$C$182))/12)</f>
        <v/>
      </c>
    </row>
    <row r="5" ht="15" customHeight="1" s="160">
      <c r="A5" s="169" t="inlineStr">
        <is>
          <t>Income</t>
        </is>
      </c>
    </row>
    <row r="6" ht="15" customHeight="1" s="160">
      <c r="A6" s="166" t="inlineStr">
        <is>
          <t>Gross Potential Rents</t>
        </is>
      </c>
      <c r="B6" s="222">
        <f>'Rent Roll'!E45</f>
        <v/>
      </c>
      <c r="C6" s="194">
        <f>B6*(1+Assumptions!$C$135)</f>
        <v/>
      </c>
      <c r="D6" s="194">
        <f>C6*(1+Assumptions!$C$135)</f>
        <v/>
      </c>
      <c r="E6" s="194">
        <f>D6*(1+Assumptions!$C$135)</f>
        <v/>
      </c>
      <c r="F6" s="194">
        <f>E6*(1+Assumptions!$C$135)</f>
        <v/>
      </c>
      <c r="G6" s="194">
        <f>F6*(1+Assumptions!$C$135)</f>
        <v/>
      </c>
      <c r="H6" s="194">
        <f>G6*(1+Assumptions!$C$135)</f>
        <v/>
      </c>
      <c r="I6" s="194">
        <f>H6*(1+Assumptions!$C$135)</f>
        <v/>
      </c>
      <c r="J6" s="194">
        <f>I6*(1+Assumptions!$C$135)</f>
        <v/>
      </c>
      <c r="K6" s="194">
        <f>J6*(1+Assumptions!$C$135)</f>
        <v/>
      </c>
    </row>
    <row r="7" ht="15" customHeight="1" s="160">
      <c r="A7" s="166" t="inlineStr">
        <is>
          <t xml:space="preserve">  Loss to Lease</t>
        </is>
      </c>
      <c r="B7" s="194">
        <f>-B6*Assumptions!$C$137</f>
        <v/>
      </c>
      <c r="C7" s="194">
        <f>-C6*Assumptions!$C$137</f>
        <v/>
      </c>
      <c r="D7" s="194">
        <f>-D6*Assumptions!$C$137</f>
        <v/>
      </c>
      <c r="E7" s="194">
        <f>-E6*Assumptions!$C$137</f>
        <v/>
      </c>
      <c r="F7" s="194">
        <f>-F6*Assumptions!$C$137</f>
        <v/>
      </c>
      <c r="G7" s="194">
        <f>-G6*Assumptions!$C$137</f>
        <v/>
      </c>
      <c r="H7" s="194">
        <f>-H6*Assumptions!$C$137</f>
        <v/>
      </c>
      <c r="I7" s="194">
        <f>-I6*Assumptions!$C$137</f>
        <v/>
      </c>
      <c r="J7" s="194">
        <f>-J6*Assumptions!$C$137</f>
        <v/>
      </c>
      <c r="K7" s="194">
        <f>-K6*Assumptions!$C$137</f>
        <v/>
      </c>
    </row>
    <row r="8" ht="15" customHeight="1" s="160">
      <c r="A8" s="268" t="inlineStr">
        <is>
          <t>Total Gross Potential Rent</t>
        </is>
      </c>
      <c r="B8" s="193">
        <f>B6+B7</f>
        <v/>
      </c>
      <c r="C8" s="193">
        <f>C6+C7</f>
        <v/>
      </c>
      <c r="D8" s="193">
        <f>D6+D7</f>
        <v/>
      </c>
      <c r="E8" s="193">
        <f>E6+E7</f>
        <v/>
      </c>
      <c r="F8" s="193">
        <f>F6+F7</f>
        <v/>
      </c>
      <c r="G8" s="193">
        <f>G6+G7</f>
        <v/>
      </c>
      <c r="H8" s="193">
        <f>H6+H7</f>
        <v/>
      </c>
      <c r="I8" s="193">
        <f>I6+I7</f>
        <v/>
      </c>
      <c r="J8" s="193">
        <f>J6+J7</f>
        <v/>
      </c>
      <c r="K8" s="193">
        <f>K6+K7</f>
        <v/>
      </c>
    </row>
    <row r="9" ht="15" customHeight="1" s="160">
      <c r="A9" s="161" t="n"/>
      <c r="B9" s="161" t="n"/>
      <c r="C9" s="161" t="n"/>
      <c r="D9" s="161" t="n"/>
      <c r="E9" s="161" t="n"/>
      <c r="F9" s="161" t="n"/>
      <c r="G9" s="161" t="n"/>
      <c r="H9" s="161" t="n"/>
      <c r="I9" s="161" t="n"/>
      <c r="J9" s="161" t="n"/>
      <c r="K9" s="161" t="n"/>
    </row>
    <row r="10" ht="15" customHeight="1" s="160">
      <c r="A10" s="166" t="inlineStr">
        <is>
          <t xml:space="preserve">  CAM Reimbursements</t>
        </is>
      </c>
      <c r="B10" s="222">
        <f>Assumptions!C138</f>
        <v/>
      </c>
      <c r="C10" s="194">
        <f>B10*(1+Assumptions!$C$135)</f>
        <v/>
      </c>
      <c r="D10" s="194">
        <f>C10*(1+Assumptions!$C$135)</f>
        <v/>
      </c>
      <c r="E10" s="194">
        <f>D10*(1+Assumptions!$C$135)</f>
        <v/>
      </c>
      <c r="F10" s="194">
        <f>E10*(1+Assumptions!$C$135)</f>
        <v/>
      </c>
      <c r="G10" s="194">
        <f>F10*(1+Assumptions!$C$135)</f>
        <v/>
      </c>
      <c r="H10" s="194">
        <f>G10*(1+Assumptions!$C$135)</f>
        <v/>
      </c>
      <c r="I10" s="194">
        <f>H10*(1+Assumptions!$C$135)</f>
        <v/>
      </c>
      <c r="J10" s="194">
        <f>I10*(1+Assumptions!$C$135)</f>
        <v/>
      </c>
      <c r="K10" s="194">
        <f>J10*(1+Assumptions!$C$135)</f>
        <v/>
      </c>
    </row>
    <row r="11" ht="15" customHeight="1" s="160">
      <c r="A11" s="166" t="inlineStr">
        <is>
          <t xml:space="preserve">  Fees (Damages/App/Pet/Late)</t>
        </is>
      </c>
      <c r="B11" s="222">
        <f>Assumptions!C139</f>
        <v/>
      </c>
      <c r="C11" s="194">
        <f>B11*(1+Assumptions!$C$135)</f>
        <v/>
      </c>
      <c r="D11" s="194">
        <f>C11*(1+Assumptions!$C$135)</f>
        <v/>
      </c>
      <c r="E11" s="194">
        <f>D11*(1+Assumptions!$C$135)</f>
        <v/>
      </c>
      <c r="F11" s="194">
        <f>E11*(1+Assumptions!$C$135)</f>
        <v/>
      </c>
      <c r="G11" s="194">
        <f>F11*(1+Assumptions!$C$135)</f>
        <v/>
      </c>
      <c r="H11" s="194">
        <f>G11*(1+Assumptions!$C$135)</f>
        <v/>
      </c>
      <c r="I11" s="194">
        <f>H11*(1+Assumptions!$C$135)</f>
        <v/>
      </c>
      <c r="J11" s="194">
        <f>I11*(1+Assumptions!$C$135)</f>
        <v/>
      </c>
      <c r="K11" s="194">
        <f>J11*(1+Assumptions!$C$135)</f>
        <v/>
      </c>
    </row>
    <row r="12" ht="15" customHeight="1" s="160">
      <c r="A12" s="268" t="inlineStr">
        <is>
          <t>Total Other Income</t>
        </is>
      </c>
      <c r="B12" s="193">
        <f>B10+B11</f>
        <v/>
      </c>
      <c r="C12" s="193">
        <f>C10+C11</f>
        <v/>
      </c>
      <c r="D12" s="193">
        <f>D10+D11</f>
        <v/>
      </c>
      <c r="E12" s="193">
        <f>E10+E11</f>
        <v/>
      </c>
      <c r="F12" s="193">
        <f>F10+F11</f>
        <v/>
      </c>
      <c r="G12" s="193">
        <f>G10+G11</f>
        <v/>
      </c>
      <c r="H12" s="193">
        <f>H10+H11</f>
        <v/>
      </c>
      <c r="I12" s="193">
        <f>I10+I11</f>
        <v/>
      </c>
      <c r="J12" s="193">
        <f>J10+J11</f>
        <v/>
      </c>
      <c r="K12" s="193">
        <f>K10+K11</f>
        <v/>
      </c>
    </row>
    <row r="13" ht="15" customHeight="1" s="160">
      <c r="A13" s="161" t="n"/>
      <c r="B13" s="161" t="n"/>
      <c r="C13" s="161" t="n"/>
      <c r="D13" s="161" t="n"/>
      <c r="E13" s="161" t="n"/>
      <c r="F13" s="161" t="n"/>
      <c r="G13" s="161" t="n"/>
      <c r="H13" s="161" t="n"/>
      <c r="I13" s="161" t="n"/>
      <c r="J13" s="161" t="n"/>
      <c r="K13" s="161" t="n"/>
    </row>
    <row r="14" ht="15" customHeight="1" s="160">
      <c r="A14" s="258" t="inlineStr">
        <is>
          <t>Total Gross Income</t>
        </is>
      </c>
      <c r="B14" s="269">
        <f>B8+B12</f>
        <v/>
      </c>
      <c r="C14" s="269">
        <f>C8+C12</f>
        <v/>
      </c>
      <c r="D14" s="269">
        <f>D8+D12</f>
        <v/>
      </c>
      <c r="E14" s="269">
        <f>E8+E12</f>
        <v/>
      </c>
      <c r="F14" s="269">
        <f>F8+F12</f>
        <v/>
      </c>
      <c r="G14" s="269">
        <f>G8+G12</f>
        <v/>
      </c>
      <c r="H14" s="269">
        <f>H8+H12</f>
        <v/>
      </c>
      <c r="I14" s="269">
        <f>I8+I12</f>
        <v/>
      </c>
      <c r="J14" s="269">
        <f>J8+J12</f>
        <v/>
      </c>
      <c r="K14" s="269">
        <f>K8+K12</f>
        <v/>
      </c>
    </row>
    <row r="15" ht="15" customHeight="1" s="160">
      <c r="A15" s="166" t="inlineStr">
        <is>
          <t xml:space="preserve">  Less: Vacancy &amp; Bad Debt</t>
        </is>
      </c>
      <c r="B15" s="194">
        <f>-B14*Assumptions!$C$134</f>
        <v/>
      </c>
      <c r="C15" s="194">
        <f>-C14*Assumptions!$C$134</f>
        <v/>
      </c>
      <c r="D15" s="194">
        <f>-D14*Assumptions!$C$134</f>
        <v/>
      </c>
      <c r="E15" s="194">
        <f>-E14*Assumptions!$C$134</f>
        <v/>
      </c>
      <c r="F15" s="194">
        <f>-F14*Assumptions!$C$134</f>
        <v/>
      </c>
      <c r="G15" s="194">
        <f>-G14*Assumptions!$C$134</f>
        <v/>
      </c>
      <c r="H15" s="194">
        <f>-H14*Assumptions!$C$134</f>
        <v/>
      </c>
      <c r="I15" s="194">
        <f>-I14*Assumptions!$C$134</f>
        <v/>
      </c>
      <c r="J15" s="194">
        <f>-J14*Assumptions!$C$134</f>
        <v/>
      </c>
      <c r="K15" s="194">
        <f>-K14*Assumptions!$C$134</f>
        <v/>
      </c>
    </row>
    <row r="16" ht="15" customHeight="1" s="160">
      <c r="A16" s="161" t="n"/>
      <c r="B16" s="161" t="n"/>
      <c r="C16" s="161" t="n"/>
      <c r="D16" s="161" t="n"/>
      <c r="E16" s="161" t="n"/>
      <c r="F16" s="161" t="n"/>
      <c r="G16" s="161" t="n"/>
      <c r="H16" s="161" t="n"/>
      <c r="I16" s="161" t="n"/>
      <c r="J16" s="161" t="n"/>
      <c r="K16" s="161" t="n"/>
    </row>
    <row r="17" ht="15" customHeight="1" s="160">
      <c r="A17" s="264" t="inlineStr">
        <is>
          <t>Effective Gross Income</t>
        </is>
      </c>
      <c r="B17" s="203">
        <f>(B14+B15)*B4</f>
        <v/>
      </c>
      <c r="C17" s="203">
        <f>(C14+C15)*C4</f>
        <v/>
      </c>
      <c r="D17" s="203">
        <f>(D14+D15)*D4</f>
        <v/>
      </c>
      <c r="E17" s="203">
        <f>(E14+E15)*E4</f>
        <v/>
      </c>
      <c r="F17" s="203">
        <f>(F14+F15)*F4</f>
        <v/>
      </c>
      <c r="G17" s="203">
        <f>(G14+G15)*G4</f>
        <v/>
      </c>
      <c r="H17" s="203">
        <f>(H14+H15)*H4</f>
        <v/>
      </c>
      <c r="I17" s="203">
        <f>(I14+I15)*I4</f>
        <v/>
      </c>
      <c r="J17" s="203">
        <f>(J14+J15)*J4</f>
        <v/>
      </c>
      <c r="K17" s="203">
        <f>(K14+K15)*K4</f>
        <v/>
      </c>
    </row>
    <row r="18" ht="15" customHeight="1" s="160">
      <c r="A18" s="161" t="n"/>
    </row>
    <row r="19" ht="15" customHeight="1" s="160">
      <c r="A19" s="169" t="inlineStr">
        <is>
          <t>Operating Expenses — Fixed</t>
        </is>
      </c>
    </row>
    <row r="20" ht="15" customHeight="1" s="160">
      <c r="A20" s="166" t="inlineStr">
        <is>
          <t xml:space="preserve">  Real Estate Taxes</t>
        </is>
      </c>
      <c r="B20" s="222">
        <f>Assumptions!C142</f>
        <v/>
      </c>
      <c r="C20" s="194">
        <f>B20*(1+Assumptions!$C$136)</f>
        <v/>
      </c>
      <c r="D20" s="194">
        <f>C20*(1+Assumptions!$C$136)</f>
        <v/>
      </c>
      <c r="E20" s="194">
        <f>D20*(1+Assumptions!$C$136)</f>
        <v/>
      </c>
      <c r="F20" s="194">
        <f>E20*(1+Assumptions!$C$136)</f>
        <v/>
      </c>
      <c r="G20" s="194">
        <f>F20*(1+Assumptions!$C$136)</f>
        <v/>
      </c>
      <c r="H20" s="194">
        <f>G20*(1+Assumptions!$C$136)</f>
        <v/>
      </c>
      <c r="I20" s="194">
        <f>H20*(1+Assumptions!$C$136)</f>
        <v/>
      </c>
      <c r="J20" s="194">
        <f>I20*(1+Assumptions!$C$136)</f>
        <v/>
      </c>
      <c r="K20" s="194">
        <f>J20*(1+Assumptions!$C$136)</f>
        <v/>
      </c>
    </row>
    <row r="21" ht="15" customHeight="1" s="160">
      <c r="A21" s="166" t="inlineStr">
        <is>
          <t xml:space="preserve">  Insurance</t>
        </is>
      </c>
      <c r="B21" s="222">
        <f>Assumptions!C143</f>
        <v/>
      </c>
      <c r="C21" s="194">
        <f>B21*(1+Assumptions!$C$136)</f>
        <v/>
      </c>
      <c r="D21" s="194">
        <f>C21*(1+Assumptions!$C$136)</f>
        <v/>
      </c>
      <c r="E21" s="194">
        <f>D21*(1+Assumptions!$C$136)</f>
        <v/>
      </c>
      <c r="F21" s="194">
        <f>E21*(1+Assumptions!$C$136)</f>
        <v/>
      </c>
      <c r="G21" s="194">
        <f>F21*(1+Assumptions!$C$136)</f>
        <v/>
      </c>
      <c r="H21" s="194">
        <f>G21*(1+Assumptions!$C$136)</f>
        <v/>
      </c>
      <c r="I21" s="194">
        <f>H21*(1+Assumptions!$C$136)</f>
        <v/>
      </c>
      <c r="J21" s="194">
        <f>I21*(1+Assumptions!$C$136)</f>
        <v/>
      </c>
      <c r="K21" s="194">
        <f>J21*(1+Assumptions!$C$136)</f>
        <v/>
      </c>
    </row>
    <row r="22" ht="15" customHeight="1" s="160">
      <c r="A22" s="166" t="inlineStr">
        <is>
          <t xml:space="preserve">  Gas</t>
        </is>
      </c>
      <c r="B22" s="222">
        <f>Assumptions!C144</f>
        <v/>
      </c>
      <c r="C22" s="194">
        <f>B22*(1+Assumptions!$C$136)</f>
        <v/>
      </c>
      <c r="D22" s="194">
        <f>C22*(1+Assumptions!$C$136)</f>
        <v/>
      </c>
      <c r="E22" s="194">
        <f>D22*(1+Assumptions!$C$136)</f>
        <v/>
      </c>
      <c r="F22" s="194">
        <f>E22*(1+Assumptions!$C$136)</f>
        <v/>
      </c>
      <c r="G22" s="194">
        <f>F22*(1+Assumptions!$C$136)</f>
        <v/>
      </c>
      <c r="H22" s="194">
        <f>G22*(1+Assumptions!$C$136)</f>
        <v/>
      </c>
      <c r="I22" s="194">
        <f>H22*(1+Assumptions!$C$136)</f>
        <v/>
      </c>
      <c r="J22" s="194">
        <f>I22*(1+Assumptions!$C$136)</f>
        <v/>
      </c>
      <c r="K22" s="194">
        <f>J22*(1+Assumptions!$C$136)</f>
        <v/>
      </c>
    </row>
    <row r="23" ht="15" customHeight="1" s="160">
      <c r="A23" s="166" t="inlineStr">
        <is>
          <t xml:space="preserve">  Water &amp; Sewer</t>
        </is>
      </c>
      <c r="B23" s="222">
        <f>Assumptions!C145</f>
        <v/>
      </c>
      <c r="C23" s="194">
        <f>B23*(1+Assumptions!$C$136)</f>
        <v/>
      </c>
      <c r="D23" s="194">
        <f>C23*(1+Assumptions!$C$136)</f>
        <v/>
      </c>
      <c r="E23" s="194">
        <f>D23*(1+Assumptions!$C$136)</f>
        <v/>
      </c>
      <c r="F23" s="194">
        <f>E23*(1+Assumptions!$C$136)</f>
        <v/>
      </c>
      <c r="G23" s="194">
        <f>F23*(1+Assumptions!$C$136)</f>
        <v/>
      </c>
      <c r="H23" s="194">
        <f>G23*(1+Assumptions!$C$136)</f>
        <v/>
      </c>
      <c r="I23" s="194">
        <f>H23*(1+Assumptions!$C$136)</f>
        <v/>
      </c>
      <c r="J23" s="194">
        <f>I23*(1+Assumptions!$C$136)</f>
        <v/>
      </c>
      <c r="K23" s="194">
        <f>J23*(1+Assumptions!$C$136)</f>
        <v/>
      </c>
    </row>
    <row r="24" ht="15" customHeight="1" s="160">
      <c r="A24" s="166" t="inlineStr">
        <is>
          <t xml:space="preserve">  Electric</t>
        </is>
      </c>
      <c r="B24" s="222">
        <f>Assumptions!C146</f>
        <v/>
      </c>
      <c r="C24" s="194">
        <f>B24*(1+Assumptions!$C$136)</f>
        <v/>
      </c>
      <c r="D24" s="194">
        <f>C24*(1+Assumptions!$C$136)</f>
        <v/>
      </c>
      <c r="E24" s="194">
        <f>D24*(1+Assumptions!$C$136)</f>
        <v/>
      </c>
      <c r="F24" s="194">
        <f>E24*(1+Assumptions!$C$136)</f>
        <v/>
      </c>
      <c r="G24" s="194">
        <f>F24*(1+Assumptions!$C$136)</f>
        <v/>
      </c>
      <c r="H24" s="194">
        <f>G24*(1+Assumptions!$C$136)</f>
        <v/>
      </c>
      <c r="I24" s="194">
        <f>H24*(1+Assumptions!$C$136)</f>
        <v/>
      </c>
      <c r="J24" s="194">
        <f>I24*(1+Assumptions!$C$136)</f>
        <v/>
      </c>
      <c r="K24" s="194">
        <f>J24*(1+Assumptions!$C$136)</f>
        <v/>
      </c>
    </row>
    <row r="25" ht="15" customHeight="1" s="160">
      <c r="A25" s="166" t="inlineStr">
        <is>
          <t xml:space="preserve">  License / Inspections</t>
        </is>
      </c>
      <c r="B25" s="222">
        <f>Assumptions!C147</f>
        <v/>
      </c>
      <c r="C25" s="194">
        <f>B25*(1+Assumptions!$C$136)</f>
        <v/>
      </c>
      <c r="D25" s="194">
        <f>C25*(1+Assumptions!$C$136)</f>
        <v/>
      </c>
      <c r="E25" s="194">
        <f>D25*(1+Assumptions!$C$136)</f>
        <v/>
      </c>
      <c r="F25" s="194">
        <f>E25*(1+Assumptions!$C$136)</f>
        <v/>
      </c>
      <c r="G25" s="194">
        <f>F25*(1+Assumptions!$C$136)</f>
        <v/>
      </c>
      <c r="H25" s="194">
        <f>G25*(1+Assumptions!$C$136)</f>
        <v/>
      </c>
      <c r="I25" s="194">
        <f>H25*(1+Assumptions!$C$136)</f>
        <v/>
      </c>
      <c r="J25" s="194">
        <f>I25*(1+Assumptions!$C$136)</f>
        <v/>
      </c>
      <c r="K25" s="194">
        <f>J25*(1+Assumptions!$C$136)</f>
        <v/>
      </c>
    </row>
    <row r="26" ht="15" customHeight="1" s="160">
      <c r="A26" s="166" t="inlineStr">
        <is>
          <t xml:space="preserve">  Trash Removal</t>
        </is>
      </c>
      <c r="B26" s="222">
        <f>Assumptions!C148</f>
        <v/>
      </c>
      <c r="C26" s="194">
        <f>B26*(1+Assumptions!$C$136)</f>
        <v/>
      </c>
      <c r="D26" s="194">
        <f>C26*(1+Assumptions!$C$136)</f>
        <v/>
      </c>
      <c r="E26" s="194">
        <f>D26*(1+Assumptions!$C$136)</f>
        <v/>
      </c>
      <c r="F26" s="194">
        <f>E26*(1+Assumptions!$C$136)</f>
        <v/>
      </c>
      <c r="G26" s="194">
        <f>F26*(1+Assumptions!$C$136)</f>
        <v/>
      </c>
      <c r="H26" s="194">
        <f>G26*(1+Assumptions!$C$136)</f>
        <v/>
      </c>
      <c r="I26" s="194">
        <f>H26*(1+Assumptions!$C$136)</f>
        <v/>
      </c>
      <c r="J26" s="194">
        <f>I26*(1+Assumptions!$C$136)</f>
        <v/>
      </c>
      <c r="K26" s="194">
        <f>J26*(1+Assumptions!$C$136)</f>
        <v/>
      </c>
    </row>
    <row r="27" ht="15" customHeight="1" s="160">
      <c r="A27" s="268" t="inlineStr">
        <is>
          <t>Total Fixed Expenses</t>
        </is>
      </c>
      <c r="B27" s="193">
        <f>B20+B21+B22+B23+B24+B25+B26</f>
        <v/>
      </c>
      <c r="C27" s="193">
        <f>C20+C21+C22+C23+C24+C25+C26</f>
        <v/>
      </c>
      <c r="D27" s="193">
        <f>D20+D21+D22+D23+D24+D25+D26</f>
        <v/>
      </c>
      <c r="E27" s="193">
        <f>E20+E21+E22+E23+E24+E25+E26</f>
        <v/>
      </c>
      <c r="F27" s="193">
        <f>F20+F21+F22+F23+F24+F25+F26</f>
        <v/>
      </c>
      <c r="G27" s="193">
        <f>G20+G21+G22+G23+G24+G25+G26</f>
        <v/>
      </c>
      <c r="H27" s="193">
        <f>H20+H21+H22+H23+H24+H25+H26</f>
        <v/>
      </c>
      <c r="I27" s="193">
        <f>I20+I21+I22+I23+I24+I25+I26</f>
        <v/>
      </c>
      <c r="J27" s="193">
        <f>J20+J21+J22+J23+J24+J25+J26</f>
        <v/>
      </c>
      <c r="K27" s="193">
        <f>K20+K21+K22+K23+K24+K25+K26</f>
        <v/>
      </c>
    </row>
    <row r="28" ht="15" customHeight="1" s="160">
      <c r="A28" s="161" t="n"/>
    </row>
    <row r="29" ht="15" customHeight="1" s="160">
      <c r="A29" s="169" t="inlineStr">
        <is>
          <t>Operating Expenses — Variable</t>
        </is>
      </c>
    </row>
    <row r="30" ht="15" customHeight="1" s="160">
      <c r="A30" s="166" t="inlineStr">
        <is>
          <t xml:space="preserve">  Management Fee</t>
        </is>
      </c>
      <c r="B30" s="194">
        <f>B17*Assumptions!$C$152</f>
        <v/>
      </c>
      <c r="C30" s="194">
        <f>C17*Assumptions!$C$152</f>
        <v/>
      </c>
      <c r="D30" s="194">
        <f>D17*Assumptions!$C$152</f>
        <v/>
      </c>
      <c r="E30" s="194">
        <f>E17*Assumptions!$C$152</f>
        <v/>
      </c>
      <c r="F30" s="194">
        <f>F17*Assumptions!$C$152</f>
        <v/>
      </c>
      <c r="G30" s="194">
        <f>G17*Assumptions!$C$152</f>
        <v/>
      </c>
      <c r="H30" s="194">
        <f>H17*Assumptions!$C$152</f>
        <v/>
      </c>
      <c r="I30" s="194">
        <f>I17*Assumptions!$C$152</f>
        <v/>
      </c>
      <c r="J30" s="194">
        <f>J17*Assumptions!$C$152</f>
        <v/>
      </c>
      <c r="K30" s="194">
        <f>K17*Assumptions!$C$152</f>
        <v/>
      </c>
    </row>
    <row r="31" ht="15" customHeight="1" s="160">
      <c r="A31" s="166" t="inlineStr">
        <is>
          <t xml:space="preserve">  Salaries</t>
        </is>
      </c>
      <c r="B31" s="222">
        <f>Assumptions!C153</f>
        <v/>
      </c>
      <c r="C31" s="194">
        <f>B31*(1+Assumptions!$C$136)</f>
        <v/>
      </c>
      <c r="D31" s="194">
        <f>C31*(1+Assumptions!$C$136)</f>
        <v/>
      </c>
      <c r="E31" s="194">
        <f>D31*(1+Assumptions!$C$136)</f>
        <v/>
      </c>
      <c r="F31" s="194">
        <f>E31*(1+Assumptions!$C$136)</f>
        <v/>
      </c>
      <c r="G31" s="194">
        <f>F31*(1+Assumptions!$C$136)</f>
        <v/>
      </c>
      <c r="H31" s="194">
        <f>G31*(1+Assumptions!$C$136)</f>
        <v/>
      </c>
      <c r="I31" s="194">
        <f>H31*(1+Assumptions!$C$136)</f>
        <v/>
      </c>
      <c r="J31" s="194">
        <f>I31*(1+Assumptions!$C$136)</f>
        <v/>
      </c>
      <c r="K31" s="194">
        <f>J31*(1+Assumptions!$C$136)</f>
        <v/>
      </c>
    </row>
    <row r="32" ht="15" customHeight="1" s="160">
      <c r="A32" s="270" t="inlineStr">
        <is>
          <t xml:space="preserve">  Repairs / Maint / Turnover:</t>
        </is>
      </c>
      <c r="B32" s="161" t="n"/>
      <c r="C32" s="161" t="n"/>
      <c r="D32" s="161" t="n"/>
      <c r="E32" s="161" t="n"/>
      <c r="F32" s="161" t="n"/>
      <c r="G32" s="161" t="n"/>
      <c r="H32" s="161" t="n"/>
      <c r="I32" s="161" t="n"/>
      <c r="J32" s="161" t="n"/>
      <c r="K32" s="161" t="n"/>
    </row>
    <row r="33" ht="15" customHeight="1" s="160">
      <c r="A33" s="166" t="inlineStr">
        <is>
          <t xml:space="preserve">  Repairs</t>
        </is>
      </c>
      <c r="B33" s="222">
        <f>Assumptions!C154</f>
        <v/>
      </c>
      <c r="C33" s="194">
        <f>B33*(1+Assumptions!$C$136)</f>
        <v/>
      </c>
      <c r="D33" s="194">
        <f>C33*(1+Assumptions!$C$136)</f>
        <v/>
      </c>
      <c r="E33" s="194">
        <f>D33*(1+Assumptions!$C$136)</f>
        <v/>
      </c>
      <c r="F33" s="194">
        <f>E33*(1+Assumptions!$C$136)</f>
        <v/>
      </c>
      <c r="G33" s="194">
        <f>F33*(1+Assumptions!$C$136)</f>
        <v/>
      </c>
      <c r="H33" s="194">
        <f>G33*(1+Assumptions!$C$136)</f>
        <v/>
      </c>
      <c r="I33" s="194">
        <f>H33*(1+Assumptions!$C$136)</f>
        <v/>
      </c>
      <c r="J33" s="194">
        <f>I33*(1+Assumptions!$C$136)</f>
        <v/>
      </c>
      <c r="K33" s="194">
        <f>J33*(1+Assumptions!$C$136)</f>
        <v/>
      </c>
    </row>
    <row r="34" ht="15" customHeight="1" s="160">
      <c r="A34" s="166" t="inlineStr">
        <is>
          <t xml:space="preserve">  Exterminator</t>
        </is>
      </c>
      <c r="B34" s="222">
        <f>Assumptions!C155</f>
        <v/>
      </c>
      <c r="C34" s="194">
        <f>B34*(1+Assumptions!$C$136)</f>
        <v/>
      </c>
      <c r="D34" s="194">
        <f>C34*(1+Assumptions!$C$136)</f>
        <v/>
      </c>
      <c r="E34" s="194">
        <f>D34*(1+Assumptions!$C$136)</f>
        <v/>
      </c>
      <c r="F34" s="194">
        <f>E34*(1+Assumptions!$C$136)</f>
        <v/>
      </c>
      <c r="G34" s="194">
        <f>F34*(1+Assumptions!$C$136)</f>
        <v/>
      </c>
      <c r="H34" s="194">
        <f>G34*(1+Assumptions!$C$136)</f>
        <v/>
      </c>
      <c r="I34" s="194">
        <f>H34*(1+Assumptions!$C$136)</f>
        <v/>
      </c>
      <c r="J34" s="194">
        <f>I34*(1+Assumptions!$C$136)</f>
        <v/>
      </c>
      <c r="K34" s="194">
        <f>J34*(1+Assumptions!$C$136)</f>
        <v/>
      </c>
    </row>
    <row r="35" ht="15" customHeight="1" s="160">
      <c r="A35" s="166" t="inlineStr">
        <is>
          <t xml:space="preserve">  Cleaning / Maintenance</t>
        </is>
      </c>
      <c r="B35" s="222">
        <f>Assumptions!C156</f>
        <v/>
      </c>
      <c r="C35" s="194">
        <f>B35*(1+Assumptions!$C$136)</f>
        <v/>
      </c>
      <c r="D35" s="194">
        <f>C35*(1+Assumptions!$C$136)</f>
        <v/>
      </c>
      <c r="E35" s="194">
        <f>D35*(1+Assumptions!$C$136)</f>
        <v/>
      </c>
      <c r="F35" s="194">
        <f>E35*(1+Assumptions!$C$136)</f>
        <v/>
      </c>
      <c r="G35" s="194">
        <f>F35*(1+Assumptions!$C$136)</f>
        <v/>
      </c>
      <c r="H35" s="194">
        <f>G35*(1+Assumptions!$C$136)</f>
        <v/>
      </c>
      <c r="I35" s="194">
        <f>H35*(1+Assumptions!$C$136)</f>
        <v/>
      </c>
      <c r="J35" s="194">
        <f>I35*(1+Assumptions!$C$136)</f>
        <v/>
      </c>
      <c r="K35" s="194">
        <f>J35*(1+Assumptions!$C$136)</f>
        <v/>
      </c>
    </row>
    <row r="36" ht="15" customHeight="1" s="160">
      <c r="A36" s="166" t="inlineStr">
        <is>
          <t xml:space="preserve">  Turnover</t>
        </is>
      </c>
      <c r="B36" s="222">
        <f>Assumptions!C157</f>
        <v/>
      </c>
      <c r="C36" s="194">
        <f>B36*(1+Assumptions!$C$136)</f>
        <v/>
      </c>
      <c r="D36" s="194">
        <f>C36*(1+Assumptions!$C$136)</f>
        <v/>
      </c>
      <c r="E36" s="194">
        <f>D36*(1+Assumptions!$C$136)</f>
        <v/>
      </c>
      <c r="F36" s="194">
        <f>E36*(1+Assumptions!$C$136)</f>
        <v/>
      </c>
      <c r="G36" s="194">
        <f>F36*(1+Assumptions!$C$136)</f>
        <v/>
      </c>
      <c r="H36" s="194">
        <f>G36*(1+Assumptions!$C$136)</f>
        <v/>
      </c>
      <c r="I36" s="194">
        <f>H36*(1+Assumptions!$C$136)</f>
        <v/>
      </c>
      <c r="J36" s="194">
        <f>I36*(1+Assumptions!$C$136)</f>
        <v/>
      </c>
      <c r="K36" s="194">
        <f>J36*(1+Assumptions!$C$136)</f>
        <v/>
      </c>
    </row>
    <row r="37" ht="15" customHeight="1" s="160">
      <c r="A37" s="166" t="inlineStr">
        <is>
          <t xml:space="preserve">  Advertising</t>
        </is>
      </c>
      <c r="B37" s="222">
        <f>Assumptions!C158</f>
        <v/>
      </c>
      <c r="C37" s="194">
        <f>B37*(1+Assumptions!$C$136)</f>
        <v/>
      </c>
      <c r="D37" s="194">
        <f>C37*(1+Assumptions!$C$136)</f>
        <v/>
      </c>
      <c r="E37" s="194">
        <f>D37*(1+Assumptions!$C$136)</f>
        <v/>
      </c>
      <c r="F37" s="194">
        <f>E37*(1+Assumptions!$C$136)</f>
        <v/>
      </c>
      <c r="G37" s="194">
        <f>F37*(1+Assumptions!$C$136)</f>
        <v/>
      </c>
      <c r="H37" s="194">
        <f>G37*(1+Assumptions!$C$136)</f>
        <v/>
      </c>
      <c r="I37" s="194">
        <f>H37*(1+Assumptions!$C$136)</f>
        <v/>
      </c>
      <c r="J37" s="194">
        <f>I37*(1+Assumptions!$C$136)</f>
        <v/>
      </c>
      <c r="K37" s="194">
        <f>J37*(1+Assumptions!$C$136)</f>
        <v/>
      </c>
    </row>
    <row r="38" ht="15" customHeight="1" s="160">
      <c r="A38" s="166" t="inlineStr">
        <is>
          <t xml:space="preserve">  Landscape / Snow</t>
        </is>
      </c>
      <c r="B38" s="222">
        <f>Assumptions!C159</f>
        <v/>
      </c>
      <c r="C38" s="194">
        <f>B38*(1+Assumptions!$C$136)</f>
        <v/>
      </c>
      <c r="D38" s="194">
        <f>C38*(1+Assumptions!$C$136)</f>
        <v/>
      </c>
      <c r="E38" s="194">
        <f>D38*(1+Assumptions!$C$136)</f>
        <v/>
      </c>
      <c r="F38" s="194">
        <f>E38*(1+Assumptions!$C$136)</f>
        <v/>
      </c>
      <c r="G38" s="194">
        <f>F38*(1+Assumptions!$C$136)</f>
        <v/>
      </c>
      <c r="H38" s="194">
        <f>G38*(1+Assumptions!$C$136)</f>
        <v/>
      </c>
      <c r="I38" s="194">
        <f>H38*(1+Assumptions!$C$136)</f>
        <v/>
      </c>
      <c r="J38" s="194">
        <f>I38*(1+Assumptions!$C$136)</f>
        <v/>
      </c>
      <c r="K38" s="194">
        <f>J38*(1+Assumptions!$C$136)</f>
        <v/>
      </c>
    </row>
    <row r="39" ht="15" customHeight="1" s="160">
      <c r="A39" s="270" t="inlineStr">
        <is>
          <t xml:space="preserve">  Admin / Legal / Acct / Office:</t>
        </is>
      </c>
      <c r="B39" s="161" t="n"/>
      <c r="C39" s="161" t="n"/>
      <c r="D39" s="161" t="n"/>
      <c r="E39" s="161" t="n"/>
      <c r="F39" s="161" t="n"/>
      <c r="G39" s="161" t="n"/>
      <c r="H39" s="161" t="n"/>
      <c r="I39" s="161" t="n"/>
      <c r="J39" s="161" t="n"/>
      <c r="K39" s="161" t="n"/>
    </row>
    <row r="40" ht="15" customHeight="1" s="160">
      <c r="A40" s="166" t="inlineStr">
        <is>
          <t xml:space="preserve">  Admin / Legal / Acct.</t>
        </is>
      </c>
      <c r="B40" s="222">
        <f>Assumptions!C160</f>
        <v/>
      </c>
      <c r="C40" s="194">
        <f>B40*(1+Assumptions!$C$136)</f>
        <v/>
      </c>
      <c r="D40" s="194">
        <f>C40*(1+Assumptions!$C$136)</f>
        <v/>
      </c>
      <c r="E40" s="194">
        <f>D40*(1+Assumptions!$C$136)</f>
        <v/>
      </c>
      <c r="F40" s="194">
        <f>E40*(1+Assumptions!$C$136)</f>
        <v/>
      </c>
      <c r="G40" s="194">
        <f>F40*(1+Assumptions!$C$136)</f>
        <v/>
      </c>
      <c r="H40" s="194">
        <f>G40*(1+Assumptions!$C$136)</f>
        <v/>
      </c>
      <c r="I40" s="194">
        <f>H40*(1+Assumptions!$C$136)</f>
        <v/>
      </c>
      <c r="J40" s="194">
        <f>I40*(1+Assumptions!$C$136)</f>
        <v/>
      </c>
      <c r="K40" s="194">
        <f>J40*(1+Assumptions!$C$136)</f>
        <v/>
      </c>
    </row>
    <row r="41" ht="15" customHeight="1" s="160">
      <c r="A41" s="166" t="inlineStr">
        <is>
          <t xml:space="preserve">  Office / Phone / Supplies</t>
        </is>
      </c>
      <c r="B41" s="222">
        <f>Assumptions!C161</f>
        <v/>
      </c>
      <c r="C41" s="194">
        <f>B41*(1+Assumptions!$C$136)</f>
        <v/>
      </c>
      <c r="D41" s="194">
        <f>C41*(1+Assumptions!$C$136)</f>
        <v/>
      </c>
      <c r="E41" s="194">
        <f>D41*(1+Assumptions!$C$136)</f>
        <v/>
      </c>
      <c r="F41" s="194">
        <f>E41*(1+Assumptions!$C$136)</f>
        <v/>
      </c>
      <c r="G41" s="194">
        <f>F41*(1+Assumptions!$C$136)</f>
        <v/>
      </c>
      <c r="H41" s="194">
        <f>G41*(1+Assumptions!$C$136)</f>
        <v/>
      </c>
      <c r="I41" s="194">
        <f>H41*(1+Assumptions!$C$136)</f>
        <v/>
      </c>
      <c r="J41" s="194">
        <f>I41*(1+Assumptions!$C$136)</f>
        <v/>
      </c>
      <c r="K41" s="194">
        <f>J41*(1+Assumptions!$C$136)</f>
        <v/>
      </c>
    </row>
    <row r="42" ht="15" customHeight="1" s="160">
      <c r="A42" s="166" t="inlineStr">
        <is>
          <t xml:space="preserve">  Miscellaneous</t>
        </is>
      </c>
      <c r="B42" s="222">
        <f>Assumptions!C162</f>
        <v/>
      </c>
      <c r="C42" s="194">
        <f>B42*(1+Assumptions!$C$136)</f>
        <v/>
      </c>
      <c r="D42" s="194">
        <f>C42*(1+Assumptions!$C$136)</f>
        <v/>
      </c>
      <c r="E42" s="194">
        <f>D42*(1+Assumptions!$C$136)</f>
        <v/>
      </c>
      <c r="F42" s="194">
        <f>E42*(1+Assumptions!$C$136)</f>
        <v/>
      </c>
      <c r="G42" s="194">
        <f>F42*(1+Assumptions!$C$136)</f>
        <v/>
      </c>
      <c r="H42" s="194">
        <f>G42*(1+Assumptions!$C$136)</f>
        <v/>
      </c>
      <c r="I42" s="194">
        <f>H42*(1+Assumptions!$C$136)</f>
        <v/>
      </c>
      <c r="J42" s="194">
        <f>I42*(1+Assumptions!$C$136)</f>
        <v/>
      </c>
      <c r="K42" s="194">
        <f>J42*(1+Assumptions!$C$136)</f>
        <v/>
      </c>
    </row>
    <row r="43" ht="15" customHeight="1" s="160">
      <c r="A43" s="268" t="inlineStr">
        <is>
          <t>Total Variable Expenses</t>
        </is>
      </c>
      <c r="B43" s="193">
        <f>B30+B31+B33+B34+B35+B36+B37+B38+B40+B41+B42</f>
        <v/>
      </c>
      <c r="C43" s="193">
        <f>C30+C31+C33+C34+C35+C36+C37+C38+C40+C41+C42</f>
        <v/>
      </c>
      <c r="D43" s="193">
        <f>D30+D31+D33+D34+D35+D36+D37+D38+D40+D41+D42</f>
        <v/>
      </c>
      <c r="E43" s="193">
        <f>E30+E31+E33+E34+E35+E36+E37+E38+E40+E41+E42</f>
        <v/>
      </c>
      <c r="F43" s="193">
        <f>F30+F31+F33+F34+F35+F36+F37+F38+F40+F41+F42</f>
        <v/>
      </c>
      <c r="G43" s="193">
        <f>G30+G31+G33+G34+G35+G36+G37+G38+G40+G41+G42</f>
        <v/>
      </c>
      <c r="H43" s="193">
        <f>H30+H31+H33+H34+H35+H36+H37+H38+H40+H41+H42</f>
        <v/>
      </c>
      <c r="I43" s="193">
        <f>I30+I31+I33+I34+I35+I36+I37+I38+I40+I41+I42</f>
        <v/>
      </c>
      <c r="J43" s="193">
        <f>J30+J31+J33+J34+J35+J36+J37+J38+J40+J41+J42</f>
        <v/>
      </c>
      <c r="K43" s="193">
        <f>K30+K31+K33+K34+K35+K36+K37+K38+K40+K41+K42</f>
        <v/>
      </c>
    </row>
    <row r="44" ht="15" customHeight="1" s="160">
      <c r="A44" s="161" t="n"/>
      <c r="B44" s="161" t="n"/>
      <c r="C44" s="161" t="n"/>
      <c r="D44" s="161" t="n"/>
      <c r="E44" s="161" t="n"/>
      <c r="F44" s="161" t="n"/>
      <c r="G44" s="161" t="n"/>
      <c r="H44" s="161" t="n"/>
      <c r="I44" s="161" t="n"/>
      <c r="J44" s="161" t="n"/>
      <c r="K44" s="161" t="n"/>
    </row>
    <row r="45" ht="15" customHeight="1" s="160">
      <c r="A45" s="271" t="inlineStr">
        <is>
          <t>Total Expenses</t>
        </is>
      </c>
      <c r="B45" s="272">
        <f>B27+B43</f>
        <v/>
      </c>
      <c r="C45" s="272">
        <f>C27+C43</f>
        <v/>
      </c>
      <c r="D45" s="272">
        <f>D27+D43</f>
        <v/>
      </c>
      <c r="E45" s="272">
        <f>E27+E43</f>
        <v/>
      </c>
      <c r="F45" s="272">
        <f>F27+F43</f>
        <v/>
      </c>
      <c r="G45" s="272">
        <f>G27+G43</f>
        <v/>
      </c>
      <c r="H45" s="272">
        <f>H27+H43</f>
        <v/>
      </c>
      <c r="I45" s="272">
        <f>I27+I43</f>
        <v/>
      </c>
      <c r="J45" s="272">
        <f>J27+J43</f>
        <v/>
      </c>
      <c r="K45" s="272">
        <f>K27+K43</f>
        <v/>
      </c>
    </row>
    <row r="46" ht="15" customHeight="1" s="160">
      <c r="A46" s="166" t="inlineStr">
        <is>
          <t>Revenue / Expense Ratio</t>
        </is>
      </c>
      <c r="B46" s="223">
        <f>IF(B17&gt;0,B45/B17,0)</f>
        <v/>
      </c>
      <c r="C46" s="223">
        <f>IF(C17&gt;0,C45/C17,0)</f>
        <v/>
      </c>
      <c r="D46" s="223">
        <f>IF(D17&gt;0,D45/D17,0)</f>
        <v/>
      </c>
      <c r="E46" s="223">
        <f>IF(E17&gt;0,E45/E17,0)</f>
        <v/>
      </c>
      <c r="F46" s="223">
        <f>IF(F17&gt;0,F45/F17,0)</f>
        <v/>
      </c>
      <c r="G46" s="223">
        <f>IF(G17&gt;0,G45/G17,0)</f>
        <v/>
      </c>
      <c r="H46" s="223">
        <f>IF(H17&gt;0,H45/H17,0)</f>
        <v/>
      </c>
      <c r="I46" s="223">
        <f>IF(I17&gt;0,I45/I17,0)</f>
        <v/>
      </c>
      <c r="J46" s="223">
        <f>IF(J17&gt;0,J45/J17,0)</f>
        <v/>
      </c>
      <c r="K46" s="223">
        <f>IF(K17&gt;0,K45/K17,0)</f>
        <v/>
      </c>
    </row>
    <row r="47" ht="15" customHeight="1" s="160">
      <c r="A47" s="166" t="inlineStr">
        <is>
          <t>Expenses per Unit</t>
        </is>
      </c>
      <c r="B47" s="194">
        <f>IF(Assumptions!$C$9&gt;0,B45/Assumptions!$C$9,0)</f>
        <v/>
      </c>
      <c r="C47" s="194">
        <f>IF(Assumptions!$C$9&gt;0,C45/Assumptions!$C$9,0)</f>
        <v/>
      </c>
      <c r="D47" s="194">
        <f>IF(Assumptions!$C$9&gt;0,D45/Assumptions!$C$9,0)</f>
        <v/>
      </c>
      <c r="E47" s="194">
        <f>IF(Assumptions!$C$9&gt;0,E45/Assumptions!$C$9,0)</f>
        <v/>
      </c>
      <c r="F47" s="194">
        <f>IF(Assumptions!$C$9&gt;0,F45/Assumptions!$C$9,0)</f>
        <v/>
      </c>
      <c r="G47" s="194">
        <f>IF(Assumptions!$C$9&gt;0,G45/Assumptions!$C$9,0)</f>
        <v/>
      </c>
      <c r="H47" s="194">
        <f>IF(Assumptions!$C$9&gt;0,H45/Assumptions!$C$9,0)</f>
        <v/>
      </c>
      <c r="I47" s="194">
        <f>IF(Assumptions!$C$9&gt;0,I45/Assumptions!$C$9,0)</f>
        <v/>
      </c>
      <c r="J47" s="194">
        <f>IF(Assumptions!$C$9&gt;0,J45/Assumptions!$C$9,0)</f>
        <v/>
      </c>
      <c r="K47" s="194">
        <f>IF(Assumptions!$C$9&gt;0,K45/Assumptions!$C$9,0)</f>
        <v/>
      </c>
    </row>
    <row r="48" ht="15" customHeight="1" s="160">
      <c r="A48" s="161" t="n"/>
      <c r="B48" s="161" t="n"/>
      <c r="C48" s="161" t="n"/>
      <c r="D48" s="161" t="n"/>
      <c r="E48" s="161" t="n"/>
      <c r="F48" s="161" t="n"/>
      <c r="G48" s="161" t="n"/>
      <c r="H48" s="161" t="n"/>
      <c r="I48" s="161" t="n"/>
      <c r="J48" s="161" t="n"/>
      <c r="K48" s="161" t="n"/>
    </row>
    <row r="49" ht="15" customHeight="1" s="160">
      <c r="A49" s="264" t="inlineStr">
        <is>
          <t>Net Operating Income</t>
        </is>
      </c>
      <c r="B49" s="203">
        <f>B17-B45</f>
        <v/>
      </c>
      <c r="C49" s="203">
        <f>C17-C45</f>
        <v/>
      </c>
      <c r="D49" s="203">
        <f>D17-D45</f>
        <v/>
      </c>
      <c r="E49" s="203">
        <f>E17-E45</f>
        <v/>
      </c>
      <c r="F49" s="203">
        <f>F17-F45</f>
        <v/>
      </c>
      <c r="G49" s="203">
        <f>G17-G45</f>
        <v/>
      </c>
      <c r="H49" s="203">
        <f>H17-H45</f>
        <v/>
      </c>
      <c r="I49" s="203">
        <f>I17-I45</f>
        <v/>
      </c>
      <c r="J49" s="203">
        <f>J17-J45</f>
        <v/>
      </c>
      <c r="K49" s="203">
        <f>K17-K45</f>
        <v/>
      </c>
    </row>
    <row r="50" ht="15" customHeight="1" s="160">
      <c r="A50" s="166" t="inlineStr">
        <is>
          <t>Capitalization Rate</t>
        </is>
      </c>
      <c r="B50" s="273">
        <f>IF(Assumptions!$C$17&gt;0,B49/Assumptions!$C$17,0)</f>
        <v/>
      </c>
      <c r="C50" s="273">
        <f>IF(Assumptions!$C$17&gt;0,C49/Assumptions!$C$17,0)</f>
        <v/>
      </c>
      <c r="D50" s="273">
        <f>IF(Assumptions!$C$17&gt;0,D49/Assumptions!$C$17,0)</f>
        <v/>
      </c>
      <c r="E50" s="273">
        <f>IF(Assumptions!$C$17&gt;0,E49/Assumptions!$C$17,0)</f>
        <v/>
      </c>
      <c r="F50" s="273">
        <f>IF(Assumptions!$C$17&gt;0,F49/Assumptions!$C$17,0)</f>
        <v/>
      </c>
      <c r="G50" s="273">
        <f>IF(Assumptions!$C$17&gt;0,G49/Assumptions!$C$17,0)</f>
        <v/>
      </c>
      <c r="H50" s="273">
        <f>IF(Assumptions!$C$17&gt;0,H49/Assumptions!$C$17,0)</f>
        <v/>
      </c>
      <c r="I50" s="273">
        <f>IF(Assumptions!$C$17&gt;0,I49/Assumptions!$C$17,0)</f>
        <v/>
      </c>
      <c r="J50" s="273">
        <f>IF(Assumptions!$C$17&gt;0,J49/Assumptions!$C$17,0)</f>
        <v/>
      </c>
      <c r="K50" s="273">
        <f>IF(Assumptions!$C$17&gt;0,K49/Assumptions!$C$17,0)</f>
        <v/>
      </c>
    </row>
    <row r="51" ht="15" customHeight="1" s="160">
      <c r="A51" s="161" t="n"/>
    </row>
    <row r="52" ht="15" customHeight="1" s="160">
      <c r="A52" s="169" t="inlineStr">
        <is>
          <t>Below the Line</t>
        </is>
      </c>
    </row>
    <row r="53" ht="15" customHeight="1" s="160">
      <c r="A53" s="166" t="inlineStr">
        <is>
          <t xml:space="preserve">  Commissions</t>
        </is>
      </c>
      <c r="B53" s="222">
        <f>Assumptions!C166</f>
        <v/>
      </c>
      <c r="C53" s="194" t="n">
        <v>0</v>
      </c>
      <c r="D53" s="194" t="n">
        <v>0</v>
      </c>
      <c r="E53" s="194" t="n">
        <v>0</v>
      </c>
      <c r="F53" s="194" t="n">
        <v>0</v>
      </c>
      <c r="G53" s="194" t="n">
        <v>0</v>
      </c>
      <c r="H53" s="194" t="n">
        <v>0</v>
      </c>
      <c r="I53" s="194" t="n">
        <v>0</v>
      </c>
      <c r="J53" s="194" t="n">
        <v>0</v>
      </c>
      <c r="K53" s="194" t="n">
        <v>0</v>
      </c>
    </row>
    <row r="54" ht="15" customHeight="1" s="160">
      <c r="A54" s="166" t="inlineStr">
        <is>
          <t xml:space="preserve">  Capital Reserves</t>
        </is>
      </c>
      <c r="B54" s="194">
        <f>Assumptions!$C167*Assumptions!$C9</f>
        <v/>
      </c>
      <c r="C54" s="194">
        <f>Assumptions!$C$167*Assumptions!$C$9</f>
        <v/>
      </c>
      <c r="D54" s="194">
        <f>Assumptions!$C$167*Assumptions!$C$9</f>
        <v/>
      </c>
      <c r="E54" s="194">
        <f>Assumptions!$C$167*Assumptions!$C$9</f>
        <v/>
      </c>
      <c r="F54" s="194">
        <f>Assumptions!$C$167*Assumptions!$C$9</f>
        <v/>
      </c>
      <c r="G54" s="194">
        <f>Assumptions!$C$167*Assumptions!$C$9</f>
        <v/>
      </c>
      <c r="H54" s="194">
        <f>Assumptions!$C$167*Assumptions!$C$9</f>
        <v/>
      </c>
      <c r="I54" s="194">
        <f>Assumptions!$C$167*Assumptions!$C$9</f>
        <v/>
      </c>
      <c r="J54" s="194">
        <f>Assumptions!$C$167*Assumptions!$C$9</f>
        <v/>
      </c>
      <c r="K54" s="194">
        <f>Assumptions!$C$167*Assumptions!$C$9</f>
        <v/>
      </c>
    </row>
    <row r="55" ht="15" customHeight="1" s="160">
      <c r="A55" s="166" t="inlineStr">
        <is>
          <t xml:space="preserve">  Renovations</t>
        </is>
      </c>
      <c r="B55" s="222">
        <f>Assumptions!C168</f>
        <v/>
      </c>
      <c r="C55" s="194" t="n">
        <v>0</v>
      </c>
      <c r="D55" s="194" t="n">
        <v>0</v>
      </c>
      <c r="E55" s="194" t="n">
        <v>0</v>
      </c>
      <c r="F55" s="194" t="n">
        <v>0</v>
      </c>
      <c r="G55" s="194" t="n">
        <v>0</v>
      </c>
      <c r="H55" s="194" t="n">
        <v>0</v>
      </c>
      <c r="I55" s="194" t="n">
        <v>0</v>
      </c>
      <c r="J55" s="194" t="n">
        <v>0</v>
      </c>
      <c r="K55" s="194" t="n">
        <v>0</v>
      </c>
    </row>
    <row r="56" ht="15" customHeight="1" s="160">
      <c r="A56" s="161" t="n"/>
      <c r="B56" s="161" t="n"/>
      <c r="C56" s="161" t="n"/>
      <c r="D56" s="161" t="n"/>
      <c r="E56" s="161" t="n"/>
      <c r="F56" s="161" t="n"/>
      <c r="G56" s="161" t="n"/>
      <c r="H56" s="161" t="n"/>
      <c r="I56" s="161" t="n"/>
      <c r="J56" s="161" t="n"/>
      <c r="K56" s="161" t="n"/>
    </row>
    <row r="57" ht="15" customHeight="1" s="160">
      <c r="A57" s="264" t="inlineStr">
        <is>
          <t>Net Operating Cash Flow</t>
        </is>
      </c>
      <c r="B57" s="203">
        <f>B49-B53-B54-B55</f>
        <v/>
      </c>
      <c r="C57" s="203">
        <f>C49-C53-C54-C55</f>
        <v/>
      </c>
      <c r="D57" s="203">
        <f>D49-D53-D54-D55</f>
        <v/>
      </c>
      <c r="E57" s="203">
        <f>E49-E53-E54-E55</f>
        <v/>
      </c>
      <c r="F57" s="203">
        <f>F49-F53-F54-F55</f>
        <v/>
      </c>
      <c r="G57" s="203">
        <f>G49-G53-G54-G55</f>
        <v/>
      </c>
      <c r="H57" s="203">
        <f>H49-H53-H54-H55</f>
        <v/>
      </c>
      <c r="I57" s="203">
        <f>I49-I53-I54-I55</f>
        <v/>
      </c>
      <c r="J57" s="203">
        <f>J49-J53-J54-J55</f>
        <v/>
      </c>
      <c r="K57" s="203">
        <f>K49-K53-K54-K55</f>
        <v/>
      </c>
    </row>
    <row r="58" ht="15" customHeight="1" s="160">
      <c r="A58" s="161" t="n"/>
    </row>
    <row r="59" ht="15" customHeight="1" s="160">
      <c r="A59" s="169" t="inlineStr">
        <is>
          <t>Debt Service</t>
        </is>
      </c>
    </row>
    <row r="60" ht="15" customHeight="1" s="160">
      <c r="A60" s="166" t="inlineStr">
        <is>
          <t>Annual Debt Service</t>
        </is>
      </c>
      <c r="B60" s="194">
        <f>IF(AND(Assumptions!$C95=1,1&gt;=Assumptions!$C96),PMT(Assumptions!$C100/12,Assumptions!$C101*12,-Assumptions!$C99)*12,Assumptions!$C79)</f>
        <v/>
      </c>
      <c r="C60" s="194">
        <f>IF(AND(Assumptions!$C95=1,2&gt;=Assumptions!$C96),PMT(Assumptions!$C100/12,Assumptions!$C101*12,-Assumptions!$C99)*12,Assumptions!$C79)</f>
        <v/>
      </c>
      <c r="D60" s="194">
        <f>IF(AND(Assumptions!$C95=1,3&gt;=Assumptions!$C96),PMT(Assumptions!$C100/12,Assumptions!$C101*12,-Assumptions!$C99)*12,Assumptions!$C79)</f>
        <v/>
      </c>
      <c r="E60" s="194">
        <f>IF(AND(Assumptions!$C95=1,4&gt;=Assumptions!$C96),PMT(Assumptions!$C100/12,Assumptions!$C101*12,-Assumptions!$C99)*12,Assumptions!$C79)</f>
        <v/>
      </c>
      <c r="F60" s="194">
        <f>IF(AND(Assumptions!$C95=1,5&gt;=Assumptions!$C96),PMT(Assumptions!$C100/12,Assumptions!$C101*12,-Assumptions!$C99)*12,Assumptions!$C79)</f>
        <v/>
      </c>
      <c r="G60" s="194">
        <f>IF(AND(Assumptions!$C95=1,6&gt;=Assumptions!$C96),PMT(Assumptions!$C100/12,Assumptions!$C101*12,-Assumptions!$C99)*12,Assumptions!$C79)</f>
        <v/>
      </c>
      <c r="H60" s="194">
        <f>IF(AND(Assumptions!$C95=1,7&gt;=Assumptions!$C96),PMT(Assumptions!$C100/12,Assumptions!$C101*12,-Assumptions!$C99)*12,Assumptions!$C79)</f>
        <v/>
      </c>
      <c r="I60" s="194">
        <f>IF(AND(Assumptions!$C95=1,8&gt;=Assumptions!$C96),PMT(Assumptions!$C100/12,Assumptions!$C101*12,-Assumptions!$C99)*12,Assumptions!$C79)</f>
        <v/>
      </c>
      <c r="J60" s="194">
        <f>IF(AND(Assumptions!$C95=1,9&gt;=Assumptions!$C96),PMT(Assumptions!$C100/12,Assumptions!$C101*12,-Assumptions!$C99)*12,Assumptions!$C79)</f>
        <v/>
      </c>
      <c r="K60" s="194">
        <f>IF(AND(Assumptions!$C95=1,10&gt;=Assumptions!$C96),PMT(Assumptions!$C100/12,Assumptions!$C101*12,-Assumptions!$C99)*12,Assumptions!$C79)</f>
        <v/>
      </c>
    </row>
    <row r="61" ht="15" customHeight="1" s="160">
      <c r="A61" s="258" t="inlineStr">
        <is>
          <t>DSCR</t>
        </is>
      </c>
      <c r="B61" s="175">
        <f>IF(B60&gt;0,B49/B60,0)</f>
        <v/>
      </c>
      <c r="C61" s="175">
        <f>IF(C60&gt;0,C49/C60,0)</f>
        <v/>
      </c>
      <c r="D61" s="175">
        <f>IF(D60&gt;0,D49/D60,0)</f>
        <v/>
      </c>
      <c r="E61" s="175">
        <f>IF(E60&gt;0,E49/E60,0)</f>
        <v/>
      </c>
      <c r="F61" s="175">
        <f>IF(F60&gt;0,F49/F60,0)</f>
        <v/>
      </c>
      <c r="G61" s="175">
        <f>IF(G60&gt;0,G49/G60,0)</f>
        <v/>
      </c>
      <c r="H61" s="175">
        <f>IF(H60&gt;0,H49/H60,0)</f>
        <v/>
      </c>
      <c r="I61" s="175">
        <f>IF(I60&gt;0,I49/I60,0)</f>
        <v/>
      </c>
      <c r="J61" s="175">
        <f>IF(J60&gt;0,J49/J60,0)</f>
        <v/>
      </c>
      <c r="K61" s="175">
        <f>IF(K60&gt;0,K49/K60,0)</f>
        <v/>
      </c>
    </row>
    <row r="62" ht="15" customHeight="1" s="160">
      <c r="A62" s="161" t="n"/>
      <c r="B62" s="161" t="n"/>
      <c r="C62" s="161" t="n"/>
      <c r="D62" s="161" t="n"/>
      <c r="E62" s="161" t="n"/>
      <c r="F62" s="161" t="n"/>
      <c r="G62" s="161" t="n"/>
      <c r="H62" s="161" t="n"/>
      <c r="I62" s="161" t="n"/>
      <c r="J62" s="161" t="n"/>
      <c r="K62" s="161" t="n"/>
    </row>
    <row r="63" ht="15" customHeight="1" s="160">
      <c r="A63" s="274" t="inlineStr">
        <is>
          <t>Free Cash Flow</t>
        </is>
      </c>
      <c r="B63" s="265">
        <f>B57-B60</f>
        <v/>
      </c>
      <c r="C63" s="265">
        <f>C57-C60</f>
        <v/>
      </c>
      <c r="D63" s="265">
        <f>D57-D60</f>
        <v/>
      </c>
      <c r="E63" s="265">
        <f>E57-E60</f>
        <v/>
      </c>
      <c r="F63" s="265">
        <f>F57-F60</f>
        <v/>
      </c>
      <c r="G63" s="265">
        <f>G57-G60</f>
        <v/>
      </c>
      <c r="H63" s="265">
        <f>H57-H60</f>
        <v/>
      </c>
      <c r="I63" s="265">
        <f>I57-I60</f>
        <v/>
      </c>
      <c r="J63" s="265">
        <f>J57-J60</f>
        <v/>
      </c>
      <c r="K63" s="265">
        <f>K57-K60</f>
        <v/>
      </c>
    </row>
  </sheetData>
  <mergeCells count="6">
    <mergeCell ref="A58:K58"/>
    <mergeCell ref="A18:K18"/>
    <mergeCell ref="A2:K2"/>
    <mergeCell ref="A51:K51"/>
    <mergeCell ref="A28:K28"/>
    <mergeCell ref="A1:K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3E6844"/>
    <outlinePr summaryBelow="1" summaryRight="1"/>
    <pageSetUpPr fitToPage="0"/>
  </sheetPr>
  <dimension ref="A1:D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159" min="1" max="1"/>
    <col width="20" customWidth="1" style="159" min="2" max="4"/>
  </cols>
  <sheetData>
    <row r="1" ht="19.5" customHeight="1" s="160">
      <c r="A1" s="218" t="inlineStr">
        <is>
          <t>REFINANCE ANALYSIS</t>
        </is>
      </c>
    </row>
    <row r="2" ht="15" customHeight="1" s="160">
      <c r="A2" s="161" t="n"/>
      <c r="B2" s="161" t="n"/>
      <c r="C2" s="161" t="n"/>
      <c r="D2" s="161" t="n"/>
    </row>
    <row r="3" ht="15" customHeight="1" s="160">
      <c r="A3" s="219" t="n"/>
      <c r="B3" s="219" t="inlineStr">
        <is>
          <t>Refi 1</t>
        </is>
      </c>
      <c r="C3" s="219" t="inlineStr">
        <is>
          <t>Refi 2</t>
        </is>
      </c>
      <c r="D3" s="219" t="inlineStr">
        <is>
          <t>Refi 3</t>
        </is>
      </c>
    </row>
    <row r="4" ht="15" customHeight="1" s="160">
      <c r="A4" s="166" t="inlineStr">
        <is>
          <t>Active?</t>
        </is>
      </c>
      <c r="B4" s="275">
        <f>Assumptions!C95</f>
        <v/>
      </c>
      <c r="C4" s="275">
        <f>Assumptions!C108</f>
        <v/>
      </c>
      <c r="D4" s="275">
        <f>Assumptions!C121</f>
        <v/>
      </c>
    </row>
    <row r="5" ht="15" customHeight="1" s="160">
      <c r="A5" s="166" t="inlineStr">
        <is>
          <t>Timing (Year)</t>
        </is>
      </c>
      <c r="B5" s="275">
        <f>Assumptions!C96</f>
        <v/>
      </c>
      <c r="C5" s="275">
        <f>Assumptions!C109</f>
        <v/>
      </c>
      <c r="D5" s="275">
        <f>Assumptions!C122</f>
        <v/>
      </c>
    </row>
    <row r="6" ht="15" customHeight="1" s="160">
      <c r="A6" s="166" t="inlineStr">
        <is>
          <t>Appraised Value</t>
        </is>
      </c>
      <c r="B6" s="222">
        <f>Assumptions!C97</f>
        <v/>
      </c>
      <c r="C6" s="222">
        <f>Assumptions!C110</f>
        <v/>
      </c>
      <c r="D6" s="222">
        <f>Assumptions!C123</f>
        <v/>
      </c>
    </row>
    <row r="7" ht="15" customHeight="1" s="160">
      <c r="A7" s="166" t="inlineStr">
        <is>
          <t>LTV</t>
        </is>
      </c>
      <c r="B7" s="276">
        <f>Assumptions!C98</f>
        <v/>
      </c>
      <c r="C7" s="276">
        <f>Assumptions!C111</f>
        <v/>
      </c>
      <c r="D7" s="276">
        <f>Assumptions!C124</f>
        <v/>
      </c>
    </row>
    <row r="8" ht="15" customHeight="1" s="160">
      <c r="A8" s="166" t="inlineStr">
        <is>
          <t>New Loan Amount</t>
        </is>
      </c>
      <c r="B8" s="222">
        <f>Assumptions!C99</f>
        <v/>
      </c>
      <c r="C8" s="222">
        <f>Assumptions!C112</f>
        <v/>
      </c>
      <c r="D8" s="222">
        <f>Assumptions!C125</f>
        <v/>
      </c>
    </row>
    <row r="9" ht="15" customHeight="1" s="160">
      <c r="A9" s="166" t="inlineStr">
        <is>
          <t>Interest Rate</t>
        </is>
      </c>
      <c r="B9" s="277">
        <f>Assumptions!C100</f>
        <v/>
      </c>
      <c r="C9" s="277">
        <f>Assumptions!C113</f>
        <v/>
      </c>
      <c r="D9" s="277">
        <f>Assumptions!C126</f>
        <v/>
      </c>
    </row>
    <row r="10" ht="15" customHeight="1" s="160">
      <c r="A10" s="166" t="inlineStr">
        <is>
          <t>Amortization</t>
        </is>
      </c>
      <c r="B10" s="275">
        <f>Assumptions!C101</f>
        <v/>
      </c>
      <c r="C10" s="275">
        <f>Assumptions!C114</f>
        <v/>
      </c>
      <c r="D10" s="275">
        <f>Assumptions!C127</f>
        <v/>
      </c>
    </row>
    <row r="11" ht="15" customHeight="1" s="160">
      <c r="A11" s="166" t="inlineStr">
        <is>
          <t>Term</t>
        </is>
      </c>
      <c r="B11" s="275">
        <f>Assumptions!C102</f>
        <v/>
      </c>
      <c r="C11" s="275">
        <f>Assumptions!C115</f>
        <v/>
      </c>
      <c r="D11" s="275">
        <f>Assumptions!C128</f>
        <v/>
      </c>
    </row>
    <row r="12" ht="15" customHeight="1" s="160">
      <c r="A12" s="166" t="inlineStr">
        <is>
          <t>Orig Fee (%)</t>
        </is>
      </c>
      <c r="B12" s="276">
        <f>Assumptions!C103</f>
        <v/>
      </c>
      <c r="C12" s="276">
        <f>Assumptions!C116</f>
        <v/>
      </c>
      <c r="D12" s="276">
        <f>Assumptions!C129</f>
        <v/>
      </c>
    </row>
    <row r="13" ht="15" customHeight="1" s="160">
      <c r="A13" s="166" t="inlineStr">
        <is>
          <t>Prepay Penalty (%)</t>
        </is>
      </c>
      <c r="B13" s="276">
        <f>Assumptions!C104</f>
        <v/>
      </c>
      <c r="C13" s="276">
        <f>Assumptions!C117</f>
        <v/>
      </c>
      <c r="D13" s="276">
        <f>Assumptions!C130</f>
        <v/>
      </c>
    </row>
    <row r="14" ht="15" customHeight="1" s="160">
      <c r="A14" s="166" t="inlineStr">
        <is>
          <t>Closing Costs</t>
        </is>
      </c>
      <c r="B14" s="222">
        <f>Assumptions!C105</f>
        <v/>
      </c>
      <c r="C14" s="222">
        <f>Assumptions!C118</f>
        <v/>
      </c>
      <c r="D14" s="222">
        <f>Assumptions!C131</f>
        <v/>
      </c>
    </row>
    <row r="15" ht="15" customHeight="1" s="160">
      <c r="A15" s="161" t="n"/>
      <c r="B15" s="161" t="n"/>
      <c r="C15" s="161" t="n"/>
      <c r="D15" s="161" t="n"/>
    </row>
    <row r="16" ht="15" customHeight="1" s="160">
      <c r="A16" s="169" t="inlineStr">
        <is>
          <t>Calculated Proceeds</t>
        </is>
      </c>
    </row>
    <row r="17" ht="15" customHeight="1" s="160">
      <c r="A17" s="166" t="inlineStr">
        <is>
          <t>Existing Loan Balance</t>
        </is>
      </c>
      <c r="B17" s="194">
        <f>IF(B4=1,Assumptions!C71,0)</f>
        <v/>
      </c>
      <c r="C17" s="194">
        <f>IF(C4=1,IF(B4=1,B8,Assumptions!C71),0)</f>
        <v/>
      </c>
      <c r="D17" s="194">
        <f>IF(D4=1,IF(C4=1,C8,IF(B4=1,B8,Assumptions!C71)),0)</f>
        <v/>
      </c>
    </row>
    <row r="18" ht="15" customHeight="1" s="160">
      <c r="A18" s="166" t="inlineStr">
        <is>
          <t>Prepayment Penalty ($)</t>
        </is>
      </c>
      <c r="B18" s="194">
        <f>B17*B13</f>
        <v/>
      </c>
      <c r="C18" s="194">
        <f>C17*C13</f>
        <v/>
      </c>
      <c r="D18" s="194">
        <f>D17*D13</f>
        <v/>
      </c>
    </row>
    <row r="19" ht="15" customHeight="1" s="160">
      <c r="A19" s="166" t="inlineStr">
        <is>
          <t>Origination Fee ($)</t>
        </is>
      </c>
      <c r="B19" s="194">
        <f>B8*B12</f>
        <v/>
      </c>
      <c r="C19" s="194">
        <f>C8*C12</f>
        <v/>
      </c>
      <c r="D19" s="194">
        <f>D8*D12</f>
        <v/>
      </c>
    </row>
    <row r="20" ht="15" customHeight="1" s="160">
      <c r="A20" s="268" t="inlineStr">
        <is>
          <t>Total Refi Costs</t>
        </is>
      </c>
      <c r="B20" s="193">
        <f>B18+B19+B14</f>
        <v/>
      </c>
      <c r="C20" s="193">
        <f>C18+C19+C14</f>
        <v/>
      </c>
      <c r="D20" s="193">
        <f>D18+D19+D14</f>
        <v/>
      </c>
    </row>
    <row r="21" ht="15" customHeight="1" s="160">
      <c r="A21" s="161" t="n"/>
      <c r="B21" s="161" t="n"/>
      <c r="C21" s="161" t="n"/>
      <c r="D21" s="161" t="n"/>
    </row>
    <row r="22" ht="15" customHeight="1" s="160">
      <c r="A22" s="264" t="inlineStr">
        <is>
          <t>NET REFI PROCEEDS</t>
        </is>
      </c>
      <c r="B22" s="203">
        <f>IF(B4=1,B8-B17-B20,0)</f>
        <v/>
      </c>
      <c r="C22" s="203">
        <f>IF(C4=1,C8-C17-C20,0)</f>
        <v/>
      </c>
      <c r="D22" s="203">
        <f>IF(D4=1,D8-D17-D20,0)</f>
        <v/>
      </c>
    </row>
  </sheetData>
  <mergeCells count="2">
    <mergeCell ref="A1:D1"/>
    <mergeCell ref="A16:D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3E6844"/>
    <outlinePr summaryBelow="1" summaryRight="1"/>
    <pageSetUpPr fitToPage="0"/>
  </sheetPr>
  <dimension ref="A1:E36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59" min="1" max="1"/>
    <col width="16" customWidth="1" style="159" min="2" max="4"/>
    <col width="18" customWidth="1" style="159" min="5" max="5"/>
  </cols>
  <sheetData>
    <row r="1" ht="19.5" customHeight="1" s="160">
      <c r="A1" s="218" t="inlineStr">
        <is>
          <t>AMORT - INITIAL</t>
        </is>
      </c>
    </row>
    <row r="2" ht="15" customHeight="1" s="160">
      <c r="A2" s="179" t="inlineStr">
        <is>
          <t>Initial acquisition loan.</t>
        </is>
      </c>
    </row>
    <row r="3" ht="15" customHeight="1" s="160">
      <c r="A3" s="166" t="inlineStr">
        <is>
          <t>Loan Amount</t>
        </is>
      </c>
      <c r="B3" s="278">
        <f>Assumptions!C71</f>
        <v/>
      </c>
      <c r="C3" s="161" t="n"/>
      <c r="D3" s="161" t="n"/>
      <c r="E3" s="161" t="n"/>
    </row>
    <row r="4" ht="15" customHeight="1" s="160">
      <c r="A4" s="166" t="inlineStr">
        <is>
          <t>Annual Rate</t>
        </is>
      </c>
      <c r="B4" s="279">
        <f>Assumptions!C72</f>
        <v/>
      </c>
      <c r="C4" s="161" t="n"/>
      <c r="D4" s="161" t="n"/>
      <c r="E4" s="161" t="n"/>
    </row>
    <row r="5" ht="15" customHeight="1" s="160">
      <c r="A5" s="166" t="inlineStr">
        <is>
          <t>Amort (Years)</t>
        </is>
      </c>
      <c r="B5" s="168">
        <f>Assumptions!C73</f>
        <v/>
      </c>
      <c r="C5" s="161" t="n"/>
      <c r="D5" s="161" t="n"/>
      <c r="E5" s="161" t="n"/>
    </row>
    <row r="6" ht="15" customHeight="1" s="160">
      <c r="A6" s="258" t="inlineStr">
        <is>
          <t>Monthly Payment</t>
        </is>
      </c>
      <c r="B6" s="280">
        <f>IF(B5&gt;0,PMT(B4/12,B5*12,-B3),0)</f>
        <v/>
      </c>
      <c r="C6" s="161" t="n"/>
      <c r="D6" s="161" t="n"/>
      <c r="E6" s="161" t="n"/>
    </row>
    <row r="7" ht="15" customHeight="1" s="160">
      <c r="A7" s="161" t="n"/>
      <c r="B7" s="161" t="n"/>
      <c r="C7" s="161" t="n"/>
      <c r="D7" s="161" t="n"/>
      <c r="E7" s="161" t="n"/>
    </row>
    <row r="8" ht="15" customHeight="1" s="160">
      <c r="A8" s="219" t="inlineStr">
        <is>
          <t>Month</t>
        </is>
      </c>
      <c r="B8" s="219" t="inlineStr">
        <is>
          <t>Payment</t>
        </is>
      </c>
      <c r="C8" s="219" t="inlineStr">
        <is>
          <t>Principal</t>
        </is>
      </c>
      <c r="D8" s="219" t="inlineStr">
        <is>
          <t>Interest</t>
        </is>
      </c>
      <c r="E8" s="219" t="inlineStr">
        <is>
          <t>Balance</t>
        </is>
      </c>
    </row>
    <row r="9" ht="15" customHeight="1" s="160">
      <c r="A9" s="281" t="n">
        <v>1</v>
      </c>
      <c r="B9" s="195">
        <f>$B$6</f>
        <v/>
      </c>
      <c r="C9" s="195">
        <f>B9-D9</f>
        <v/>
      </c>
      <c r="D9" s="195">
        <f>$B$3*$B$4/12</f>
        <v/>
      </c>
      <c r="E9" s="195">
        <f>$B$3-C9</f>
        <v/>
      </c>
    </row>
    <row r="10" ht="15" customHeight="1" s="160">
      <c r="A10" s="282" t="n">
        <v>2</v>
      </c>
      <c r="B10" s="283">
        <f>$B$6</f>
        <v/>
      </c>
      <c r="C10" s="283">
        <f>B10-D10</f>
        <v/>
      </c>
      <c r="D10" s="283">
        <f>E9*$B$4/12</f>
        <v/>
      </c>
      <c r="E10" s="283">
        <f>E9-C10</f>
        <v/>
      </c>
    </row>
    <row r="11" ht="15" customHeight="1" s="160">
      <c r="A11" s="281" t="n">
        <v>3</v>
      </c>
      <c r="B11" s="195">
        <f>$B$6</f>
        <v/>
      </c>
      <c r="C11" s="195">
        <f>B11-D11</f>
        <v/>
      </c>
      <c r="D11" s="195">
        <f>E10*$B$4/12</f>
        <v/>
      </c>
      <c r="E11" s="195">
        <f>E10-C11</f>
        <v/>
      </c>
    </row>
    <row r="12" ht="15" customHeight="1" s="160">
      <c r="A12" s="282" t="n">
        <v>4</v>
      </c>
      <c r="B12" s="283">
        <f>$B$6</f>
        <v/>
      </c>
      <c r="C12" s="283">
        <f>B12-D12</f>
        <v/>
      </c>
      <c r="D12" s="283">
        <f>E11*$B$4/12</f>
        <v/>
      </c>
      <c r="E12" s="283">
        <f>E11-C12</f>
        <v/>
      </c>
    </row>
    <row r="13" ht="15" customHeight="1" s="160">
      <c r="A13" s="281" t="n">
        <v>5</v>
      </c>
      <c r="B13" s="195">
        <f>$B$6</f>
        <v/>
      </c>
      <c r="C13" s="195">
        <f>B13-D13</f>
        <v/>
      </c>
      <c r="D13" s="195">
        <f>E12*$B$4/12</f>
        <v/>
      </c>
      <c r="E13" s="195">
        <f>E12-C13</f>
        <v/>
      </c>
    </row>
    <row r="14" ht="15" customHeight="1" s="160">
      <c r="A14" s="282" t="n">
        <v>6</v>
      </c>
      <c r="B14" s="283">
        <f>$B$6</f>
        <v/>
      </c>
      <c r="C14" s="283">
        <f>B14-D14</f>
        <v/>
      </c>
      <c r="D14" s="283">
        <f>E13*$B$4/12</f>
        <v/>
      </c>
      <c r="E14" s="283">
        <f>E13-C14</f>
        <v/>
      </c>
    </row>
    <row r="15" ht="15" customHeight="1" s="160">
      <c r="A15" s="281" t="n">
        <v>7</v>
      </c>
      <c r="B15" s="195">
        <f>$B$6</f>
        <v/>
      </c>
      <c r="C15" s="195">
        <f>B15-D15</f>
        <v/>
      </c>
      <c r="D15" s="195">
        <f>E14*$B$4/12</f>
        <v/>
      </c>
      <c r="E15" s="195">
        <f>E14-C15</f>
        <v/>
      </c>
    </row>
    <row r="16" ht="15" customHeight="1" s="160">
      <c r="A16" s="282" t="n">
        <v>8</v>
      </c>
      <c r="B16" s="283">
        <f>$B$6</f>
        <v/>
      </c>
      <c r="C16" s="283">
        <f>B16-D16</f>
        <v/>
      </c>
      <c r="D16" s="283">
        <f>E15*$B$4/12</f>
        <v/>
      </c>
      <c r="E16" s="283">
        <f>E15-C16</f>
        <v/>
      </c>
    </row>
    <row r="17" ht="15" customHeight="1" s="160">
      <c r="A17" s="281" t="n">
        <v>9</v>
      </c>
      <c r="B17" s="195">
        <f>$B$6</f>
        <v/>
      </c>
      <c r="C17" s="195">
        <f>B17-D17</f>
        <v/>
      </c>
      <c r="D17" s="195">
        <f>E16*$B$4/12</f>
        <v/>
      </c>
      <c r="E17" s="195">
        <f>E16-C17</f>
        <v/>
      </c>
    </row>
    <row r="18" ht="15" customHeight="1" s="160">
      <c r="A18" s="282" t="n">
        <v>10</v>
      </c>
      <c r="B18" s="283">
        <f>$B$6</f>
        <v/>
      </c>
      <c r="C18" s="283">
        <f>B18-D18</f>
        <v/>
      </c>
      <c r="D18" s="283">
        <f>E17*$B$4/12</f>
        <v/>
      </c>
      <c r="E18" s="283">
        <f>E17-C18</f>
        <v/>
      </c>
    </row>
    <row r="19" ht="15" customHeight="1" s="160">
      <c r="A19" s="281" t="n">
        <v>11</v>
      </c>
      <c r="B19" s="195">
        <f>$B$6</f>
        <v/>
      </c>
      <c r="C19" s="195">
        <f>B19-D19</f>
        <v/>
      </c>
      <c r="D19" s="195">
        <f>E18*$B$4/12</f>
        <v/>
      </c>
      <c r="E19" s="195">
        <f>E18-C19</f>
        <v/>
      </c>
    </row>
    <row r="20" ht="15" customHeight="1" s="160">
      <c r="A20" s="282" t="n">
        <v>12</v>
      </c>
      <c r="B20" s="283">
        <f>$B$6</f>
        <v/>
      </c>
      <c r="C20" s="283">
        <f>B20-D20</f>
        <v/>
      </c>
      <c r="D20" s="283">
        <f>E19*$B$4/12</f>
        <v/>
      </c>
      <c r="E20" s="283">
        <f>E19-C20</f>
        <v/>
      </c>
    </row>
    <row r="21" ht="15" customHeight="1" s="160">
      <c r="A21" s="281" t="n">
        <v>13</v>
      </c>
      <c r="B21" s="195">
        <f>$B$6</f>
        <v/>
      </c>
      <c r="C21" s="195">
        <f>B21-D21</f>
        <v/>
      </c>
      <c r="D21" s="195">
        <f>E20*$B$4/12</f>
        <v/>
      </c>
      <c r="E21" s="195">
        <f>E20-C21</f>
        <v/>
      </c>
    </row>
    <row r="22" ht="15" customHeight="1" s="160">
      <c r="A22" s="282" t="n">
        <v>14</v>
      </c>
      <c r="B22" s="283">
        <f>$B$6</f>
        <v/>
      </c>
      <c r="C22" s="283">
        <f>B22-D22</f>
        <v/>
      </c>
      <c r="D22" s="283">
        <f>E21*$B$4/12</f>
        <v/>
      </c>
      <c r="E22" s="283">
        <f>E21-C22</f>
        <v/>
      </c>
    </row>
    <row r="23" ht="15" customHeight="1" s="160">
      <c r="A23" s="281" t="n">
        <v>15</v>
      </c>
      <c r="B23" s="195">
        <f>$B$6</f>
        <v/>
      </c>
      <c r="C23" s="195">
        <f>B23-D23</f>
        <v/>
      </c>
      <c r="D23" s="195">
        <f>E22*$B$4/12</f>
        <v/>
      </c>
      <c r="E23" s="195">
        <f>E22-C23</f>
        <v/>
      </c>
    </row>
    <row r="24" ht="15" customHeight="1" s="160">
      <c r="A24" s="282" t="n">
        <v>16</v>
      </c>
      <c r="B24" s="283">
        <f>$B$6</f>
        <v/>
      </c>
      <c r="C24" s="283">
        <f>B24-D24</f>
        <v/>
      </c>
      <c r="D24" s="283">
        <f>E23*$B$4/12</f>
        <v/>
      </c>
      <c r="E24" s="283">
        <f>E23-C24</f>
        <v/>
      </c>
    </row>
    <row r="25" ht="15" customHeight="1" s="160">
      <c r="A25" s="281" t="n">
        <v>17</v>
      </c>
      <c r="B25" s="195">
        <f>$B$6</f>
        <v/>
      </c>
      <c r="C25" s="195">
        <f>B25-D25</f>
        <v/>
      </c>
      <c r="D25" s="195">
        <f>E24*$B$4/12</f>
        <v/>
      </c>
      <c r="E25" s="195">
        <f>E24-C25</f>
        <v/>
      </c>
    </row>
    <row r="26" ht="15" customHeight="1" s="160">
      <c r="A26" s="282" t="n">
        <v>18</v>
      </c>
      <c r="B26" s="283">
        <f>$B$6</f>
        <v/>
      </c>
      <c r="C26" s="283">
        <f>B26-D26</f>
        <v/>
      </c>
      <c r="D26" s="283">
        <f>E25*$B$4/12</f>
        <v/>
      </c>
      <c r="E26" s="283">
        <f>E25-C26</f>
        <v/>
      </c>
    </row>
    <row r="27" ht="15" customHeight="1" s="160">
      <c r="A27" s="281" t="n">
        <v>19</v>
      </c>
      <c r="B27" s="195">
        <f>$B$6</f>
        <v/>
      </c>
      <c r="C27" s="195">
        <f>B27-D27</f>
        <v/>
      </c>
      <c r="D27" s="195">
        <f>E26*$B$4/12</f>
        <v/>
      </c>
      <c r="E27" s="195">
        <f>E26-C27</f>
        <v/>
      </c>
    </row>
    <row r="28" ht="15" customHeight="1" s="160">
      <c r="A28" s="282" t="n">
        <v>20</v>
      </c>
      <c r="B28" s="283">
        <f>$B$6</f>
        <v/>
      </c>
      <c r="C28" s="283">
        <f>B28-D28</f>
        <v/>
      </c>
      <c r="D28" s="283">
        <f>E27*$B$4/12</f>
        <v/>
      </c>
      <c r="E28" s="283">
        <f>E27-C28</f>
        <v/>
      </c>
    </row>
    <row r="29" ht="15" customHeight="1" s="160">
      <c r="A29" s="281" t="n">
        <v>21</v>
      </c>
      <c r="B29" s="195">
        <f>$B$6</f>
        <v/>
      </c>
      <c r="C29" s="195">
        <f>B29-D29</f>
        <v/>
      </c>
      <c r="D29" s="195">
        <f>E28*$B$4/12</f>
        <v/>
      </c>
      <c r="E29" s="195">
        <f>E28-C29</f>
        <v/>
      </c>
    </row>
    <row r="30" ht="15" customHeight="1" s="160">
      <c r="A30" s="282" t="n">
        <v>22</v>
      </c>
      <c r="B30" s="283">
        <f>$B$6</f>
        <v/>
      </c>
      <c r="C30" s="283">
        <f>B30-D30</f>
        <v/>
      </c>
      <c r="D30" s="283">
        <f>E29*$B$4/12</f>
        <v/>
      </c>
      <c r="E30" s="283">
        <f>E29-C30</f>
        <v/>
      </c>
    </row>
    <row r="31" ht="15" customHeight="1" s="160">
      <c r="A31" s="281" t="n">
        <v>23</v>
      </c>
      <c r="B31" s="195">
        <f>$B$6</f>
        <v/>
      </c>
      <c r="C31" s="195">
        <f>B31-D31</f>
        <v/>
      </c>
      <c r="D31" s="195">
        <f>E30*$B$4/12</f>
        <v/>
      </c>
      <c r="E31" s="195">
        <f>E30-C31</f>
        <v/>
      </c>
    </row>
    <row r="32" ht="15" customHeight="1" s="160">
      <c r="A32" s="282" t="n">
        <v>24</v>
      </c>
      <c r="B32" s="283">
        <f>$B$6</f>
        <v/>
      </c>
      <c r="C32" s="283">
        <f>B32-D32</f>
        <v/>
      </c>
      <c r="D32" s="283">
        <f>E31*$B$4/12</f>
        <v/>
      </c>
      <c r="E32" s="283">
        <f>E31-C32</f>
        <v/>
      </c>
    </row>
    <row r="33" ht="15" customHeight="1" s="160">
      <c r="A33" s="281" t="n">
        <v>25</v>
      </c>
      <c r="B33" s="195">
        <f>$B$6</f>
        <v/>
      </c>
      <c r="C33" s="195">
        <f>B33-D33</f>
        <v/>
      </c>
      <c r="D33" s="195">
        <f>E32*$B$4/12</f>
        <v/>
      </c>
      <c r="E33" s="195">
        <f>E32-C33</f>
        <v/>
      </c>
    </row>
    <row r="34" ht="15" customHeight="1" s="160">
      <c r="A34" s="282" t="n">
        <v>26</v>
      </c>
      <c r="B34" s="283">
        <f>$B$6</f>
        <v/>
      </c>
      <c r="C34" s="283">
        <f>B34-D34</f>
        <v/>
      </c>
      <c r="D34" s="283">
        <f>E33*$B$4/12</f>
        <v/>
      </c>
      <c r="E34" s="283">
        <f>E33-C34</f>
        <v/>
      </c>
    </row>
    <row r="35" ht="15" customHeight="1" s="160">
      <c r="A35" s="281" t="n">
        <v>27</v>
      </c>
      <c r="B35" s="195">
        <f>$B$6</f>
        <v/>
      </c>
      <c r="C35" s="195">
        <f>B35-D35</f>
        <v/>
      </c>
      <c r="D35" s="195">
        <f>E34*$B$4/12</f>
        <v/>
      </c>
      <c r="E35" s="195">
        <f>E34-C35</f>
        <v/>
      </c>
    </row>
    <row r="36" ht="15" customHeight="1" s="160">
      <c r="A36" s="282" t="n">
        <v>28</v>
      </c>
      <c r="B36" s="283">
        <f>$B$6</f>
        <v/>
      </c>
      <c r="C36" s="283">
        <f>B36-D36</f>
        <v/>
      </c>
      <c r="D36" s="283">
        <f>E35*$B$4/12</f>
        <v/>
      </c>
      <c r="E36" s="283">
        <f>E35-C36</f>
        <v/>
      </c>
    </row>
    <row r="37" ht="15" customHeight="1" s="160">
      <c r="A37" s="281" t="n">
        <v>29</v>
      </c>
      <c r="B37" s="195">
        <f>$B$6</f>
        <v/>
      </c>
      <c r="C37" s="195">
        <f>B37-D37</f>
        <v/>
      </c>
      <c r="D37" s="195">
        <f>E36*$B$4/12</f>
        <v/>
      </c>
      <c r="E37" s="195">
        <f>E36-C37</f>
        <v/>
      </c>
    </row>
    <row r="38" ht="15" customHeight="1" s="160">
      <c r="A38" s="282" t="n">
        <v>30</v>
      </c>
      <c r="B38" s="283">
        <f>$B$6</f>
        <v/>
      </c>
      <c r="C38" s="283">
        <f>B38-D38</f>
        <v/>
      </c>
      <c r="D38" s="283">
        <f>E37*$B$4/12</f>
        <v/>
      </c>
      <c r="E38" s="283">
        <f>E37-C38</f>
        <v/>
      </c>
    </row>
    <row r="39" ht="15" customHeight="1" s="160">
      <c r="A39" s="281" t="n">
        <v>31</v>
      </c>
      <c r="B39" s="195">
        <f>$B$6</f>
        <v/>
      </c>
      <c r="C39" s="195">
        <f>B39-D39</f>
        <v/>
      </c>
      <c r="D39" s="195">
        <f>E38*$B$4/12</f>
        <v/>
      </c>
      <c r="E39" s="195">
        <f>E38-C39</f>
        <v/>
      </c>
    </row>
    <row r="40" ht="15" customHeight="1" s="160">
      <c r="A40" s="282" t="n">
        <v>32</v>
      </c>
      <c r="B40" s="283">
        <f>$B$6</f>
        <v/>
      </c>
      <c r="C40" s="283">
        <f>B40-D40</f>
        <v/>
      </c>
      <c r="D40" s="283">
        <f>E39*$B$4/12</f>
        <v/>
      </c>
      <c r="E40" s="283">
        <f>E39-C40</f>
        <v/>
      </c>
    </row>
    <row r="41" ht="15" customHeight="1" s="160">
      <c r="A41" s="281" t="n">
        <v>33</v>
      </c>
      <c r="B41" s="195">
        <f>$B$6</f>
        <v/>
      </c>
      <c r="C41" s="195">
        <f>B41-D41</f>
        <v/>
      </c>
      <c r="D41" s="195">
        <f>E40*$B$4/12</f>
        <v/>
      </c>
      <c r="E41" s="195">
        <f>E40-C41</f>
        <v/>
      </c>
    </row>
    <row r="42" ht="15" customHeight="1" s="160">
      <c r="A42" s="282" t="n">
        <v>34</v>
      </c>
      <c r="B42" s="283">
        <f>$B$6</f>
        <v/>
      </c>
      <c r="C42" s="283">
        <f>B42-D42</f>
        <v/>
      </c>
      <c r="D42" s="283">
        <f>E41*$B$4/12</f>
        <v/>
      </c>
      <c r="E42" s="283">
        <f>E41-C42</f>
        <v/>
      </c>
    </row>
    <row r="43" ht="15" customHeight="1" s="160">
      <c r="A43" s="281" t="n">
        <v>35</v>
      </c>
      <c r="B43" s="195">
        <f>$B$6</f>
        <v/>
      </c>
      <c r="C43" s="195">
        <f>B43-D43</f>
        <v/>
      </c>
      <c r="D43" s="195">
        <f>E42*$B$4/12</f>
        <v/>
      </c>
      <c r="E43" s="195">
        <f>E42-C43</f>
        <v/>
      </c>
    </row>
    <row r="44" ht="15" customHeight="1" s="160">
      <c r="A44" s="282" t="n">
        <v>36</v>
      </c>
      <c r="B44" s="283">
        <f>$B$6</f>
        <v/>
      </c>
      <c r="C44" s="283">
        <f>B44-D44</f>
        <v/>
      </c>
      <c r="D44" s="283">
        <f>E43*$B$4/12</f>
        <v/>
      </c>
      <c r="E44" s="283">
        <f>E43-C44</f>
        <v/>
      </c>
    </row>
    <row r="45" ht="15" customHeight="1" s="160">
      <c r="A45" s="281" t="n">
        <v>37</v>
      </c>
      <c r="B45" s="195">
        <f>$B$6</f>
        <v/>
      </c>
      <c r="C45" s="195">
        <f>B45-D45</f>
        <v/>
      </c>
      <c r="D45" s="195">
        <f>E44*$B$4/12</f>
        <v/>
      </c>
      <c r="E45" s="195">
        <f>E44-C45</f>
        <v/>
      </c>
    </row>
    <row r="46" ht="15" customHeight="1" s="160">
      <c r="A46" s="282" t="n">
        <v>38</v>
      </c>
      <c r="B46" s="283">
        <f>$B$6</f>
        <v/>
      </c>
      <c r="C46" s="283">
        <f>B46-D46</f>
        <v/>
      </c>
      <c r="D46" s="283">
        <f>E45*$B$4/12</f>
        <v/>
      </c>
      <c r="E46" s="283">
        <f>E45-C46</f>
        <v/>
      </c>
    </row>
    <row r="47" ht="15" customHeight="1" s="160">
      <c r="A47" s="281" t="n">
        <v>39</v>
      </c>
      <c r="B47" s="195">
        <f>$B$6</f>
        <v/>
      </c>
      <c r="C47" s="195">
        <f>B47-D47</f>
        <v/>
      </c>
      <c r="D47" s="195">
        <f>E46*$B$4/12</f>
        <v/>
      </c>
      <c r="E47" s="195">
        <f>E46-C47</f>
        <v/>
      </c>
    </row>
    <row r="48" ht="15" customHeight="1" s="160">
      <c r="A48" s="282" t="n">
        <v>40</v>
      </c>
      <c r="B48" s="283">
        <f>$B$6</f>
        <v/>
      </c>
      <c r="C48" s="283">
        <f>B48-D48</f>
        <v/>
      </c>
      <c r="D48" s="283">
        <f>E47*$B$4/12</f>
        <v/>
      </c>
      <c r="E48" s="283">
        <f>E47-C48</f>
        <v/>
      </c>
    </row>
    <row r="49" ht="15" customHeight="1" s="160">
      <c r="A49" s="281" t="n">
        <v>41</v>
      </c>
      <c r="B49" s="195">
        <f>$B$6</f>
        <v/>
      </c>
      <c r="C49" s="195">
        <f>B49-D49</f>
        <v/>
      </c>
      <c r="D49" s="195">
        <f>E48*$B$4/12</f>
        <v/>
      </c>
      <c r="E49" s="195">
        <f>E48-C49</f>
        <v/>
      </c>
    </row>
    <row r="50" ht="15" customHeight="1" s="160">
      <c r="A50" s="282" t="n">
        <v>42</v>
      </c>
      <c r="B50" s="283">
        <f>$B$6</f>
        <v/>
      </c>
      <c r="C50" s="283">
        <f>B50-D50</f>
        <v/>
      </c>
      <c r="D50" s="283">
        <f>E49*$B$4/12</f>
        <v/>
      </c>
      <c r="E50" s="283">
        <f>E49-C50</f>
        <v/>
      </c>
    </row>
    <row r="51" ht="15" customHeight="1" s="160">
      <c r="A51" s="281" t="n">
        <v>43</v>
      </c>
      <c r="B51" s="195">
        <f>$B$6</f>
        <v/>
      </c>
      <c r="C51" s="195">
        <f>B51-D51</f>
        <v/>
      </c>
      <c r="D51" s="195">
        <f>E50*$B$4/12</f>
        <v/>
      </c>
      <c r="E51" s="195">
        <f>E50-C51</f>
        <v/>
      </c>
    </row>
    <row r="52" ht="15" customHeight="1" s="160">
      <c r="A52" s="282" t="n">
        <v>44</v>
      </c>
      <c r="B52" s="283">
        <f>$B$6</f>
        <v/>
      </c>
      <c r="C52" s="283">
        <f>B52-D52</f>
        <v/>
      </c>
      <c r="D52" s="283">
        <f>E51*$B$4/12</f>
        <v/>
      </c>
      <c r="E52" s="283">
        <f>E51-C52</f>
        <v/>
      </c>
    </row>
    <row r="53" ht="15" customHeight="1" s="160">
      <c r="A53" s="281" t="n">
        <v>45</v>
      </c>
      <c r="B53" s="195">
        <f>$B$6</f>
        <v/>
      </c>
      <c r="C53" s="195">
        <f>B53-D53</f>
        <v/>
      </c>
      <c r="D53" s="195">
        <f>E52*$B$4/12</f>
        <v/>
      </c>
      <c r="E53" s="195">
        <f>E52-C53</f>
        <v/>
      </c>
    </row>
    <row r="54" ht="15" customHeight="1" s="160">
      <c r="A54" s="282" t="n">
        <v>46</v>
      </c>
      <c r="B54" s="283">
        <f>$B$6</f>
        <v/>
      </c>
      <c r="C54" s="283">
        <f>B54-D54</f>
        <v/>
      </c>
      <c r="D54" s="283">
        <f>E53*$B$4/12</f>
        <v/>
      </c>
      <c r="E54" s="283">
        <f>E53-C54</f>
        <v/>
      </c>
    </row>
    <row r="55" ht="15" customHeight="1" s="160">
      <c r="A55" s="281" t="n">
        <v>47</v>
      </c>
      <c r="B55" s="195">
        <f>$B$6</f>
        <v/>
      </c>
      <c r="C55" s="195">
        <f>B55-D55</f>
        <v/>
      </c>
      <c r="D55" s="195">
        <f>E54*$B$4/12</f>
        <v/>
      </c>
      <c r="E55" s="195">
        <f>E54-C55</f>
        <v/>
      </c>
    </row>
    <row r="56" ht="15" customHeight="1" s="160">
      <c r="A56" s="282" t="n">
        <v>48</v>
      </c>
      <c r="B56" s="283">
        <f>$B$6</f>
        <v/>
      </c>
      <c r="C56" s="283">
        <f>B56-D56</f>
        <v/>
      </c>
      <c r="D56" s="283">
        <f>E55*$B$4/12</f>
        <v/>
      </c>
      <c r="E56" s="283">
        <f>E55-C56</f>
        <v/>
      </c>
    </row>
    <row r="57" ht="15" customHeight="1" s="160">
      <c r="A57" s="281" t="n">
        <v>49</v>
      </c>
      <c r="B57" s="195">
        <f>$B$6</f>
        <v/>
      </c>
      <c r="C57" s="195">
        <f>B57-D57</f>
        <v/>
      </c>
      <c r="D57" s="195">
        <f>E56*$B$4/12</f>
        <v/>
      </c>
      <c r="E57" s="195">
        <f>E56-C57</f>
        <v/>
      </c>
    </row>
    <row r="58" ht="15" customHeight="1" s="160">
      <c r="A58" s="282" t="n">
        <v>50</v>
      </c>
      <c r="B58" s="283">
        <f>$B$6</f>
        <v/>
      </c>
      <c r="C58" s="283">
        <f>B58-D58</f>
        <v/>
      </c>
      <c r="D58" s="283">
        <f>E57*$B$4/12</f>
        <v/>
      </c>
      <c r="E58" s="283">
        <f>E57-C58</f>
        <v/>
      </c>
    </row>
    <row r="59" ht="15" customHeight="1" s="160">
      <c r="A59" s="281" t="n">
        <v>51</v>
      </c>
      <c r="B59" s="195">
        <f>$B$6</f>
        <v/>
      </c>
      <c r="C59" s="195">
        <f>B59-D59</f>
        <v/>
      </c>
      <c r="D59" s="195">
        <f>E58*$B$4/12</f>
        <v/>
      </c>
      <c r="E59" s="195">
        <f>E58-C59</f>
        <v/>
      </c>
    </row>
    <row r="60" ht="15" customHeight="1" s="160">
      <c r="A60" s="282" t="n">
        <v>52</v>
      </c>
      <c r="B60" s="283">
        <f>$B$6</f>
        <v/>
      </c>
      <c r="C60" s="283">
        <f>B60-D60</f>
        <v/>
      </c>
      <c r="D60" s="283">
        <f>E59*$B$4/12</f>
        <v/>
      </c>
      <c r="E60" s="283">
        <f>E59-C60</f>
        <v/>
      </c>
    </row>
    <row r="61" ht="15" customHeight="1" s="160">
      <c r="A61" s="281" t="n">
        <v>53</v>
      </c>
      <c r="B61" s="195">
        <f>$B$6</f>
        <v/>
      </c>
      <c r="C61" s="195">
        <f>B61-D61</f>
        <v/>
      </c>
      <c r="D61" s="195">
        <f>E60*$B$4/12</f>
        <v/>
      </c>
      <c r="E61" s="195">
        <f>E60-C61</f>
        <v/>
      </c>
    </row>
    <row r="62" ht="15" customHeight="1" s="160">
      <c r="A62" s="282" t="n">
        <v>54</v>
      </c>
      <c r="B62" s="283">
        <f>$B$6</f>
        <v/>
      </c>
      <c r="C62" s="283">
        <f>B62-D62</f>
        <v/>
      </c>
      <c r="D62" s="283">
        <f>E61*$B$4/12</f>
        <v/>
      </c>
      <c r="E62" s="283">
        <f>E61-C62</f>
        <v/>
      </c>
    </row>
    <row r="63" ht="15" customHeight="1" s="160">
      <c r="A63" s="281" t="n">
        <v>55</v>
      </c>
      <c r="B63" s="195">
        <f>$B$6</f>
        <v/>
      </c>
      <c r="C63" s="195">
        <f>B63-D63</f>
        <v/>
      </c>
      <c r="D63" s="195">
        <f>E62*$B$4/12</f>
        <v/>
      </c>
      <c r="E63" s="195">
        <f>E62-C63</f>
        <v/>
      </c>
    </row>
    <row r="64" ht="15" customHeight="1" s="160">
      <c r="A64" s="282" t="n">
        <v>56</v>
      </c>
      <c r="B64" s="283">
        <f>$B$6</f>
        <v/>
      </c>
      <c r="C64" s="283">
        <f>B64-D64</f>
        <v/>
      </c>
      <c r="D64" s="283">
        <f>E63*$B$4/12</f>
        <v/>
      </c>
      <c r="E64" s="283">
        <f>E63-C64</f>
        <v/>
      </c>
    </row>
    <row r="65" ht="15" customHeight="1" s="160">
      <c r="A65" s="281" t="n">
        <v>57</v>
      </c>
      <c r="B65" s="195">
        <f>$B$6</f>
        <v/>
      </c>
      <c r="C65" s="195">
        <f>B65-D65</f>
        <v/>
      </c>
      <c r="D65" s="195">
        <f>E64*$B$4/12</f>
        <v/>
      </c>
      <c r="E65" s="195">
        <f>E64-C65</f>
        <v/>
      </c>
    </row>
    <row r="66" ht="15" customHeight="1" s="160">
      <c r="A66" s="282" t="n">
        <v>58</v>
      </c>
      <c r="B66" s="283">
        <f>$B$6</f>
        <v/>
      </c>
      <c r="C66" s="283">
        <f>B66-D66</f>
        <v/>
      </c>
      <c r="D66" s="283">
        <f>E65*$B$4/12</f>
        <v/>
      </c>
      <c r="E66" s="283">
        <f>E65-C66</f>
        <v/>
      </c>
    </row>
    <row r="67" ht="15" customHeight="1" s="160">
      <c r="A67" s="281" t="n">
        <v>59</v>
      </c>
      <c r="B67" s="195">
        <f>$B$6</f>
        <v/>
      </c>
      <c r="C67" s="195">
        <f>B67-D67</f>
        <v/>
      </c>
      <c r="D67" s="195">
        <f>E66*$B$4/12</f>
        <v/>
      </c>
      <c r="E67" s="195">
        <f>E66-C67</f>
        <v/>
      </c>
    </row>
    <row r="68" ht="15" customHeight="1" s="160">
      <c r="A68" s="282" t="n">
        <v>60</v>
      </c>
      <c r="B68" s="283">
        <f>$B$6</f>
        <v/>
      </c>
      <c r="C68" s="283">
        <f>B68-D68</f>
        <v/>
      </c>
      <c r="D68" s="283">
        <f>E67*$B$4/12</f>
        <v/>
      </c>
      <c r="E68" s="283">
        <f>E67-C68</f>
        <v/>
      </c>
    </row>
    <row r="69" ht="15" customHeight="1" s="160">
      <c r="A69" s="281" t="n">
        <v>61</v>
      </c>
      <c r="B69" s="195">
        <f>$B$6</f>
        <v/>
      </c>
      <c r="C69" s="195">
        <f>B69-D69</f>
        <v/>
      </c>
      <c r="D69" s="195">
        <f>E68*$B$4/12</f>
        <v/>
      </c>
      <c r="E69" s="195">
        <f>E68-C69</f>
        <v/>
      </c>
    </row>
    <row r="70" ht="15" customHeight="1" s="160">
      <c r="A70" s="282" t="n">
        <v>62</v>
      </c>
      <c r="B70" s="283">
        <f>$B$6</f>
        <v/>
      </c>
      <c r="C70" s="283">
        <f>B70-D70</f>
        <v/>
      </c>
      <c r="D70" s="283">
        <f>E69*$B$4/12</f>
        <v/>
      </c>
      <c r="E70" s="283">
        <f>E69-C70</f>
        <v/>
      </c>
    </row>
    <row r="71" ht="15" customHeight="1" s="160">
      <c r="A71" s="281" t="n">
        <v>63</v>
      </c>
      <c r="B71" s="195">
        <f>$B$6</f>
        <v/>
      </c>
      <c r="C71" s="195">
        <f>B71-D71</f>
        <v/>
      </c>
      <c r="D71" s="195">
        <f>E70*$B$4/12</f>
        <v/>
      </c>
      <c r="E71" s="195">
        <f>E70-C71</f>
        <v/>
      </c>
    </row>
    <row r="72" ht="15" customHeight="1" s="160">
      <c r="A72" s="282" t="n">
        <v>64</v>
      </c>
      <c r="B72" s="283">
        <f>$B$6</f>
        <v/>
      </c>
      <c r="C72" s="283">
        <f>B72-D72</f>
        <v/>
      </c>
      <c r="D72" s="283">
        <f>E71*$B$4/12</f>
        <v/>
      </c>
      <c r="E72" s="283">
        <f>E71-C72</f>
        <v/>
      </c>
    </row>
    <row r="73" ht="15" customHeight="1" s="160">
      <c r="A73" s="281" t="n">
        <v>65</v>
      </c>
      <c r="B73" s="195">
        <f>$B$6</f>
        <v/>
      </c>
      <c r="C73" s="195">
        <f>B73-D73</f>
        <v/>
      </c>
      <c r="D73" s="195">
        <f>E72*$B$4/12</f>
        <v/>
      </c>
      <c r="E73" s="195">
        <f>E72-C73</f>
        <v/>
      </c>
    </row>
    <row r="74" ht="15" customHeight="1" s="160">
      <c r="A74" s="282" t="n">
        <v>66</v>
      </c>
      <c r="B74" s="283">
        <f>$B$6</f>
        <v/>
      </c>
      <c r="C74" s="283">
        <f>B74-D74</f>
        <v/>
      </c>
      <c r="D74" s="283">
        <f>E73*$B$4/12</f>
        <v/>
      </c>
      <c r="E74" s="283">
        <f>E73-C74</f>
        <v/>
      </c>
    </row>
    <row r="75" ht="15" customHeight="1" s="160">
      <c r="A75" s="281" t="n">
        <v>67</v>
      </c>
      <c r="B75" s="195">
        <f>$B$6</f>
        <v/>
      </c>
      <c r="C75" s="195">
        <f>B75-D75</f>
        <v/>
      </c>
      <c r="D75" s="195">
        <f>E74*$B$4/12</f>
        <v/>
      </c>
      <c r="E75" s="195">
        <f>E74-C75</f>
        <v/>
      </c>
    </row>
    <row r="76" ht="15" customHeight="1" s="160">
      <c r="A76" s="282" t="n">
        <v>68</v>
      </c>
      <c r="B76" s="283">
        <f>$B$6</f>
        <v/>
      </c>
      <c r="C76" s="283">
        <f>B76-D76</f>
        <v/>
      </c>
      <c r="D76" s="283">
        <f>E75*$B$4/12</f>
        <v/>
      </c>
      <c r="E76" s="283">
        <f>E75-C76</f>
        <v/>
      </c>
    </row>
    <row r="77" ht="15" customHeight="1" s="160">
      <c r="A77" s="281" t="n">
        <v>69</v>
      </c>
      <c r="B77" s="195">
        <f>$B$6</f>
        <v/>
      </c>
      <c r="C77" s="195">
        <f>B77-D77</f>
        <v/>
      </c>
      <c r="D77" s="195">
        <f>E76*$B$4/12</f>
        <v/>
      </c>
      <c r="E77" s="195">
        <f>E76-C77</f>
        <v/>
      </c>
    </row>
    <row r="78" ht="15" customHeight="1" s="160">
      <c r="A78" s="282" t="n">
        <v>70</v>
      </c>
      <c r="B78" s="283">
        <f>$B$6</f>
        <v/>
      </c>
      <c r="C78" s="283">
        <f>B78-D78</f>
        <v/>
      </c>
      <c r="D78" s="283">
        <f>E77*$B$4/12</f>
        <v/>
      </c>
      <c r="E78" s="283">
        <f>E77-C78</f>
        <v/>
      </c>
    </row>
    <row r="79" ht="15" customHeight="1" s="160">
      <c r="A79" s="281" t="n">
        <v>71</v>
      </c>
      <c r="B79" s="195">
        <f>$B$6</f>
        <v/>
      </c>
      <c r="C79" s="195">
        <f>B79-D79</f>
        <v/>
      </c>
      <c r="D79" s="195">
        <f>E78*$B$4/12</f>
        <v/>
      </c>
      <c r="E79" s="195">
        <f>E78-C79</f>
        <v/>
      </c>
    </row>
    <row r="80" ht="15" customHeight="1" s="160">
      <c r="A80" s="282" t="n">
        <v>72</v>
      </c>
      <c r="B80" s="283">
        <f>$B$6</f>
        <v/>
      </c>
      <c r="C80" s="283">
        <f>B80-D80</f>
        <v/>
      </c>
      <c r="D80" s="283">
        <f>E79*$B$4/12</f>
        <v/>
      </c>
      <c r="E80" s="283">
        <f>E79-C80</f>
        <v/>
      </c>
    </row>
    <row r="81" ht="15" customHeight="1" s="160">
      <c r="A81" s="281" t="n">
        <v>73</v>
      </c>
      <c r="B81" s="195">
        <f>$B$6</f>
        <v/>
      </c>
      <c r="C81" s="195">
        <f>B81-D81</f>
        <v/>
      </c>
      <c r="D81" s="195">
        <f>E80*$B$4/12</f>
        <v/>
      </c>
      <c r="E81" s="195">
        <f>E80-C81</f>
        <v/>
      </c>
    </row>
    <row r="82" ht="15" customHeight="1" s="160">
      <c r="A82" s="282" t="n">
        <v>74</v>
      </c>
      <c r="B82" s="283">
        <f>$B$6</f>
        <v/>
      </c>
      <c r="C82" s="283">
        <f>B82-D82</f>
        <v/>
      </c>
      <c r="D82" s="283">
        <f>E81*$B$4/12</f>
        <v/>
      </c>
      <c r="E82" s="283">
        <f>E81-C82</f>
        <v/>
      </c>
    </row>
    <row r="83" ht="15" customHeight="1" s="160">
      <c r="A83" s="281" t="n">
        <v>75</v>
      </c>
      <c r="B83" s="195">
        <f>$B$6</f>
        <v/>
      </c>
      <c r="C83" s="195">
        <f>B83-D83</f>
        <v/>
      </c>
      <c r="D83" s="195">
        <f>E82*$B$4/12</f>
        <v/>
      </c>
      <c r="E83" s="195">
        <f>E82-C83</f>
        <v/>
      </c>
    </row>
    <row r="84" ht="15" customHeight="1" s="160">
      <c r="A84" s="282" t="n">
        <v>76</v>
      </c>
      <c r="B84" s="283">
        <f>$B$6</f>
        <v/>
      </c>
      <c r="C84" s="283">
        <f>B84-D84</f>
        <v/>
      </c>
      <c r="D84" s="283">
        <f>E83*$B$4/12</f>
        <v/>
      </c>
      <c r="E84" s="283">
        <f>E83-C84</f>
        <v/>
      </c>
    </row>
    <row r="85" ht="15" customHeight="1" s="160">
      <c r="A85" s="281" t="n">
        <v>77</v>
      </c>
      <c r="B85" s="195">
        <f>$B$6</f>
        <v/>
      </c>
      <c r="C85" s="195">
        <f>B85-D85</f>
        <v/>
      </c>
      <c r="D85" s="195">
        <f>E84*$B$4/12</f>
        <v/>
      </c>
      <c r="E85" s="195">
        <f>E84-C85</f>
        <v/>
      </c>
    </row>
    <row r="86" ht="15" customHeight="1" s="160">
      <c r="A86" s="282" t="n">
        <v>78</v>
      </c>
      <c r="B86" s="283">
        <f>$B$6</f>
        <v/>
      </c>
      <c r="C86" s="283">
        <f>B86-D86</f>
        <v/>
      </c>
      <c r="D86" s="283">
        <f>E85*$B$4/12</f>
        <v/>
      </c>
      <c r="E86" s="283">
        <f>E85-C86</f>
        <v/>
      </c>
    </row>
    <row r="87" ht="15" customHeight="1" s="160">
      <c r="A87" s="281" t="n">
        <v>79</v>
      </c>
      <c r="B87" s="195">
        <f>$B$6</f>
        <v/>
      </c>
      <c r="C87" s="195">
        <f>B87-D87</f>
        <v/>
      </c>
      <c r="D87" s="195">
        <f>E86*$B$4/12</f>
        <v/>
      </c>
      <c r="E87" s="195">
        <f>E86-C87</f>
        <v/>
      </c>
    </row>
    <row r="88" ht="15" customHeight="1" s="160">
      <c r="A88" s="282" t="n">
        <v>80</v>
      </c>
      <c r="B88" s="283">
        <f>$B$6</f>
        <v/>
      </c>
      <c r="C88" s="283">
        <f>B88-D88</f>
        <v/>
      </c>
      <c r="D88" s="283">
        <f>E87*$B$4/12</f>
        <v/>
      </c>
      <c r="E88" s="283">
        <f>E87-C88</f>
        <v/>
      </c>
    </row>
    <row r="89" ht="15" customHeight="1" s="160">
      <c r="A89" s="281" t="n">
        <v>81</v>
      </c>
      <c r="B89" s="195">
        <f>$B$6</f>
        <v/>
      </c>
      <c r="C89" s="195">
        <f>B89-D89</f>
        <v/>
      </c>
      <c r="D89" s="195">
        <f>E88*$B$4/12</f>
        <v/>
      </c>
      <c r="E89" s="195">
        <f>E88-C89</f>
        <v/>
      </c>
    </row>
    <row r="90" ht="15" customHeight="1" s="160">
      <c r="A90" s="282" t="n">
        <v>82</v>
      </c>
      <c r="B90" s="283">
        <f>$B$6</f>
        <v/>
      </c>
      <c r="C90" s="283">
        <f>B90-D90</f>
        <v/>
      </c>
      <c r="D90" s="283">
        <f>E89*$B$4/12</f>
        <v/>
      </c>
      <c r="E90" s="283">
        <f>E89-C90</f>
        <v/>
      </c>
    </row>
    <row r="91" ht="15" customHeight="1" s="160">
      <c r="A91" s="281" t="n">
        <v>83</v>
      </c>
      <c r="B91" s="195">
        <f>$B$6</f>
        <v/>
      </c>
      <c r="C91" s="195">
        <f>B91-D91</f>
        <v/>
      </c>
      <c r="D91" s="195">
        <f>E90*$B$4/12</f>
        <v/>
      </c>
      <c r="E91" s="195">
        <f>E90-C91</f>
        <v/>
      </c>
    </row>
    <row r="92" ht="15" customHeight="1" s="160">
      <c r="A92" s="282" t="n">
        <v>84</v>
      </c>
      <c r="B92" s="283">
        <f>$B$6</f>
        <v/>
      </c>
      <c r="C92" s="283">
        <f>B92-D92</f>
        <v/>
      </c>
      <c r="D92" s="283">
        <f>E91*$B$4/12</f>
        <v/>
      </c>
      <c r="E92" s="283">
        <f>E91-C92</f>
        <v/>
      </c>
    </row>
    <row r="93" ht="15" customHeight="1" s="160">
      <c r="A93" s="281" t="n">
        <v>85</v>
      </c>
      <c r="B93" s="195">
        <f>$B$6</f>
        <v/>
      </c>
      <c r="C93" s="195">
        <f>B93-D93</f>
        <v/>
      </c>
      <c r="D93" s="195">
        <f>E92*$B$4/12</f>
        <v/>
      </c>
      <c r="E93" s="195">
        <f>E92-C93</f>
        <v/>
      </c>
    </row>
    <row r="94" ht="15" customHeight="1" s="160">
      <c r="A94" s="282" t="n">
        <v>86</v>
      </c>
      <c r="B94" s="283">
        <f>$B$6</f>
        <v/>
      </c>
      <c r="C94" s="283">
        <f>B94-D94</f>
        <v/>
      </c>
      <c r="D94" s="283">
        <f>E93*$B$4/12</f>
        <v/>
      </c>
      <c r="E94" s="283">
        <f>E93-C94</f>
        <v/>
      </c>
    </row>
    <row r="95" ht="15" customHeight="1" s="160">
      <c r="A95" s="281" t="n">
        <v>87</v>
      </c>
      <c r="B95" s="195">
        <f>$B$6</f>
        <v/>
      </c>
      <c r="C95" s="195">
        <f>B95-D95</f>
        <v/>
      </c>
      <c r="D95" s="195">
        <f>E94*$B$4/12</f>
        <v/>
      </c>
      <c r="E95" s="195">
        <f>E94-C95</f>
        <v/>
      </c>
    </row>
    <row r="96" ht="15" customHeight="1" s="160">
      <c r="A96" s="282" t="n">
        <v>88</v>
      </c>
      <c r="B96" s="283">
        <f>$B$6</f>
        <v/>
      </c>
      <c r="C96" s="283">
        <f>B96-D96</f>
        <v/>
      </c>
      <c r="D96" s="283">
        <f>E95*$B$4/12</f>
        <v/>
      </c>
      <c r="E96" s="283">
        <f>E95-C96</f>
        <v/>
      </c>
    </row>
    <row r="97" ht="15" customHeight="1" s="160">
      <c r="A97" s="281" t="n">
        <v>89</v>
      </c>
      <c r="B97" s="195">
        <f>$B$6</f>
        <v/>
      </c>
      <c r="C97" s="195">
        <f>B97-D97</f>
        <v/>
      </c>
      <c r="D97" s="195">
        <f>E96*$B$4/12</f>
        <v/>
      </c>
      <c r="E97" s="195">
        <f>E96-C97</f>
        <v/>
      </c>
    </row>
    <row r="98" ht="15" customHeight="1" s="160">
      <c r="A98" s="282" t="n">
        <v>90</v>
      </c>
      <c r="B98" s="283">
        <f>$B$6</f>
        <v/>
      </c>
      <c r="C98" s="283">
        <f>B98-D98</f>
        <v/>
      </c>
      <c r="D98" s="283">
        <f>E97*$B$4/12</f>
        <v/>
      </c>
      <c r="E98" s="283">
        <f>E97-C98</f>
        <v/>
      </c>
    </row>
    <row r="99" ht="15" customHeight="1" s="160">
      <c r="A99" s="281" t="n">
        <v>91</v>
      </c>
      <c r="B99" s="195">
        <f>$B$6</f>
        <v/>
      </c>
      <c r="C99" s="195">
        <f>B99-D99</f>
        <v/>
      </c>
      <c r="D99" s="195">
        <f>E98*$B$4/12</f>
        <v/>
      </c>
      <c r="E99" s="195">
        <f>E98-C99</f>
        <v/>
      </c>
    </row>
    <row r="100" ht="15" customHeight="1" s="160">
      <c r="A100" s="282" t="n">
        <v>92</v>
      </c>
      <c r="B100" s="283">
        <f>$B$6</f>
        <v/>
      </c>
      <c r="C100" s="283">
        <f>B100-D100</f>
        <v/>
      </c>
      <c r="D100" s="283">
        <f>E99*$B$4/12</f>
        <v/>
      </c>
      <c r="E100" s="283">
        <f>E99-C100</f>
        <v/>
      </c>
    </row>
    <row r="101" ht="15" customHeight="1" s="160">
      <c r="A101" s="281" t="n">
        <v>93</v>
      </c>
      <c r="B101" s="195">
        <f>$B$6</f>
        <v/>
      </c>
      <c r="C101" s="195">
        <f>B101-D101</f>
        <v/>
      </c>
      <c r="D101" s="195">
        <f>E100*$B$4/12</f>
        <v/>
      </c>
      <c r="E101" s="195">
        <f>E100-C101</f>
        <v/>
      </c>
    </row>
    <row r="102" ht="15" customHeight="1" s="160">
      <c r="A102" s="282" t="n">
        <v>94</v>
      </c>
      <c r="B102" s="283">
        <f>$B$6</f>
        <v/>
      </c>
      <c r="C102" s="283">
        <f>B102-D102</f>
        <v/>
      </c>
      <c r="D102" s="283">
        <f>E101*$B$4/12</f>
        <v/>
      </c>
      <c r="E102" s="283">
        <f>E101-C102</f>
        <v/>
      </c>
    </row>
    <row r="103" ht="15" customHeight="1" s="160">
      <c r="A103" s="281" t="n">
        <v>95</v>
      </c>
      <c r="B103" s="195">
        <f>$B$6</f>
        <v/>
      </c>
      <c r="C103" s="195">
        <f>B103-D103</f>
        <v/>
      </c>
      <c r="D103" s="195">
        <f>E102*$B$4/12</f>
        <v/>
      </c>
      <c r="E103" s="195">
        <f>E102-C103</f>
        <v/>
      </c>
    </row>
    <row r="104" ht="15" customHeight="1" s="160">
      <c r="A104" s="282" t="n">
        <v>96</v>
      </c>
      <c r="B104" s="283">
        <f>$B$6</f>
        <v/>
      </c>
      <c r="C104" s="283">
        <f>B104-D104</f>
        <v/>
      </c>
      <c r="D104" s="283">
        <f>E103*$B$4/12</f>
        <v/>
      </c>
      <c r="E104" s="283">
        <f>E103-C104</f>
        <v/>
      </c>
    </row>
    <row r="105" ht="15" customHeight="1" s="160">
      <c r="A105" s="281" t="n">
        <v>97</v>
      </c>
      <c r="B105" s="195">
        <f>$B$6</f>
        <v/>
      </c>
      <c r="C105" s="195">
        <f>B105-D105</f>
        <v/>
      </c>
      <c r="D105" s="195">
        <f>E104*$B$4/12</f>
        <v/>
      </c>
      <c r="E105" s="195">
        <f>E104-C105</f>
        <v/>
      </c>
    </row>
    <row r="106" ht="15" customHeight="1" s="160">
      <c r="A106" s="282" t="n">
        <v>98</v>
      </c>
      <c r="B106" s="283">
        <f>$B$6</f>
        <v/>
      </c>
      <c r="C106" s="283">
        <f>B106-D106</f>
        <v/>
      </c>
      <c r="D106" s="283">
        <f>E105*$B$4/12</f>
        <v/>
      </c>
      <c r="E106" s="283">
        <f>E105-C106</f>
        <v/>
      </c>
    </row>
    <row r="107" ht="15" customHeight="1" s="160">
      <c r="A107" s="281" t="n">
        <v>99</v>
      </c>
      <c r="B107" s="195">
        <f>$B$6</f>
        <v/>
      </c>
      <c r="C107" s="195">
        <f>B107-D107</f>
        <v/>
      </c>
      <c r="D107" s="195">
        <f>E106*$B$4/12</f>
        <v/>
      </c>
      <c r="E107" s="195">
        <f>E106-C107</f>
        <v/>
      </c>
    </row>
    <row r="108" ht="15" customHeight="1" s="160">
      <c r="A108" s="282" t="n">
        <v>100</v>
      </c>
      <c r="B108" s="283">
        <f>$B$6</f>
        <v/>
      </c>
      <c r="C108" s="283">
        <f>B108-D108</f>
        <v/>
      </c>
      <c r="D108" s="283">
        <f>E107*$B$4/12</f>
        <v/>
      </c>
      <c r="E108" s="283">
        <f>E107-C108</f>
        <v/>
      </c>
    </row>
    <row r="109" ht="15" customHeight="1" s="160">
      <c r="A109" s="281" t="n">
        <v>101</v>
      </c>
      <c r="B109" s="195">
        <f>$B$6</f>
        <v/>
      </c>
      <c r="C109" s="195">
        <f>B109-D109</f>
        <v/>
      </c>
      <c r="D109" s="195">
        <f>E108*$B$4/12</f>
        <v/>
      </c>
      <c r="E109" s="195">
        <f>E108-C109</f>
        <v/>
      </c>
    </row>
    <row r="110" ht="15" customHeight="1" s="160">
      <c r="A110" s="282" t="n">
        <v>102</v>
      </c>
      <c r="B110" s="283">
        <f>$B$6</f>
        <v/>
      </c>
      <c r="C110" s="283">
        <f>B110-D110</f>
        <v/>
      </c>
      <c r="D110" s="283">
        <f>E109*$B$4/12</f>
        <v/>
      </c>
      <c r="E110" s="283">
        <f>E109-C110</f>
        <v/>
      </c>
    </row>
    <row r="111" ht="15" customHeight="1" s="160">
      <c r="A111" s="281" t="n">
        <v>103</v>
      </c>
      <c r="B111" s="195">
        <f>$B$6</f>
        <v/>
      </c>
      <c r="C111" s="195">
        <f>B111-D111</f>
        <v/>
      </c>
      <c r="D111" s="195">
        <f>E110*$B$4/12</f>
        <v/>
      </c>
      <c r="E111" s="195">
        <f>E110-C111</f>
        <v/>
      </c>
    </row>
    <row r="112" ht="15" customHeight="1" s="160">
      <c r="A112" s="282" t="n">
        <v>104</v>
      </c>
      <c r="B112" s="283">
        <f>$B$6</f>
        <v/>
      </c>
      <c r="C112" s="283">
        <f>B112-D112</f>
        <v/>
      </c>
      <c r="D112" s="283">
        <f>E111*$B$4/12</f>
        <v/>
      </c>
      <c r="E112" s="283">
        <f>E111-C112</f>
        <v/>
      </c>
    </row>
    <row r="113" ht="15" customHeight="1" s="160">
      <c r="A113" s="281" t="n">
        <v>105</v>
      </c>
      <c r="B113" s="195">
        <f>$B$6</f>
        <v/>
      </c>
      <c r="C113" s="195">
        <f>B113-D113</f>
        <v/>
      </c>
      <c r="D113" s="195">
        <f>E112*$B$4/12</f>
        <v/>
      </c>
      <c r="E113" s="195">
        <f>E112-C113</f>
        <v/>
      </c>
    </row>
    <row r="114" ht="15" customHeight="1" s="160">
      <c r="A114" s="282" t="n">
        <v>106</v>
      </c>
      <c r="B114" s="283">
        <f>$B$6</f>
        <v/>
      </c>
      <c r="C114" s="283">
        <f>B114-D114</f>
        <v/>
      </c>
      <c r="D114" s="283">
        <f>E113*$B$4/12</f>
        <v/>
      </c>
      <c r="E114" s="283">
        <f>E113-C114</f>
        <v/>
      </c>
    </row>
    <row r="115" ht="15" customHeight="1" s="160">
      <c r="A115" s="281" t="n">
        <v>107</v>
      </c>
      <c r="B115" s="195">
        <f>$B$6</f>
        <v/>
      </c>
      <c r="C115" s="195">
        <f>B115-D115</f>
        <v/>
      </c>
      <c r="D115" s="195">
        <f>E114*$B$4/12</f>
        <v/>
      </c>
      <c r="E115" s="195">
        <f>E114-C115</f>
        <v/>
      </c>
    </row>
    <row r="116" ht="15" customHeight="1" s="160">
      <c r="A116" s="282" t="n">
        <v>108</v>
      </c>
      <c r="B116" s="283">
        <f>$B$6</f>
        <v/>
      </c>
      <c r="C116" s="283">
        <f>B116-D116</f>
        <v/>
      </c>
      <c r="D116" s="283">
        <f>E115*$B$4/12</f>
        <v/>
      </c>
      <c r="E116" s="283">
        <f>E115-C116</f>
        <v/>
      </c>
    </row>
    <row r="117" ht="15" customHeight="1" s="160">
      <c r="A117" s="281" t="n">
        <v>109</v>
      </c>
      <c r="B117" s="195">
        <f>$B$6</f>
        <v/>
      </c>
      <c r="C117" s="195">
        <f>B117-D117</f>
        <v/>
      </c>
      <c r="D117" s="195">
        <f>E116*$B$4/12</f>
        <v/>
      </c>
      <c r="E117" s="195">
        <f>E116-C117</f>
        <v/>
      </c>
    </row>
    <row r="118" ht="15" customHeight="1" s="160">
      <c r="A118" s="282" t="n">
        <v>110</v>
      </c>
      <c r="B118" s="283">
        <f>$B$6</f>
        <v/>
      </c>
      <c r="C118" s="283">
        <f>B118-D118</f>
        <v/>
      </c>
      <c r="D118" s="283">
        <f>E117*$B$4/12</f>
        <v/>
      </c>
      <c r="E118" s="283">
        <f>E117-C118</f>
        <v/>
      </c>
    </row>
    <row r="119" ht="15" customHeight="1" s="160">
      <c r="A119" s="281" t="n">
        <v>111</v>
      </c>
      <c r="B119" s="195">
        <f>$B$6</f>
        <v/>
      </c>
      <c r="C119" s="195">
        <f>B119-D119</f>
        <v/>
      </c>
      <c r="D119" s="195">
        <f>E118*$B$4/12</f>
        <v/>
      </c>
      <c r="E119" s="195">
        <f>E118-C119</f>
        <v/>
      </c>
    </row>
    <row r="120" ht="15" customHeight="1" s="160">
      <c r="A120" s="282" t="n">
        <v>112</v>
      </c>
      <c r="B120" s="283">
        <f>$B$6</f>
        <v/>
      </c>
      <c r="C120" s="283">
        <f>B120-D120</f>
        <v/>
      </c>
      <c r="D120" s="283">
        <f>E119*$B$4/12</f>
        <v/>
      </c>
      <c r="E120" s="283">
        <f>E119-C120</f>
        <v/>
      </c>
    </row>
    <row r="121" ht="15" customHeight="1" s="160">
      <c r="A121" s="281" t="n">
        <v>113</v>
      </c>
      <c r="B121" s="195">
        <f>$B$6</f>
        <v/>
      </c>
      <c r="C121" s="195">
        <f>B121-D121</f>
        <v/>
      </c>
      <c r="D121" s="195">
        <f>E120*$B$4/12</f>
        <v/>
      </c>
      <c r="E121" s="195">
        <f>E120-C121</f>
        <v/>
      </c>
    </row>
    <row r="122" ht="15" customHeight="1" s="160">
      <c r="A122" s="282" t="n">
        <v>114</v>
      </c>
      <c r="B122" s="283">
        <f>$B$6</f>
        <v/>
      </c>
      <c r="C122" s="283">
        <f>B122-D122</f>
        <v/>
      </c>
      <c r="D122" s="283">
        <f>E121*$B$4/12</f>
        <v/>
      </c>
      <c r="E122" s="283">
        <f>E121-C122</f>
        <v/>
      </c>
    </row>
    <row r="123" ht="15" customHeight="1" s="160">
      <c r="A123" s="281" t="n">
        <v>115</v>
      </c>
      <c r="B123" s="195">
        <f>$B$6</f>
        <v/>
      </c>
      <c r="C123" s="195">
        <f>B123-D123</f>
        <v/>
      </c>
      <c r="D123" s="195">
        <f>E122*$B$4/12</f>
        <v/>
      </c>
      <c r="E123" s="195">
        <f>E122-C123</f>
        <v/>
      </c>
    </row>
    <row r="124" ht="15" customHeight="1" s="160">
      <c r="A124" s="282" t="n">
        <v>116</v>
      </c>
      <c r="B124" s="283">
        <f>$B$6</f>
        <v/>
      </c>
      <c r="C124" s="283">
        <f>B124-D124</f>
        <v/>
      </c>
      <c r="D124" s="283">
        <f>E123*$B$4/12</f>
        <v/>
      </c>
      <c r="E124" s="283">
        <f>E123-C124</f>
        <v/>
      </c>
    </row>
    <row r="125" ht="15" customHeight="1" s="160">
      <c r="A125" s="281" t="n">
        <v>117</v>
      </c>
      <c r="B125" s="195">
        <f>$B$6</f>
        <v/>
      </c>
      <c r="C125" s="195">
        <f>B125-D125</f>
        <v/>
      </c>
      <c r="D125" s="195">
        <f>E124*$B$4/12</f>
        <v/>
      </c>
      <c r="E125" s="195">
        <f>E124-C125</f>
        <v/>
      </c>
    </row>
    <row r="126" ht="15" customHeight="1" s="160">
      <c r="A126" s="282" t="n">
        <v>118</v>
      </c>
      <c r="B126" s="283">
        <f>$B$6</f>
        <v/>
      </c>
      <c r="C126" s="283">
        <f>B126-D126</f>
        <v/>
      </c>
      <c r="D126" s="283">
        <f>E125*$B$4/12</f>
        <v/>
      </c>
      <c r="E126" s="283">
        <f>E125-C126</f>
        <v/>
      </c>
    </row>
    <row r="127" ht="15" customHeight="1" s="160">
      <c r="A127" s="281" t="n">
        <v>119</v>
      </c>
      <c r="B127" s="195">
        <f>$B$6</f>
        <v/>
      </c>
      <c r="C127" s="195">
        <f>B127-D127</f>
        <v/>
      </c>
      <c r="D127" s="195">
        <f>E126*$B$4/12</f>
        <v/>
      </c>
      <c r="E127" s="195">
        <f>E126-C127</f>
        <v/>
      </c>
    </row>
    <row r="128" ht="15" customHeight="1" s="160">
      <c r="A128" s="282" t="n">
        <v>120</v>
      </c>
      <c r="B128" s="283">
        <f>$B$6</f>
        <v/>
      </c>
      <c r="C128" s="283">
        <f>B128-D128</f>
        <v/>
      </c>
      <c r="D128" s="283">
        <f>E127*$B$4/12</f>
        <v/>
      </c>
      <c r="E128" s="283">
        <f>E127-C128</f>
        <v/>
      </c>
    </row>
    <row r="129" ht="15" customHeight="1" s="160">
      <c r="A129" s="281" t="n">
        <v>121</v>
      </c>
      <c r="B129" s="195">
        <f>$B$6</f>
        <v/>
      </c>
      <c r="C129" s="195">
        <f>B129-D129</f>
        <v/>
      </c>
      <c r="D129" s="195">
        <f>E128*$B$4/12</f>
        <v/>
      </c>
      <c r="E129" s="195">
        <f>E128-C129</f>
        <v/>
      </c>
    </row>
    <row r="130" ht="15" customHeight="1" s="160">
      <c r="A130" s="282" t="n">
        <v>122</v>
      </c>
      <c r="B130" s="283">
        <f>$B$6</f>
        <v/>
      </c>
      <c r="C130" s="283">
        <f>B130-D130</f>
        <v/>
      </c>
      <c r="D130" s="283">
        <f>E129*$B$4/12</f>
        <v/>
      </c>
      <c r="E130" s="283">
        <f>E129-C130</f>
        <v/>
      </c>
    </row>
    <row r="131" ht="15" customHeight="1" s="160">
      <c r="A131" s="281" t="n">
        <v>123</v>
      </c>
      <c r="B131" s="195">
        <f>$B$6</f>
        <v/>
      </c>
      <c r="C131" s="195">
        <f>B131-D131</f>
        <v/>
      </c>
      <c r="D131" s="195">
        <f>E130*$B$4/12</f>
        <v/>
      </c>
      <c r="E131" s="195">
        <f>E130-C131</f>
        <v/>
      </c>
    </row>
    <row r="132" ht="15" customHeight="1" s="160">
      <c r="A132" s="282" t="n">
        <v>124</v>
      </c>
      <c r="B132" s="283">
        <f>$B$6</f>
        <v/>
      </c>
      <c r="C132" s="283">
        <f>B132-D132</f>
        <v/>
      </c>
      <c r="D132" s="283">
        <f>E131*$B$4/12</f>
        <v/>
      </c>
      <c r="E132" s="283">
        <f>E131-C132</f>
        <v/>
      </c>
    </row>
    <row r="133" ht="15" customHeight="1" s="160">
      <c r="A133" s="281" t="n">
        <v>125</v>
      </c>
      <c r="B133" s="195">
        <f>$B$6</f>
        <v/>
      </c>
      <c r="C133" s="195">
        <f>B133-D133</f>
        <v/>
      </c>
      <c r="D133" s="195">
        <f>E132*$B$4/12</f>
        <v/>
      </c>
      <c r="E133" s="195">
        <f>E132-C133</f>
        <v/>
      </c>
    </row>
    <row r="134" ht="15" customHeight="1" s="160">
      <c r="A134" s="282" t="n">
        <v>126</v>
      </c>
      <c r="B134" s="283">
        <f>$B$6</f>
        <v/>
      </c>
      <c r="C134" s="283">
        <f>B134-D134</f>
        <v/>
      </c>
      <c r="D134" s="283">
        <f>E133*$B$4/12</f>
        <v/>
      </c>
      <c r="E134" s="283">
        <f>E133-C134</f>
        <v/>
      </c>
    </row>
    <row r="135" ht="15" customHeight="1" s="160">
      <c r="A135" s="281" t="n">
        <v>127</v>
      </c>
      <c r="B135" s="195">
        <f>$B$6</f>
        <v/>
      </c>
      <c r="C135" s="195">
        <f>B135-D135</f>
        <v/>
      </c>
      <c r="D135" s="195">
        <f>E134*$B$4/12</f>
        <v/>
      </c>
      <c r="E135" s="195">
        <f>E134-C135</f>
        <v/>
      </c>
    </row>
    <row r="136" ht="15" customHeight="1" s="160">
      <c r="A136" s="282" t="n">
        <v>128</v>
      </c>
      <c r="B136" s="283">
        <f>$B$6</f>
        <v/>
      </c>
      <c r="C136" s="283">
        <f>B136-D136</f>
        <v/>
      </c>
      <c r="D136" s="283">
        <f>E135*$B$4/12</f>
        <v/>
      </c>
      <c r="E136" s="283">
        <f>E135-C136</f>
        <v/>
      </c>
    </row>
    <row r="137" ht="15" customHeight="1" s="160">
      <c r="A137" s="281" t="n">
        <v>129</v>
      </c>
      <c r="B137" s="195">
        <f>$B$6</f>
        <v/>
      </c>
      <c r="C137" s="195">
        <f>B137-D137</f>
        <v/>
      </c>
      <c r="D137" s="195">
        <f>E136*$B$4/12</f>
        <v/>
      </c>
      <c r="E137" s="195">
        <f>E136-C137</f>
        <v/>
      </c>
    </row>
    <row r="138" ht="15" customHeight="1" s="160">
      <c r="A138" s="282" t="n">
        <v>130</v>
      </c>
      <c r="B138" s="283">
        <f>$B$6</f>
        <v/>
      </c>
      <c r="C138" s="283">
        <f>B138-D138</f>
        <v/>
      </c>
      <c r="D138" s="283">
        <f>E137*$B$4/12</f>
        <v/>
      </c>
      <c r="E138" s="283">
        <f>E137-C138</f>
        <v/>
      </c>
    </row>
    <row r="139" ht="15" customHeight="1" s="160">
      <c r="A139" s="281" t="n">
        <v>131</v>
      </c>
      <c r="B139" s="195">
        <f>$B$6</f>
        <v/>
      </c>
      <c r="C139" s="195">
        <f>B139-D139</f>
        <v/>
      </c>
      <c r="D139" s="195">
        <f>E138*$B$4/12</f>
        <v/>
      </c>
      <c r="E139" s="195">
        <f>E138-C139</f>
        <v/>
      </c>
    </row>
    <row r="140" ht="15" customHeight="1" s="160">
      <c r="A140" s="282" t="n">
        <v>132</v>
      </c>
      <c r="B140" s="283">
        <f>$B$6</f>
        <v/>
      </c>
      <c r="C140" s="283">
        <f>B140-D140</f>
        <v/>
      </c>
      <c r="D140" s="283">
        <f>E139*$B$4/12</f>
        <v/>
      </c>
      <c r="E140" s="283">
        <f>E139-C140</f>
        <v/>
      </c>
    </row>
    <row r="141" ht="15" customHeight="1" s="160">
      <c r="A141" s="281" t="n">
        <v>133</v>
      </c>
      <c r="B141" s="195">
        <f>$B$6</f>
        <v/>
      </c>
      <c r="C141" s="195">
        <f>B141-D141</f>
        <v/>
      </c>
      <c r="D141" s="195">
        <f>E140*$B$4/12</f>
        <v/>
      </c>
      <c r="E141" s="195">
        <f>E140-C141</f>
        <v/>
      </c>
    </row>
    <row r="142" ht="15" customHeight="1" s="160">
      <c r="A142" s="282" t="n">
        <v>134</v>
      </c>
      <c r="B142" s="283">
        <f>$B$6</f>
        <v/>
      </c>
      <c r="C142" s="283">
        <f>B142-D142</f>
        <v/>
      </c>
      <c r="D142" s="283">
        <f>E141*$B$4/12</f>
        <v/>
      </c>
      <c r="E142" s="283">
        <f>E141-C142</f>
        <v/>
      </c>
    </row>
    <row r="143" ht="15" customHeight="1" s="160">
      <c r="A143" s="281" t="n">
        <v>135</v>
      </c>
      <c r="B143" s="195">
        <f>$B$6</f>
        <v/>
      </c>
      <c r="C143" s="195">
        <f>B143-D143</f>
        <v/>
      </c>
      <c r="D143" s="195">
        <f>E142*$B$4/12</f>
        <v/>
      </c>
      <c r="E143" s="195">
        <f>E142-C143</f>
        <v/>
      </c>
    </row>
    <row r="144" ht="15" customHeight="1" s="160">
      <c r="A144" s="282" t="n">
        <v>136</v>
      </c>
      <c r="B144" s="283">
        <f>$B$6</f>
        <v/>
      </c>
      <c r="C144" s="283">
        <f>B144-D144</f>
        <v/>
      </c>
      <c r="D144" s="283">
        <f>E143*$B$4/12</f>
        <v/>
      </c>
      <c r="E144" s="283">
        <f>E143-C144</f>
        <v/>
      </c>
    </row>
    <row r="145" ht="15" customHeight="1" s="160">
      <c r="A145" s="281" t="n">
        <v>137</v>
      </c>
      <c r="B145" s="195">
        <f>$B$6</f>
        <v/>
      </c>
      <c r="C145" s="195">
        <f>B145-D145</f>
        <v/>
      </c>
      <c r="D145" s="195">
        <f>E144*$B$4/12</f>
        <v/>
      </c>
      <c r="E145" s="195">
        <f>E144-C145</f>
        <v/>
      </c>
    </row>
    <row r="146" ht="15" customHeight="1" s="160">
      <c r="A146" s="282" t="n">
        <v>138</v>
      </c>
      <c r="B146" s="283">
        <f>$B$6</f>
        <v/>
      </c>
      <c r="C146" s="283">
        <f>B146-D146</f>
        <v/>
      </c>
      <c r="D146" s="283">
        <f>E145*$B$4/12</f>
        <v/>
      </c>
      <c r="E146" s="283">
        <f>E145-C146</f>
        <v/>
      </c>
    </row>
    <row r="147" ht="15" customHeight="1" s="160">
      <c r="A147" s="281" t="n">
        <v>139</v>
      </c>
      <c r="B147" s="195">
        <f>$B$6</f>
        <v/>
      </c>
      <c r="C147" s="195">
        <f>B147-D147</f>
        <v/>
      </c>
      <c r="D147" s="195">
        <f>E146*$B$4/12</f>
        <v/>
      </c>
      <c r="E147" s="195">
        <f>E146-C147</f>
        <v/>
      </c>
    </row>
    <row r="148" ht="15" customHeight="1" s="160">
      <c r="A148" s="282" t="n">
        <v>140</v>
      </c>
      <c r="B148" s="283">
        <f>$B$6</f>
        <v/>
      </c>
      <c r="C148" s="283">
        <f>B148-D148</f>
        <v/>
      </c>
      <c r="D148" s="283">
        <f>E147*$B$4/12</f>
        <v/>
      </c>
      <c r="E148" s="283">
        <f>E147-C148</f>
        <v/>
      </c>
    </row>
    <row r="149" ht="15" customHeight="1" s="160">
      <c r="A149" s="281" t="n">
        <v>141</v>
      </c>
      <c r="B149" s="195">
        <f>$B$6</f>
        <v/>
      </c>
      <c r="C149" s="195">
        <f>B149-D149</f>
        <v/>
      </c>
      <c r="D149" s="195">
        <f>E148*$B$4/12</f>
        <v/>
      </c>
      <c r="E149" s="195">
        <f>E148-C149</f>
        <v/>
      </c>
    </row>
    <row r="150" ht="15" customHeight="1" s="160">
      <c r="A150" s="282" t="n">
        <v>142</v>
      </c>
      <c r="B150" s="283">
        <f>$B$6</f>
        <v/>
      </c>
      <c r="C150" s="283">
        <f>B150-D150</f>
        <v/>
      </c>
      <c r="D150" s="283">
        <f>E149*$B$4/12</f>
        <v/>
      </c>
      <c r="E150" s="283">
        <f>E149-C150</f>
        <v/>
      </c>
    </row>
    <row r="151" ht="15" customHeight="1" s="160">
      <c r="A151" s="281" t="n">
        <v>143</v>
      </c>
      <c r="B151" s="195">
        <f>$B$6</f>
        <v/>
      </c>
      <c r="C151" s="195">
        <f>B151-D151</f>
        <v/>
      </c>
      <c r="D151" s="195">
        <f>E150*$B$4/12</f>
        <v/>
      </c>
      <c r="E151" s="195">
        <f>E150-C151</f>
        <v/>
      </c>
    </row>
    <row r="152" ht="15" customHeight="1" s="160">
      <c r="A152" s="282" t="n">
        <v>144</v>
      </c>
      <c r="B152" s="283">
        <f>$B$6</f>
        <v/>
      </c>
      <c r="C152" s="283">
        <f>B152-D152</f>
        <v/>
      </c>
      <c r="D152" s="283">
        <f>E151*$B$4/12</f>
        <v/>
      </c>
      <c r="E152" s="283">
        <f>E151-C152</f>
        <v/>
      </c>
    </row>
    <row r="153" ht="15" customHeight="1" s="160">
      <c r="A153" s="281" t="n">
        <v>145</v>
      </c>
      <c r="B153" s="195">
        <f>$B$6</f>
        <v/>
      </c>
      <c r="C153" s="195">
        <f>B153-D153</f>
        <v/>
      </c>
      <c r="D153" s="195">
        <f>E152*$B$4/12</f>
        <v/>
      </c>
      <c r="E153" s="195">
        <f>E152-C153</f>
        <v/>
      </c>
    </row>
    <row r="154" ht="15" customHeight="1" s="160">
      <c r="A154" s="282" t="n">
        <v>146</v>
      </c>
      <c r="B154" s="283">
        <f>$B$6</f>
        <v/>
      </c>
      <c r="C154" s="283">
        <f>B154-D154</f>
        <v/>
      </c>
      <c r="D154" s="283">
        <f>E153*$B$4/12</f>
        <v/>
      </c>
      <c r="E154" s="283">
        <f>E153-C154</f>
        <v/>
      </c>
    </row>
    <row r="155" ht="15" customHeight="1" s="160">
      <c r="A155" s="281" t="n">
        <v>147</v>
      </c>
      <c r="B155" s="195">
        <f>$B$6</f>
        <v/>
      </c>
      <c r="C155" s="195">
        <f>B155-D155</f>
        <v/>
      </c>
      <c r="D155" s="195">
        <f>E154*$B$4/12</f>
        <v/>
      </c>
      <c r="E155" s="195">
        <f>E154-C155</f>
        <v/>
      </c>
    </row>
    <row r="156" ht="15" customHeight="1" s="160">
      <c r="A156" s="282" t="n">
        <v>148</v>
      </c>
      <c r="B156" s="283">
        <f>$B$6</f>
        <v/>
      </c>
      <c r="C156" s="283">
        <f>B156-D156</f>
        <v/>
      </c>
      <c r="D156" s="283">
        <f>E155*$B$4/12</f>
        <v/>
      </c>
      <c r="E156" s="283">
        <f>E155-C156</f>
        <v/>
      </c>
    </row>
    <row r="157" ht="15" customHeight="1" s="160">
      <c r="A157" s="281" t="n">
        <v>149</v>
      </c>
      <c r="B157" s="195">
        <f>$B$6</f>
        <v/>
      </c>
      <c r="C157" s="195">
        <f>B157-D157</f>
        <v/>
      </c>
      <c r="D157" s="195">
        <f>E156*$B$4/12</f>
        <v/>
      </c>
      <c r="E157" s="195">
        <f>E156-C157</f>
        <v/>
      </c>
    </row>
    <row r="158" ht="15" customHeight="1" s="160">
      <c r="A158" s="282" t="n">
        <v>150</v>
      </c>
      <c r="B158" s="283">
        <f>$B$6</f>
        <v/>
      </c>
      <c r="C158" s="283">
        <f>B158-D158</f>
        <v/>
      </c>
      <c r="D158" s="283">
        <f>E157*$B$4/12</f>
        <v/>
      </c>
      <c r="E158" s="283">
        <f>E157-C158</f>
        <v/>
      </c>
    </row>
    <row r="159" ht="15" customHeight="1" s="160">
      <c r="A159" s="281" t="n">
        <v>151</v>
      </c>
      <c r="B159" s="195">
        <f>$B$6</f>
        <v/>
      </c>
      <c r="C159" s="195">
        <f>B159-D159</f>
        <v/>
      </c>
      <c r="D159" s="195">
        <f>E158*$B$4/12</f>
        <v/>
      </c>
      <c r="E159" s="195">
        <f>E158-C159</f>
        <v/>
      </c>
    </row>
    <row r="160" ht="15" customHeight="1" s="160">
      <c r="A160" s="282" t="n">
        <v>152</v>
      </c>
      <c r="B160" s="283">
        <f>$B$6</f>
        <v/>
      </c>
      <c r="C160" s="283">
        <f>B160-D160</f>
        <v/>
      </c>
      <c r="D160" s="283">
        <f>E159*$B$4/12</f>
        <v/>
      </c>
      <c r="E160" s="283">
        <f>E159-C160</f>
        <v/>
      </c>
    </row>
    <row r="161" ht="15" customHeight="1" s="160">
      <c r="A161" s="281" t="n">
        <v>153</v>
      </c>
      <c r="B161" s="195">
        <f>$B$6</f>
        <v/>
      </c>
      <c r="C161" s="195">
        <f>B161-D161</f>
        <v/>
      </c>
      <c r="D161" s="195">
        <f>E160*$B$4/12</f>
        <v/>
      </c>
      <c r="E161" s="195">
        <f>E160-C161</f>
        <v/>
      </c>
    </row>
    <row r="162" ht="15" customHeight="1" s="160">
      <c r="A162" s="282" t="n">
        <v>154</v>
      </c>
      <c r="B162" s="283">
        <f>$B$6</f>
        <v/>
      </c>
      <c r="C162" s="283">
        <f>B162-D162</f>
        <v/>
      </c>
      <c r="D162" s="283">
        <f>E161*$B$4/12</f>
        <v/>
      </c>
      <c r="E162" s="283">
        <f>E161-C162</f>
        <v/>
      </c>
    </row>
    <row r="163" ht="15" customHeight="1" s="160">
      <c r="A163" s="281" t="n">
        <v>155</v>
      </c>
      <c r="B163" s="195">
        <f>$B$6</f>
        <v/>
      </c>
      <c r="C163" s="195">
        <f>B163-D163</f>
        <v/>
      </c>
      <c r="D163" s="195">
        <f>E162*$B$4/12</f>
        <v/>
      </c>
      <c r="E163" s="195">
        <f>E162-C163</f>
        <v/>
      </c>
    </row>
    <row r="164" ht="15" customHeight="1" s="160">
      <c r="A164" s="282" t="n">
        <v>156</v>
      </c>
      <c r="B164" s="283">
        <f>$B$6</f>
        <v/>
      </c>
      <c r="C164" s="283">
        <f>B164-D164</f>
        <v/>
      </c>
      <c r="D164" s="283">
        <f>E163*$B$4/12</f>
        <v/>
      </c>
      <c r="E164" s="283">
        <f>E163-C164</f>
        <v/>
      </c>
    </row>
    <row r="165" ht="15" customHeight="1" s="160">
      <c r="A165" s="281" t="n">
        <v>157</v>
      </c>
      <c r="B165" s="195">
        <f>$B$6</f>
        <v/>
      </c>
      <c r="C165" s="195">
        <f>B165-D165</f>
        <v/>
      </c>
      <c r="D165" s="195">
        <f>E164*$B$4/12</f>
        <v/>
      </c>
      <c r="E165" s="195">
        <f>E164-C165</f>
        <v/>
      </c>
    </row>
    <row r="166" ht="15" customHeight="1" s="160">
      <c r="A166" s="282" t="n">
        <v>158</v>
      </c>
      <c r="B166" s="283">
        <f>$B$6</f>
        <v/>
      </c>
      <c r="C166" s="283">
        <f>B166-D166</f>
        <v/>
      </c>
      <c r="D166" s="283">
        <f>E165*$B$4/12</f>
        <v/>
      </c>
      <c r="E166" s="283">
        <f>E165-C166</f>
        <v/>
      </c>
    </row>
    <row r="167" ht="15" customHeight="1" s="160">
      <c r="A167" s="281" t="n">
        <v>159</v>
      </c>
      <c r="B167" s="195">
        <f>$B$6</f>
        <v/>
      </c>
      <c r="C167" s="195">
        <f>B167-D167</f>
        <v/>
      </c>
      <c r="D167" s="195">
        <f>E166*$B$4/12</f>
        <v/>
      </c>
      <c r="E167" s="195">
        <f>E166-C167</f>
        <v/>
      </c>
    </row>
    <row r="168" ht="15" customHeight="1" s="160">
      <c r="A168" s="282" t="n">
        <v>160</v>
      </c>
      <c r="B168" s="283">
        <f>$B$6</f>
        <v/>
      </c>
      <c r="C168" s="283">
        <f>B168-D168</f>
        <v/>
      </c>
      <c r="D168" s="283">
        <f>E167*$B$4/12</f>
        <v/>
      </c>
      <c r="E168" s="283">
        <f>E167-C168</f>
        <v/>
      </c>
    </row>
    <row r="169" ht="15" customHeight="1" s="160">
      <c r="A169" s="281" t="n">
        <v>161</v>
      </c>
      <c r="B169" s="195">
        <f>$B$6</f>
        <v/>
      </c>
      <c r="C169" s="195">
        <f>B169-D169</f>
        <v/>
      </c>
      <c r="D169" s="195">
        <f>E168*$B$4/12</f>
        <v/>
      </c>
      <c r="E169" s="195">
        <f>E168-C169</f>
        <v/>
      </c>
    </row>
    <row r="170" ht="15" customHeight="1" s="160">
      <c r="A170" s="282" t="n">
        <v>162</v>
      </c>
      <c r="B170" s="283">
        <f>$B$6</f>
        <v/>
      </c>
      <c r="C170" s="283">
        <f>B170-D170</f>
        <v/>
      </c>
      <c r="D170" s="283">
        <f>E169*$B$4/12</f>
        <v/>
      </c>
      <c r="E170" s="283">
        <f>E169-C170</f>
        <v/>
      </c>
    </row>
    <row r="171" ht="15" customHeight="1" s="160">
      <c r="A171" s="281" t="n">
        <v>163</v>
      </c>
      <c r="B171" s="195">
        <f>$B$6</f>
        <v/>
      </c>
      <c r="C171" s="195">
        <f>B171-D171</f>
        <v/>
      </c>
      <c r="D171" s="195">
        <f>E170*$B$4/12</f>
        <v/>
      </c>
      <c r="E171" s="195">
        <f>E170-C171</f>
        <v/>
      </c>
    </row>
    <row r="172" ht="15" customHeight="1" s="160">
      <c r="A172" s="282" t="n">
        <v>164</v>
      </c>
      <c r="B172" s="283">
        <f>$B$6</f>
        <v/>
      </c>
      <c r="C172" s="283">
        <f>B172-D172</f>
        <v/>
      </c>
      <c r="D172" s="283">
        <f>E171*$B$4/12</f>
        <v/>
      </c>
      <c r="E172" s="283">
        <f>E171-C172</f>
        <v/>
      </c>
    </row>
    <row r="173" ht="15" customHeight="1" s="160">
      <c r="A173" s="281" t="n">
        <v>165</v>
      </c>
      <c r="B173" s="195">
        <f>$B$6</f>
        <v/>
      </c>
      <c r="C173" s="195">
        <f>B173-D173</f>
        <v/>
      </c>
      <c r="D173" s="195">
        <f>E172*$B$4/12</f>
        <v/>
      </c>
      <c r="E173" s="195">
        <f>E172-C173</f>
        <v/>
      </c>
    </row>
    <row r="174" ht="15" customHeight="1" s="160">
      <c r="A174" s="282" t="n">
        <v>166</v>
      </c>
      <c r="B174" s="283">
        <f>$B$6</f>
        <v/>
      </c>
      <c r="C174" s="283">
        <f>B174-D174</f>
        <v/>
      </c>
      <c r="D174" s="283">
        <f>E173*$B$4/12</f>
        <v/>
      </c>
      <c r="E174" s="283">
        <f>E173-C174</f>
        <v/>
      </c>
    </row>
    <row r="175" ht="15" customHeight="1" s="160">
      <c r="A175" s="281" t="n">
        <v>167</v>
      </c>
      <c r="B175" s="195">
        <f>$B$6</f>
        <v/>
      </c>
      <c r="C175" s="195">
        <f>B175-D175</f>
        <v/>
      </c>
      <c r="D175" s="195">
        <f>E174*$B$4/12</f>
        <v/>
      </c>
      <c r="E175" s="195">
        <f>E174-C175</f>
        <v/>
      </c>
    </row>
    <row r="176" ht="15" customHeight="1" s="160">
      <c r="A176" s="282" t="n">
        <v>168</v>
      </c>
      <c r="B176" s="283">
        <f>$B$6</f>
        <v/>
      </c>
      <c r="C176" s="283">
        <f>B176-D176</f>
        <v/>
      </c>
      <c r="D176" s="283">
        <f>E175*$B$4/12</f>
        <v/>
      </c>
      <c r="E176" s="283">
        <f>E175-C176</f>
        <v/>
      </c>
    </row>
    <row r="177" ht="15" customHeight="1" s="160">
      <c r="A177" s="281" t="n">
        <v>169</v>
      </c>
      <c r="B177" s="195">
        <f>$B$6</f>
        <v/>
      </c>
      <c r="C177" s="195">
        <f>B177-D177</f>
        <v/>
      </c>
      <c r="D177" s="195">
        <f>E176*$B$4/12</f>
        <v/>
      </c>
      <c r="E177" s="195">
        <f>E176-C177</f>
        <v/>
      </c>
    </row>
    <row r="178" ht="15" customHeight="1" s="160">
      <c r="A178" s="282" t="n">
        <v>170</v>
      </c>
      <c r="B178" s="283">
        <f>$B$6</f>
        <v/>
      </c>
      <c r="C178" s="283">
        <f>B178-D178</f>
        <v/>
      </c>
      <c r="D178" s="283">
        <f>E177*$B$4/12</f>
        <v/>
      </c>
      <c r="E178" s="283">
        <f>E177-C178</f>
        <v/>
      </c>
    </row>
    <row r="179" ht="15" customHeight="1" s="160">
      <c r="A179" s="281" t="n">
        <v>171</v>
      </c>
      <c r="B179" s="195">
        <f>$B$6</f>
        <v/>
      </c>
      <c r="C179" s="195">
        <f>B179-D179</f>
        <v/>
      </c>
      <c r="D179" s="195">
        <f>E178*$B$4/12</f>
        <v/>
      </c>
      <c r="E179" s="195">
        <f>E178-C179</f>
        <v/>
      </c>
    </row>
    <row r="180" ht="15" customHeight="1" s="160">
      <c r="A180" s="282" t="n">
        <v>172</v>
      </c>
      <c r="B180" s="283">
        <f>$B$6</f>
        <v/>
      </c>
      <c r="C180" s="283">
        <f>B180-D180</f>
        <v/>
      </c>
      <c r="D180" s="283">
        <f>E179*$B$4/12</f>
        <v/>
      </c>
      <c r="E180" s="283">
        <f>E179-C180</f>
        <v/>
      </c>
    </row>
    <row r="181" ht="15" customHeight="1" s="160">
      <c r="A181" s="281" t="n">
        <v>173</v>
      </c>
      <c r="B181" s="195">
        <f>$B$6</f>
        <v/>
      </c>
      <c r="C181" s="195">
        <f>B181-D181</f>
        <v/>
      </c>
      <c r="D181" s="195">
        <f>E180*$B$4/12</f>
        <v/>
      </c>
      <c r="E181" s="195">
        <f>E180-C181</f>
        <v/>
      </c>
    </row>
    <row r="182" ht="15" customHeight="1" s="160">
      <c r="A182" s="282" t="n">
        <v>174</v>
      </c>
      <c r="B182" s="283">
        <f>$B$6</f>
        <v/>
      </c>
      <c r="C182" s="283">
        <f>B182-D182</f>
        <v/>
      </c>
      <c r="D182" s="283">
        <f>E181*$B$4/12</f>
        <v/>
      </c>
      <c r="E182" s="283">
        <f>E181-C182</f>
        <v/>
      </c>
    </row>
    <row r="183" ht="15" customHeight="1" s="160">
      <c r="A183" s="281" t="n">
        <v>175</v>
      </c>
      <c r="B183" s="195">
        <f>$B$6</f>
        <v/>
      </c>
      <c r="C183" s="195">
        <f>B183-D183</f>
        <v/>
      </c>
      <c r="D183" s="195">
        <f>E182*$B$4/12</f>
        <v/>
      </c>
      <c r="E183" s="195">
        <f>E182-C183</f>
        <v/>
      </c>
    </row>
    <row r="184" ht="15" customHeight="1" s="160">
      <c r="A184" s="282" t="n">
        <v>176</v>
      </c>
      <c r="B184" s="283">
        <f>$B$6</f>
        <v/>
      </c>
      <c r="C184" s="283">
        <f>B184-D184</f>
        <v/>
      </c>
      <c r="D184" s="283">
        <f>E183*$B$4/12</f>
        <v/>
      </c>
      <c r="E184" s="283">
        <f>E183-C184</f>
        <v/>
      </c>
    </row>
    <row r="185" ht="15" customHeight="1" s="160">
      <c r="A185" s="281" t="n">
        <v>177</v>
      </c>
      <c r="B185" s="195">
        <f>$B$6</f>
        <v/>
      </c>
      <c r="C185" s="195">
        <f>B185-D185</f>
        <v/>
      </c>
      <c r="D185" s="195">
        <f>E184*$B$4/12</f>
        <v/>
      </c>
      <c r="E185" s="195">
        <f>E184-C185</f>
        <v/>
      </c>
    </row>
    <row r="186" ht="15" customHeight="1" s="160">
      <c r="A186" s="282" t="n">
        <v>178</v>
      </c>
      <c r="B186" s="283">
        <f>$B$6</f>
        <v/>
      </c>
      <c r="C186" s="283">
        <f>B186-D186</f>
        <v/>
      </c>
      <c r="D186" s="283">
        <f>E185*$B$4/12</f>
        <v/>
      </c>
      <c r="E186" s="283">
        <f>E185-C186</f>
        <v/>
      </c>
    </row>
    <row r="187" ht="15" customHeight="1" s="160">
      <c r="A187" s="281" t="n">
        <v>179</v>
      </c>
      <c r="B187" s="195">
        <f>$B$6</f>
        <v/>
      </c>
      <c r="C187" s="195">
        <f>B187-D187</f>
        <v/>
      </c>
      <c r="D187" s="195">
        <f>E186*$B$4/12</f>
        <v/>
      </c>
      <c r="E187" s="195">
        <f>E186-C187</f>
        <v/>
      </c>
    </row>
    <row r="188" ht="15" customHeight="1" s="160">
      <c r="A188" s="282" t="n">
        <v>180</v>
      </c>
      <c r="B188" s="283">
        <f>$B$6</f>
        <v/>
      </c>
      <c r="C188" s="283">
        <f>B188-D188</f>
        <v/>
      </c>
      <c r="D188" s="283">
        <f>E187*$B$4/12</f>
        <v/>
      </c>
      <c r="E188" s="283">
        <f>E187-C188</f>
        <v/>
      </c>
    </row>
    <row r="189" ht="15" customHeight="1" s="160">
      <c r="A189" s="281" t="n">
        <v>181</v>
      </c>
      <c r="B189" s="195">
        <f>$B$6</f>
        <v/>
      </c>
      <c r="C189" s="195">
        <f>B189-D189</f>
        <v/>
      </c>
      <c r="D189" s="195">
        <f>E188*$B$4/12</f>
        <v/>
      </c>
      <c r="E189" s="195">
        <f>E188-C189</f>
        <v/>
      </c>
    </row>
    <row r="190" ht="15" customHeight="1" s="160">
      <c r="A190" s="282" t="n">
        <v>182</v>
      </c>
      <c r="B190" s="283">
        <f>$B$6</f>
        <v/>
      </c>
      <c r="C190" s="283">
        <f>B190-D190</f>
        <v/>
      </c>
      <c r="D190" s="283">
        <f>E189*$B$4/12</f>
        <v/>
      </c>
      <c r="E190" s="283">
        <f>E189-C190</f>
        <v/>
      </c>
    </row>
    <row r="191" ht="15" customHeight="1" s="160">
      <c r="A191" s="281" t="n">
        <v>183</v>
      </c>
      <c r="B191" s="195">
        <f>$B$6</f>
        <v/>
      </c>
      <c r="C191" s="195">
        <f>B191-D191</f>
        <v/>
      </c>
      <c r="D191" s="195">
        <f>E190*$B$4/12</f>
        <v/>
      </c>
      <c r="E191" s="195">
        <f>E190-C191</f>
        <v/>
      </c>
    </row>
    <row r="192" ht="15" customHeight="1" s="160">
      <c r="A192" s="282" t="n">
        <v>184</v>
      </c>
      <c r="B192" s="283">
        <f>$B$6</f>
        <v/>
      </c>
      <c r="C192" s="283">
        <f>B192-D192</f>
        <v/>
      </c>
      <c r="D192" s="283">
        <f>E191*$B$4/12</f>
        <v/>
      </c>
      <c r="E192" s="283">
        <f>E191-C192</f>
        <v/>
      </c>
    </row>
    <row r="193" ht="15" customHeight="1" s="160">
      <c r="A193" s="281" t="n">
        <v>185</v>
      </c>
      <c r="B193" s="195">
        <f>$B$6</f>
        <v/>
      </c>
      <c r="C193" s="195">
        <f>B193-D193</f>
        <v/>
      </c>
      <c r="D193" s="195">
        <f>E192*$B$4/12</f>
        <v/>
      </c>
      <c r="E193" s="195">
        <f>E192-C193</f>
        <v/>
      </c>
    </row>
    <row r="194" ht="15" customHeight="1" s="160">
      <c r="A194" s="282" t="n">
        <v>186</v>
      </c>
      <c r="B194" s="283">
        <f>$B$6</f>
        <v/>
      </c>
      <c r="C194" s="283">
        <f>B194-D194</f>
        <v/>
      </c>
      <c r="D194" s="283">
        <f>E193*$B$4/12</f>
        <v/>
      </c>
      <c r="E194" s="283">
        <f>E193-C194</f>
        <v/>
      </c>
    </row>
    <row r="195" ht="15" customHeight="1" s="160">
      <c r="A195" s="281" t="n">
        <v>187</v>
      </c>
      <c r="B195" s="195">
        <f>$B$6</f>
        <v/>
      </c>
      <c r="C195" s="195">
        <f>B195-D195</f>
        <v/>
      </c>
      <c r="D195" s="195">
        <f>E194*$B$4/12</f>
        <v/>
      </c>
      <c r="E195" s="195">
        <f>E194-C195</f>
        <v/>
      </c>
    </row>
    <row r="196" ht="15" customHeight="1" s="160">
      <c r="A196" s="282" t="n">
        <v>188</v>
      </c>
      <c r="B196" s="283">
        <f>$B$6</f>
        <v/>
      </c>
      <c r="C196" s="283">
        <f>B196-D196</f>
        <v/>
      </c>
      <c r="D196" s="283">
        <f>E195*$B$4/12</f>
        <v/>
      </c>
      <c r="E196" s="283">
        <f>E195-C196</f>
        <v/>
      </c>
    </row>
    <row r="197" ht="15" customHeight="1" s="160">
      <c r="A197" s="281" t="n">
        <v>189</v>
      </c>
      <c r="B197" s="195">
        <f>$B$6</f>
        <v/>
      </c>
      <c r="C197" s="195">
        <f>B197-D197</f>
        <v/>
      </c>
      <c r="D197" s="195">
        <f>E196*$B$4/12</f>
        <v/>
      </c>
      <c r="E197" s="195">
        <f>E196-C197</f>
        <v/>
      </c>
    </row>
    <row r="198" ht="15" customHeight="1" s="160">
      <c r="A198" s="282" t="n">
        <v>190</v>
      </c>
      <c r="B198" s="283">
        <f>$B$6</f>
        <v/>
      </c>
      <c r="C198" s="283">
        <f>B198-D198</f>
        <v/>
      </c>
      <c r="D198" s="283">
        <f>E197*$B$4/12</f>
        <v/>
      </c>
      <c r="E198" s="283">
        <f>E197-C198</f>
        <v/>
      </c>
    </row>
    <row r="199" ht="15" customHeight="1" s="160">
      <c r="A199" s="281" t="n">
        <v>191</v>
      </c>
      <c r="B199" s="195">
        <f>$B$6</f>
        <v/>
      </c>
      <c r="C199" s="195">
        <f>B199-D199</f>
        <v/>
      </c>
      <c r="D199" s="195">
        <f>E198*$B$4/12</f>
        <v/>
      </c>
      <c r="E199" s="195">
        <f>E198-C199</f>
        <v/>
      </c>
    </row>
    <row r="200" ht="15" customHeight="1" s="160">
      <c r="A200" s="282" t="n">
        <v>192</v>
      </c>
      <c r="B200" s="283">
        <f>$B$6</f>
        <v/>
      </c>
      <c r="C200" s="283">
        <f>B200-D200</f>
        <v/>
      </c>
      <c r="D200" s="283">
        <f>E199*$B$4/12</f>
        <v/>
      </c>
      <c r="E200" s="283">
        <f>E199-C200</f>
        <v/>
      </c>
    </row>
    <row r="201" ht="15" customHeight="1" s="160">
      <c r="A201" s="281" t="n">
        <v>193</v>
      </c>
      <c r="B201" s="195">
        <f>$B$6</f>
        <v/>
      </c>
      <c r="C201" s="195">
        <f>B201-D201</f>
        <v/>
      </c>
      <c r="D201" s="195">
        <f>E200*$B$4/12</f>
        <v/>
      </c>
      <c r="E201" s="195">
        <f>E200-C201</f>
        <v/>
      </c>
    </row>
    <row r="202" ht="15" customHeight="1" s="160">
      <c r="A202" s="282" t="n">
        <v>194</v>
      </c>
      <c r="B202" s="283">
        <f>$B$6</f>
        <v/>
      </c>
      <c r="C202" s="283">
        <f>B202-D202</f>
        <v/>
      </c>
      <c r="D202" s="283">
        <f>E201*$B$4/12</f>
        <v/>
      </c>
      <c r="E202" s="283">
        <f>E201-C202</f>
        <v/>
      </c>
    </row>
    <row r="203" ht="15" customHeight="1" s="160">
      <c r="A203" s="281" t="n">
        <v>195</v>
      </c>
      <c r="B203" s="195">
        <f>$B$6</f>
        <v/>
      </c>
      <c r="C203" s="195">
        <f>B203-D203</f>
        <v/>
      </c>
      <c r="D203" s="195">
        <f>E202*$B$4/12</f>
        <v/>
      </c>
      <c r="E203" s="195">
        <f>E202-C203</f>
        <v/>
      </c>
    </row>
    <row r="204" ht="15" customHeight="1" s="160">
      <c r="A204" s="282" t="n">
        <v>196</v>
      </c>
      <c r="B204" s="283">
        <f>$B$6</f>
        <v/>
      </c>
      <c r="C204" s="283">
        <f>B204-D204</f>
        <v/>
      </c>
      <c r="D204" s="283">
        <f>E203*$B$4/12</f>
        <v/>
      </c>
      <c r="E204" s="283">
        <f>E203-C204</f>
        <v/>
      </c>
    </row>
    <row r="205" ht="15" customHeight="1" s="160">
      <c r="A205" s="281" t="n">
        <v>197</v>
      </c>
      <c r="B205" s="195">
        <f>$B$6</f>
        <v/>
      </c>
      <c r="C205" s="195">
        <f>B205-D205</f>
        <v/>
      </c>
      <c r="D205" s="195">
        <f>E204*$B$4/12</f>
        <v/>
      </c>
      <c r="E205" s="195">
        <f>E204-C205</f>
        <v/>
      </c>
    </row>
    <row r="206" ht="15" customHeight="1" s="160">
      <c r="A206" s="282" t="n">
        <v>198</v>
      </c>
      <c r="B206" s="283">
        <f>$B$6</f>
        <v/>
      </c>
      <c r="C206" s="283">
        <f>B206-D206</f>
        <v/>
      </c>
      <c r="D206" s="283">
        <f>E205*$B$4/12</f>
        <v/>
      </c>
      <c r="E206" s="283">
        <f>E205-C206</f>
        <v/>
      </c>
    </row>
    <row r="207" ht="15" customHeight="1" s="160">
      <c r="A207" s="281" t="n">
        <v>199</v>
      </c>
      <c r="B207" s="195">
        <f>$B$6</f>
        <v/>
      </c>
      <c r="C207" s="195">
        <f>B207-D207</f>
        <v/>
      </c>
      <c r="D207" s="195">
        <f>E206*$B$4/12</f>
        <v/>
      </c>
      <c r="E207" s="195">
        <f>E206-C207</f>
        <v/>
      </c>
    </row>
    <row r="208" ht="15" customHeight="1" s="160">
      <c r="A208" s="282" t="n">
        <v>200</v>
      </c>
      <c r="B208" s="283">
        <f>$B$6</f>
        <v/>
      </c>
      <c r="C208" s="283">
        <f>B208-D208</f>
        <v/>
      </c>
      <c r="D208" s="283">
        <f>E207*$B$4/12</f>
        <v/>
      </c>
      <c r="E208" s="283">
        <f>E207-C208</f>
        <v/>
      </c>
    </row>
    <row r="209" ht="15" customHeight="1" s="160">
      <c r="A209" s="281" t="n">
        <v>201</v>
      </c>
      <c r="B209" s="195">
        <f>$B$6</f>
        <v/>
      </c>
      <c r="C209" s="195">
        <f>B209-D209</f>
        <v/>
      </c>
      <c r="D209" s="195">
        <f>E208*$B$4/12</f>
        <v/>
      </c>
      <c r="E209" s="195">
        <f>E208-C209</f>
        <v/>
      </c>
    </row>
    <row r="210" ht="15" customHeight="1" s="160">
      <c r="A210" s="282" t="n">
        <v>202</v>
      </c>
      <c r="B210" s="283">
        <f>$B$6</f>
        <v/>
      </c>
      <c r="C210" s="283">
        <f>B210-D210</f>
        <v/>
      </c>
      <c r="D210" s="283">
        <f>E209*$B$4/12</f>
        <v/>
      </c>
      <c r="E210" s="283">
        <f>E209-C210</f>
        <v/>
      </c>
    </row>
    <row r="211" ht="15" customHeight="1" s="160">
      <c r="A211" s="281" t="n">
        <v>203</v>
      </c>
      <c r="B211" s="195">
        <f>$B$6</f>
        <v/>
      </c>
      <c r="C211" s="195">
        <f>B211-D211</f>
        <v/>
      </c>
      <c r="D211" s="195">
        <f>E210*$B$4/12</f>
        <v/>
      </c>
      <c r="E211" s="195">
        <f>E210-C211</f>
        <v/>
      </c>
    </row>
    <row r="212" ht="15" customHeight="1" s="160">
      <c r="A212" s="282" t="n">
        <v>204</v>
      </c>
      <c r="B212" s="283">
        <f>$B$6</f>
        <v/>
      </c>
      <c r="C212" s="283">
        <f>B212-D212</f>
        <v/>
      </c>
      <c r="D212" s="283">
        <f>E211*$B$4/12</f>
        <v/>
      </c>
      <c r="E212" s="283">
        <f>E211-C212</f>
        <v/>
      </c>
    </row>
    <row r="213" ht="15" customHeight="1" s="160">
      <c r="A213" s="281" t="n">
        <v>205</v>
      </c>
      <c r="B213" s="195">
        <f>$B$6</f>
        <v/>
      </c>
      <c r="C213" s="195">
        <f>B213-D213</f>
        <v/>
      </c>
      <c r="D213" s="195">
        <f>E212*$B$4/12</f>
        <v/>
      </c>
      <c r="E213" s="195">
        <f>E212-C213</f>
        <v/>
      </c>
    </row>
    <row r="214" ht="15" customHeight="1" s="160">
      <c r="A214" s="282" t="n">
        <v>206</v>
      </c>
      <c r="B214" s="283">
        <f>$B$6</f>
        <v/>
      </c>
      <c r="C214" s="283">
        <f>B214-D214</f>
        <v/>
      </c>
      <c r="D214" s="283">
        <f>E213*$B$4/12</f>
        <v/>
      </c>
      <c r="E214" s="283">
        <f>E213-C214</f>
        <v/>
      </c>
    </row>
    <row r="215" ht="15" customHeight="1" s="160">
      <c r="A215" s="281" t="n">
        <v>207</v>
      </c>
      <c r="B215" s="195">
        <f>$B$6</f>
        <v/>
      </c>
      <c r="C215" s="195">
        <f>B215-D215</f>
        <v/>
      </c>
      <c r="D215" s="195">
        <f>E214*$B$4/12</f>
        <v/>
      </c>
      <c r="E215" s="195">
        <f>E214-C215</f>
        <v/>
      </c>
    </row>
    <row r="216" ht="15" customHeight="1" s="160">
      <c r="A216" s="282" t="n">
        <v>208</v>
      </c>
      <c r="B216" s="283">
        <f>$B$6</f>
        <v/>
      </c>
      <c r="C216" s="283">
        <f>B216-D216</f>
        <v/>
      </c>
      <c r="D216" s="283">
        <f>E215*$B$4/12</f>
        <v/>
      </c>
      <c r="E216" s="283">
        <f>E215-C216</f>
        <v/>
      </c>
    </row>
    <row r="217" ht="15" customHeight="1" s="160">
      <c r="A217" s="281" t="n">
        <v>209</v>
      </c>
      <c r="B217" s="195">
        <f>$B$6</f>
        <v/>
      </c>
      <c r="C217" s="195">
        <f>B217-D217</f>
        <v/>
      </c>
      <c r="D217" s="195">
        <f>E216*$B$4/12</f>
        <v/>
      </c>
      <c r="E217" s="195">
        <f>E216-C217</f>
        <v/>
      </c>
    </row>
    <row r="218" ht="15" customHeight="1" s="160">
      <c r="A218" s="282" t="n">
        <v>210</v>
      </c>
      <c r="B218" s="283">
        <f>$B$6</f>
        <v/>
      </c>
      <c r="C218" s="283">
        <f>B218-D218</f>
        <v/>
      </c>
      <c r="D218" s="283">
        <f>E217*$B$4/12</f>
        <v/>
      </c>
      <c r="E218" s="283">
        <f>E217-C218</f>
        <v/>
      </c>
    </row>
    <row r="219" ht="15" customHeight="1" s="160">
      <c r="A219" s="281" t="n">
        <v>211</v>
      </c>
      <c r="B219" s="195">
        <f>$B$6</f>
        <v/>
      </c>
      <c r="C219" s="195">
        <f>B219-D219</f>
        <v/>
      </c>
      <c r="D219" s="195">
        <f>E218*$B$4/12</f>
        <v/>
      </c>
      <c r="E219" s="195">
        <f>E218-C219</f>
        <v/>
      </c>
    </row>
    <row r="220" ht="15" customHeight="1" s="160">
      <c r="A220" s="282" t="n">
        <v>212</v>
      </c>
      <c r="B220" s="283">
        <f>$B$6</f>
        <v/>
      </c>
      <c r="C220" s="283">
        <f>B220-D220</f>
        <v/>
      </c>
      <c r="D220" s="283">
        <f>E219*$B$4/12</f>
        <v/>
      </c>
      <c r="E220" s="283">
        <f>E219-C220</f>
        <v/>
      </c>
    </row>
    <row r="221" ht="15" customHeight="1" s="160">
      <c r="A221" s="281" t="n">
        <v>213</v>
      </c>
      <c r="B221" s="195">
        <f>$B$6</f>
        <v/>
      </c>
      <c r="C221" s="195">
        <f>B221-D221</f>
        <v/>
      </c>
      <c r="D221" s="195">
        <f>E220*$B$4/12</f>
        <v/>
      </c>
      <c r="E221" s="195">
        <f>E220-C221</f>
        <v/>
      </c>
    </row>
    <row r="222" ht="15" customHeight="1" s="160">
      <c r="A222" s="282" t="n">
        <v>214</v>
      </c>
      <c r="B222" s="283">
        <f>$B$6</f>
        <v/>
      </c>
      <c r="C222" s="283">
        <f>B222-D222</f>
        <v/>
      </c>
      <c r="D222" s="283">
        <f>E221*$B$4/12</f>
        <v/>
      </c>
      <c r="E222" s="283">
        <f>E221-C222</f>
        <v/>
      </c>
    </row>
    <row r="223" ht="15" customHeight="1" s="160">
      <c r="A223" s="281" t="n">
        <v>215</v>
      </c>
      <c r="B223" s="195">
        <f>$B$6</f>
        <v/>
      </c>
      <c r="C223" s="195">
        <f>B223-D223</f>
        <v/>
      </c>
      <c r="D223" s="195">
        <f>E222*$B$4/12</f>
        <v/>
      </c>
      <c r="E223" s="195">
        <f>E222-C223</f>
        <v/>
      </c>
    </row>
    <row r="224" ht="15" customHeight="1" s="160">
      <c r="A224" s="282" t="n">
        <v>216</v>
      </c>
      <c r="B224" s="283">
        <f>$B$6</f>
        <v/>
      </c>
      <c r="C224" s="283">
        <f>B224-D224</f>
        <v/>
      </c>
      <c r="D224" s="283">
        <f>E223*$B$4/12</f>
        <v/>
      </c>
      <c r="E224" s="283">
        <f>E223-C224</f>
        <v/>
      </c>
    </row>
    <row r="225" ht="15" customHeight="1" s="160">
      <c r="A225" s="281" t="n">
        <v>217</v>
      </c>
      <c r="B225" s="195">
        <f>$B$6</f>
        <v/>
      </c>
      <c r="C225" s="195">
        <f>B225-D225</f>
        <v/>
      </c>
      <c r="D225" s="195">
        <f>E224*$B$4/12</f>
        <v/>
      </c>
      <c r="E225" s="195">
        <f>E224-C225</f>
        <v/>
      </c>
    </row>
    <row r="226" ht="15" customHeight="1" s="160">
      <c r="A226" s="282" t="n">
        <v>218</v>
      </c>
      <c r="B226" s="283">
        <f>$B$6</f>
        <v/>
      </c>
      <c r="C226" s="283">
        <f>B226-D226</f>
        <v/>
      </c>
      <c r="D226" s="283">
        <f>E225*$B$4/12</f>
        <v/>
      </c>
      <c r="E226" s="283">
        <f>E225-C226</f>
        <v/>
      </c>
    </row>
    <row r="227" ht="15" customHeight="1" s="160">
      <c r="A227" s="281" t="n">
        <v>219</v>
      </c>
      <c r="B227" s="195">
        <f>$B$6</f>
        <v/>
      </c>
      <c r="C227" s="195">
        <f>B227-D227</f>
        <v/>
      </c>
      <c r="D227" s="195">
        <f>E226*$B$4/12</f>
        <v/>
      </c>
      <c r="E227" s="195">
        <f>E226-C227</f>
        <v/>
      </c>
    </row>
    <row r="228" ht="15" customHeight="1" s="160">
      <c r="A228" s="282" t="n">
        <v>220</v>
      </c>
      <c r="B228" s="283">
        <f>$B$6</f>
        <v/>
      </c>
      <c r="C228" s="283">
        <f>B228-D228</f>
        <v/>
      </c>
      <c r="D228" s="283">
        <f>E227*$B$4/12</f>
        <v/>
      </c>
      <c r="E228" s="283">
        <f>E227-C228</f>
        <v/>
      </c>
    </row>
    <row r="229" ht="15" customHeight="1" s="160">
      <c r="A229" s="281" t="n">
        <v>221</v>
      </c>
      <c r="B229" s="195">
        <f>$B$6</f>
        <v/>
      </c>
      <c r="C229" s="195">
        <f>B229-D229</f>
        <v/>
      </c>
      <c r="D229" s="195">
        <f>E228*$B$4/12</f>
        <v/>
      </c>
      <c r="E229" s="195">
        <f>E228-C229</f>
        <v/>
      </c>
    </row>
    <row r="230" ht="15" customHeight="1" s="160">
      <c r="A230" s="282" t="n">
        <v>222</v>
      </c>
      <c r="B230" s="283">
        <f>$B$6</f>
        <v/>
      </c>
      <c r="C230" s="283">
        <f>B230-D230</f>
        <v/>
      </c>
      <c r="D230" s="283">
        <f>E229*$B$4/12</f>
        <v/>
      </c>
      <c r="E230" s="283">
        <f>E229-C230</f>
        <v/>
      </c>
    </row>
    <row r="231" ht="15" customHeight="1" s="160">
      <c r="A231" s="281" t="n">
        <v>223</v>
      </c>
      <c r="B231" s="195">
        <f>$B$6</f>
        <v/>
      </c>
      <c r="C231" s="195">
        <f>B231-D231</f>
        <v/>
      </c>
      <c r="D231" s="195">
        <f>E230*$B$4/12</f>
        <v/>
      </c>
      <c r="E231" s="195">
        <f>E230-C231</f>
        <v/>
      </c>
    </row>
    <row r="232" ht="15" customHeight="1" s="160">
      <c r="A232" s="282" t="n">
        <v>224</v>
      </c>
      <c r="B232" s="283">
        <f>$B$6</f>
        <v/>
      </c>
      <c r="C232" s="283">
        <f>B232-D232</f>
        <v/>
      </c>
      <c r="D232" s="283">
        <f>E231*$B$4/12</f>
        <v/>
      </c>
      <c r="E232" s="283">
        <f>E231-C232</f>
        <v/>
      </c>
    </row>
    <row r="233" ht="15" customHeight="1" s="160">
      <c r="A233" s="281" t="n">
        <v>225</v>
      </c>
      <c r="B233" s="195">
        <f>$B$6</f>
        <v/>
      </c>
      <c r="C233" s="195">
        <f>B233-D233</f>
        <v/>
      </c>
      <c r="D233" s="195">
        <f>E232*$B$4/12</f>
        <v/>
      </c>
      <c r="E233" s="195">
        <f>E232-C233</f>
        <v/>
      </c>
    </row>
    <row r="234" ht="15" customHeight="1" s="160">
      <c r="A234" s="282" t="n">
        <v>226</v>
      </c>
      <c r="B234" s="283">
        <f>$B$6</f>
        <v/>
      </c>
      <c r="C234" s="283">
        <f>B234-D234</f>
        <v/>
      </c>
      <c r="D234" s="283">
        <f>E233*$B$4/12</f>
        <v/>
      </c>
      <c r="E234" s="283">
        <f>E233-C234</f>
        <v/>
      </c>
    </row>
    <row r="235" ht="15" customHeight="1" s="160">
      <c r="A235" s="281" t="n">
        <v>227</v>
      </c>
      <c r="B235" s="195">
        <f>$B$6</f>
        <v/>
      </c>
      <c r="C235" s="195">
        <f>B235-D235</f>
        <v/>
      </c>
      <c r="D235" s="195">
        <f>E234*$B$4/12</f>
        <v/>
      </c>
      <c r="E235" s="195">
        <f>E234-C235</f>
        <v/>
      </c>
    </row>
    <row r="236" ht="15" customHeight="1" s="160">
      <c r="A236" s="282" t="n">
        <v>228</v>
      </c>
      <c r="B236" s="283">
        <f>$B$6</f>
        <v/>
      </c>
      <c r="C236" s="283">
        <f>B236-D236</f>
        <v/>
      </c>
      <c r="D236" s="283">
        <f>E235*$B$4/12</f>
        <v/>
      </c>
      <c r="E236" s="283">
        <f>E235-C236</f>
        <v/>
      </c>
    </row>
    <row r="237" ht="15" customHeight="1" s="160">
      <c r="A237" s="281" t="n">
        <v>229</v>
      </c>
      <c r="B237" s="195">
        <f>$B$6</f>
        <v/>
      </c>
      <c r="C237" s="195">
        <f>B237-D237</f>
        <v/>
      </c>
      <c r="D237" s="195">
        <f>E236*$B$4/12</f>
        <v/>
      </c>
      <c r="E237" s="195">
        <f>E236-C237</f>
        <v/>
      </c>
    </row>
    <row r="238" ht="15" customHeight="1" s="160">
      <c r="A238" s="282" t="n">
        <v>230</v>
      </c>
      <c r="B238" s="283">
        <f>$B$6</f>
        <v/>
      </c>
      <c r="C238" s="283">
        <f>B238-D238</f>
        <v/>
      </c>
      <c r="D238" s="283">
        <f>E237*$B$4/12</f>
        <v/>
      </c>
      <c r="E238" s="283">
        <f>E237-C238</f>
        <v/>
      </c>
    </row>
    <row r="239" ht="15" customHeight="1" s="160">
      <c r="A239" s="281" t="n">
        <v>231</v>
      </c>
      <c r="B239" s="195">
        <f>$B$6</f>
        <v/>
      </c>
      <c r="C239" s="195">
        <f>B239-D239</f>
        <v/>
      </c>
      <c r="D239" s="195">
        <f>E238*$B$4/12</f>
        <v/>
      </c>
      <c r="E239" s="195">
        <f>E238-C239</f>
        <v/>
      </c>
    </row>
    <row r="240" ht="15" customHeight="1" s="160">
      <c r="A240" s="282" t="n">
        <v>232</v>
      </c>
      <c r="B240" s="283">
        <f>$B$6</f>
        <v/>
      </c>
      <c r="C240" s="283">
        <f>B240-D240</f>
        <v/>
      </c>
      <c r="D240" s="283">
        <f>E239*$B$4/12</f>
        <v/>
      </c>
      <c r="E240" s="283">
        <f>E239-C240</f>
        <v/>
      </c>
    </row>
    <row r="241" ht="15" customHeight="1" s="160">
      <c r="A241" s="281" t="n">
        <v>233</v>
      </c>
      <c r="B241" s="195">
        <f>$B$6</f>
        <v/>
      </c>
      <c r="C241" s="195">
        <f>B241-D241</f>
        <v/>
      </c>
      <c r="D241" s="195">
        <f>E240*$B$4/12</f>
        <v/>
      </c>
      <c r="E241" s="195">
        <f>E240-C241</f>
        <v/>
      </c>
    </row>
    <row r="242" ht="15" customHeight="1" s="160">
      <c r="A242" s="282" t="n">
        <v>234</v>
      </c>
      <c r="B242" s="283">
        <f>$B$6</f>
        <v/>
      </c>
      <c r="C242" s="283">
        <f>B242-D242</f>
        <v/>
      </c>
      <c r="D242" s="283">
        <f>E241*$B$4/12</f>
        <v/>
      </c>
      <c r="E242" s="283">
        <f>E241-C242</f>
        <v/>
      </c>
    </row>
    <row r="243" ht="15" customHeight="1" s="160">
      <c r="A243" s="281" t="n">
        <v>235</v>
      </c>
      <c r="B243" s="195">
        <f>$B$6</f>
        <v/>
      </c>
      <c r="C243" s="195">
        <f>B243-D243</f>
        <v/>
      </c>
      <c r="D243" s="195">
        <f>E242*$B$4/12</f>
        <v/>
      </c>
      <c r="E243" s="195">
        <f>E242-C243</f>
        <v/>
      </c>
    </row>
    <row r="244" ht="15" customHeight="1" s="160">
      <c r="A244" s="282" t="n">
        <v>236</v>
      </c>
      <c r="B244" s="283">
        <f>$B$6</f>
        <v/>
      </c>
      <c r="C244" s="283">
        <f>B244-D244</f>
        <v/>
      </c>
      <c r="D244" s="283">
        <f>E243*$B$4/12</f>
        <v/>
      </c>
      <c r="E244" s="283">
        <f>E243-C244</f>
        <v/>
      </c>
    </row>
    <row r="245" ht="15" customHeight="1" s="160">
      <c r="A245" s="281" t="n">
        <v>237</v>
      </c>
      <c r="B245" s="195">
        <f>$B$6</f>
        <v/>
      </c>
      <c r="C245" s="195">
        <f>B245-D245</f>
        <v/>
      </c>
      <c r="D245" s="195">
        <f>E244*$B$4/12</f>
        <v/>
      </c>
      <c r="E245" s="195">
        <f>E244-C245</f>
        <v/>
      </c>
    </row>
    <row r="246" ht="15" customHeight="1" s="160">
      <c r="A246" s="282" t="n">
        <v>238</v>
      </c>
      <c r="B246" s="283">
        <f>$B$6</f>
        <v/>
      </c>
      <c r="C246" s="283">
        <f>B246-D246</f>
        <v/>
      </c>
      <c r="D246" s="283">
        <f>E245*$B$4/12</f>
        <v/>
      </c>
      <c r="E246" s="283">
        <f>E245-C246</f>
        <v/>
      </c>
    </row>
    <row r="247" ht="15" customHeight="1" s="160">
      <c r="A247" s="281" t="n">
        <v>239</v>
      </c>
      <c r="B247" s="195">
        <f>$B$6</f>
        <v/>
      </c>
      <c r="C247" s="195">
        <f>B247-D247</f>
        <v/>
      </c>
      <c r="D247" s="195">
        <f>E246*$B$4/12</f>
        <v/>
      </c>
      <c r="E247" s="195">
        <f>E246-C247</f>
        <v/>
      </c>
    </row>
    <row r="248" ht="15" customHeight="1" s="160">
      <c r="A248" s="282" t="n">
        <v>240</v>
      </c>
      <c r="B248" s="283">
        <f>$B$6</f>
        <v/>
      </c>
      <c r="C248" s="283">
        <f>B248-D248</f>
        <v/>
      </c>
      <c r="D248" s="283">
        <f>E247*$B$4/12</f>
        <v/>
      </c>
      <c r="E248" s="283">
        <f>E247-C248</f>
        <v/>
      </c>
    </row>
    <row r="249" ht="15" customHeight="1" s="160">
      <c r="A249" s="281" t="n">
        <v>241</v>
      </c>
      <c r="B249" s="195">
        <f>$B$6</f>
        <v/>
      </c>
      <c r="C249" s="195">
        <f>B249-D249</f>
        <v/>
      </c>
      <c r="D249" s="195">
        <f>E248*$B$4/12</f>
        <v/>
      </c>
      <c r="E249" s="195">
        <f>E248-C249</f>
        <v/>
      </c>
    </row>
    <row r="250" ht="15" customHeight="1" s="160">
      <c r="A250" s="282" t="n">
        <v>242</v>
      </c>
      <c r="B250" s="283">
        <f>$B$6</f>
        <v/>
      </c>
      <c r="C250" s="283">
        <f>B250-D250</f>
        <v/>
      </c>
      <c r="D250" s="283">
        <f>E249*$B$4/12</f>
        <v/>
      </c>
      <c r="E250" s="283">
        <f>E249-C250</f>
        <v/>
      </c>
    </row>
    <row r="251" ht="15" customHeight="1" s="160">
      <c r="A251" s="281" t="n">
        <v>243</v>
      </c>
      <c r="B251" s="195">
        <f>$B$6</f>
        <v/>
      </c>
      <c r="C251" s="195">
        <f>B251-D251</f>
        <v/>
      </c>
      <c r="D251" s="195">
        <f>E250*$B$4/12</f>
        <v/>
      </c>
      <c r="E251" s="195">
        <f>E250-C251</f>
        <v/>
      </c>
    </row>
    <row r="252" ht="15" customHeight="1" s="160">
      <c r="A252" s="282" t="n">
        <v>244</v>
      </c>
      <c r="B252" s="283">
        <f>$B$6</f>
        <v/>
      </c>
      <c r="C252" s="283">
        <f>B252-D252</f>
        <v/>
      </c>
      <c r="D252" s="283">
        <f>E251*$B$4/12</f>
        <v/>
      </c>
      <c r="E252" s="283">
        <f>E251-C252</f>
        <v/>
      </c>
    </row>
    <row r="253" ht="15" customHeight="1" s="160">
      <c r="A253" s="281" t="n">
        <v>245</v>
      </c>
      <c r="B253" s="195">
        <f>$B$6</f>
        <v/>
      </c>
      <c r="C253" s="195">
        <f>B253-D253</f>
        <v/>
      </c>
      <c r="D253" s="195">
        <f>E252*$B$4/12</f>
        <v/>
      </c>
      <c r="E253" s="195">
        <f>E252-C253</f>
        <v/>
      </c>
    </row>
    <row r="254" ht="15" customHeight="1" s="160">
      <c r="A254" s="282" t="n">
        <v>246</v>
      </c>
      <c r="B254" s="283">
        <f>$B$6</f>
        <v/>
      </c>
      <c r="C254" s="283">
        <f>B254-D254</f>
        <v/>
      </c>
      <c r="D254" s="283">
        <f>E253*$B$4/12</f>
        <v/>
      </c>
      <c r="E254" s="283">
        <f>E253-C254</f>
        <v/>
      </c>
    </row>
    <row r="255" ht="15" customHeight="1" s="160">
      <c r="A255" s="281" t="n">
        <v>247</v>
      </c>
      <c r="B255" s="195">
        <f>$B$6</f>
        <v/>
      </c>
      <c r="C255" s="195">
        <f>B255-D255</f>
        <v/>
      </c>
      <c r="D255" s="195">
        <f>E254*$B$4/12</f>
        <v/>
      </c>
      <c r="E255" s="195">
        <f>E254-C255</f>
        <v/>
      </c>
    </row>
    <row r="256" ht="15" customHeight="1" s="160">
      <c r="A256" s="282" t="n">
        <v>248</v>
      </c>
      <c r="B256" s="283">
        <f>$B$6</f>
        <v/>
      </c>
      <c r="C256" s="283">
        <f>B256-D256</f>
        <v/>
      </c>
      <c r="D256" s="283">
        <f>E255*$B$4/12</f>
        <v/>
      </c>
      <c r="E256" s="283">
        <f>E255-C256</f>
        <v/>
      </c>
    </row>
    <row r="257" ht="15" customHeight="1" s="160">
      <c r="A257" s="281" t="n">
        <v>249</v>
      </c>
      <c r="B257" s="195">
        <f>$B$6</f>
        <v/>
      </c>
      <c r="C257" s="195">
        <f>B257-D257</f>
        <v/>
      </c>
      <c r="D257" s="195">
        <f>E256*$B$4/12</f>
        <v/>
      </c>
      <c r="E257" s="195">
        <f>E256-C257</f>
        <v/>
      </c>
    </row>
    <row r="258" ht="15" customHeight="1" s="160">
      <c r="A258" s="282" t="n">
        <v>250</v>
      </c>
      <c r="B258" s="283">
        <f>$B$6</f>
        <v/>
      </c>
      <c r="C258" s="283">
        <f>B258-D258</f>
        <v/>
      </c>
      <c r="D258" s="283">
        <f>E257*$B$4/12</f>
        <v/>
      </c>
      <c r="E258" s="283">
        <f>E257-C258</f>
        <v/>
      </c>
    </row>
    <row r="259" ht="15" customHeight="1" s="160">
      <c r="A259" s="281" t="n">
        <v>251</v>
      </c>
      <c r="B259" s="195">
        <f>$B$6</f>
        <v/>
      </c>
      <c r="C259" s="195">
        <f>B259-D259</f>
        <v/>
      </c>
      <c r="D259" s="195">
        <f>E258*$B$4/12</f>
        <v/>
      </c>
      <c r="E259" s="195">
        <f>E258-C259</f>
        <v/>
      </c>
    </row>
    <row r="260" ht="15" customHeight="1" s="160">
      <c r="A260" s="282" t="n">
        <v>252</v>
      </c>
      <c r="B260" s="283">
        <f>$B$6</f>
        <v/>
      </c>
      <c r="C260" s="283">
        <f>B260-D260</f>
        <v/>
      </c>
      <c r="D260" s="283">
        <f>E259*$B$4/12</f>
        <v/>
      </c>
      <c r="E260" s="283">
        <f>E259-C260</f>
        <v/>
      </c>
    </row>
    <row r="261" ht="15" customHeight="1" s="160">
      <c r="A261" s="281" t="n">
        <v>253</v>
      </c>
      <c r="B261" s="195">
        <f>$B$6</f>
        <v/>
      </c>
      <c r="C261" s="195">
        <f>B261-D261</f>
        <v/>
      </c>
      <c r="D261" s="195">
        <f>E260*$B$4/12</f>
        <v/>
      </c>
      <c r="E261" s="195">
        <f>E260-C261</f>
        <v/>
      </c>
    </row>
    <row r="262" ht="15" customHeight="1" s="160">
      <c r="A262" s="282" t="n">
        <v>254</v>
      </c>
      <c r="B262" s="283">
        <f>$B$6</f>
        <v/>
      </c>
      <c r="C262" s="283">
        <f>B262-D262</f>
        <v/>
      </c>
      <c r="D262" s="283">
        <f>E261*$B$4/12</f>
        <v/>
      </c>
      <c r="E262" s="283">
        <f>E261-C262</f>
        <v/>
      </c>
    </row>
    <row r="263" ht="15" customHeight="1" s="160">
      <c r="A263" s="281" t="n">
        <v>255</v>
      </c>
      <c r="B263" s="195">
        <f>$B$6</f>
        <v/>
      </c>
      <c r="C263" s="195">
        <f>B263-D263</f>
        <v/>
      </c>
      <c r="D263" s="195">
        <f>E262*$B$4/12</f>
        <v/>
      </c>
      <c r="E263" s="195">
        <f>E262-C263</f>
        <v/>
      </c>
    </row>
    <row r="264" ht="15" customHeight="1" s="160">
      <c r="A264" s="282" t="n">
        <v>256</v>
      </c>
      <c r="B264" s="283">
        <f>$B$6</f>
        <v/>
      </c>
      <c r="C264" s="283">
        <f>B264-D264</f>
        <v/>
      </c>
      <c r="D264" s="283">
        <f>E263*$B$4/12</f>
        <v/>
      </c>
      <c r="E264" s="283">
        <f>E263-C264</f>
        <v/>
      </c>
    </row>
    <row r="265" ht="15" customHeight="1" s="160">
      <c r="A265" s="281" t="n">
        <v>257</v>
      </c>
      <c r="B265" s="195">
        <f>$B$6</f>
        <v/>
      </c>
      <c r="C265" s="195">
        <f>B265-D265</f>
        <v/>
      </c>
      <c r="D265" s="195">
        <f>E264*$B$4/12</f>
        <v/>
      </c>
      <c r="E265" s="195">
        <f>E264-C265</f>
        <v/>
      </c>
    </row>
    <row r="266" ht="15" customHeight="1" s="160">
      <c r="A266" s="282" t="n">
        <v>258</v>
      </c>
      <c r="B266" s="283">
        <f>$B$6</f>
        <v/>
      </c>
      <c r="C266" s="283">
        <f>B266-D266</f>
        <v/>
      </c>
      <c r="D266" s="283">
        <f>E265*$B$4/12</f>
        <v/>
      </c>
      <c r="E266" s="283">
        <f>E265-C266</f>
        <v/>
      </c>
    </row>
    <row r="267" ht="15" customHeight="1" s="160">
      <c r="A267" s="281" t="n">
        <v>259</v>
      </c>
      <c r="B267" s="195">
        <f>$B$6</f>
        <v/>
      </c>
      <c r="C267" s="195">
        <f>B267-D267</f>
        <v/>
      </c>
      <c r="D267" s="195">
        <f>E266*$B$4/12</f>
        <v/>
      </c>
      <c r="E267" s="195">
        <f>E266-C267</f>
        <v/>
      </c>
    </row>
    <row r="268" ht="15" customHeight="1" s="160">
      <c r="A268" s="282" t="n">
        <v>260</v>
      </c>
      <c r="B268" s="283">
        <f>$B$6</f>
        <v/>
      </c>
      <c r="C268" s="283">
        <f>B268-D268</f>
        <v/>
      </c>
      <c r="D268" s="283">
        <f>E267*$B$4/12</f>
        <v/>
      </c>
      <c r="E268" s="283">
        <f>E267-C268</f>
        <v/>
      </c>
    </row>
    <row r="269" ht="15" customHeight="1" s="160">
      <c r="A269" s="281" t="n">
        <v>261</v>
      </c>
      <c r="B269" s="195">
        <f>$B$6</f>
        <v/>
      </c>
      <c r="C269" s="195">
        <f>B269-D269</f>
        <v/>
      </c>
      <c r="D269" s="195">
        <f>E268*$B$4/12</f>
        <v/>
      </c>
      <c r="E269" s="195">
        <f>E268-C269</f>
        <v/>
      </c>
    </row>
    <row r="270" ht="15" customHeight="1" s="160">
      <c r="A270" s="282" t="n">
        <v>262</v>
      </c>
      <c r="B270" s="283">
        <f>$B$6</f>
        <v/>
      </c>
      <c r="C270" s="283">
        <f>B270-D270</f>
        <v/>
      </c>
      <c r="D270" s="283">
        <f>E269*$B$4/12</f>
        <v/>
      </c>
      <c r="E270" s="283">
        <f>E269-C270</f>
        <v/>
      </c>
    </row>
    <row r="271" ht="15" customHeight="1" s="160">
      <c r="A271" s="281" t="n">
        <v>263</v>
      </c>
      <c r="B271" s="195">
        <f>$B$6</f>
        <v/>
      </c>
      <c r="C271" s="195">
        <f>B271-D271</f>
        <v/>
      </c>
      <c r="D271" s="195">
        <f>E270*$B$4/12</f>
        <v/>
      </c>
      <c r="E271" s="195">
        <f>E270-C271</f>
        <v/>
      </c>
    </row>
    <row r="272" ht="15" customHeight="1" s="160">
      <c r="A272" s="282" t="n">
        <v>264</v>
      </c>
      <c r="B272" s="283">
        <f>$B$6</f>
        <v/>
      </c>
      <c r="C272" s="283">
        <f>B272-D272</f>
        <v/>
      </c>
      <c r="D272" s="283">
        <f>E271*$B$4/12</f>
        <v/>
      </c>
      <c r="E272" s="283">
        <f>E271-C272</f>
        <v/>
      </c>
    </row>
    <row r="273" ht="15" customHeight="1" s="160">
      <c r="A273" s="281" t="n">
        <v>265</v>
      </c>
      <c r="B273" s="195">
        <f>$B$6</f>
        <v/>
      </c>
      <c r="C273" s="195">
        <f>B273-D273</f>
        <v/>
      </c>
      <c r="D273" s="195">
        <f>E272*$B$4/12</f>
        <v/>
      </c>
      <c r="E273" s="195">
        <f>E272-C273</f>
        <v/>
      </c>
    </row>
    <row r="274" ht="15" customHeight="1" s="160">
      <c r="A274" s="282" t="n">
        <v>266</v>
      </c>
      <c r="B274" s="283">
        <f>$B$6</f>
        <v/>
      </c>
      <c r="C274" s="283">
        <f>B274-D274</f>
        <v/>
      </c>
      <c r="D274" s="283">
        <f>E273*$B$4/12</f>
        <v/>
      </c>
      <c r="E274" s="283">
        <f>E273-C274</f>
        <v/>
      </c>
    </row>
    <row r="275" ht="15" customHeight="1" s="160">
      <c r="A275" s="281" t="n">
        <v>267</v>
      </c>
      <c r="B275" s="195">
        <f>$B$6</f>
        <v/>
      </c>
      <c r="C275" s="195">
        <f>B275-D275</f>
        <v/>
      </c>
      <c r="D275" s="195">
        <f>E274*$B$4/12</f>
        <v/>
      </c>
      <c r="E275" s="195">
        <f>E274-C275</f>
        <v/>
      </c>
    </row>
    <row r="276" ht="15" customHeight="1" s="160">
      <c r="A276" s="282" t="n">
        <v>268</v>
      </c>
      <c r="B276" s="283">
        <f>$B$6</f>
        <v/>
      </c>
      <c r="C276" s="283">
        <f>B276-D276</f>
        <v/>
      </c>
      <c r="D276" s="283">
        <f>E275*$B$4/12</f>
        <v/>
      </c>
      <c r="E276" s="283">
        <f>E275-C276</f>
        <v/>
      </c>
    </row>
    <row r="277" ht="15" customHeight="1" s="160">
      <c r="A277" s="281" t="n">
        <v>269</v>
      </c>
      <c r="B277" s="195">
        <f>$B$6</f>
        <v/>
      </c>
      <c r="C277" s="195">
        <f>B277-D277</f>
        <v/>
      </c>
      <c r="D277" s="195">
        <f>E276*$B$4/12</f>
        <v/>
      </c>
      <c r="E277" s="195">
        <f>E276-C277</f>
        <v/>
      </c>
    </row>
    <row r="278" ht="15" customHeight="1" s="160">
      <c r="A278" s="282" t="n">
        <v>270</v>
      </c>
      <c r="B278" s="283">
        <f>$B$6</f>
        <v/>
      </c>
      <c r="C278" s="283">
        <f>B278-D278</f>
        <v/>
      </c>
      <c r="D278" s="283">
        <f>E277*$B$4/12</f>
        <v/>
      </c>
      <c r="E278" s="283">
        <f>E277-C278</f>
        <v/>
      </c>
    </row>
    <row r="279" ht="15" customHeight="1" s="160">
      <c r="A279" s="281" t="n">
        <v>271</v>
      </c>
      <c r="B279" s="195">
        <f>$B$6</f>
        <v/>
      </c>
      <c r="C279" s="195">
        <f>B279-D279</f>
        <v/>
      </c>
      <c r="D279" s="195">
        <f>E278*$B$4/12</f>
        <v/>
      </c>
      <c r="E279" s="195">
        <f>E278-C279</f>
        <v/>
      </c>
    </row>
    <row r="280" ht="15" customHeight="1" s="160">
      <c r="A280" s="282" t="n">
        <v>272</v>
      </c>
      <c r="B280" s="283">
        <f>$B$6</f>
        <v/>
      </c>
      <c r="C280" s="283">
        <f>B280-D280</f>
        <v/>
      </c>
      <c r="D280" s="283">
        <f>E279*$B$4/12</f>
        <v/>
      </c>
      <c r="E280" s="283">
        <f>E279-C280</f>
        <v/>
      </c>
    </row>
    <row r="281" ht="15" customHeight="1" s="160">
      <c r="A281" s="281" t="n">
        <v>273</v>
      </c>
      <c r="B281" s="195">
        <f>$B$6</f>
        <v/>
      </c>
      <c r="C281" s="195">
        <f>B281-D281</f>
        <v/>
      </c>
      <c r="D281" s="195">
        <f>E280*$B$4/12</f>
        <v/>
      </c>
      <c r="E281" s="195">
        <f>E280-C281</f>
        <v/>
      </c>
    </row>
    <row r="282" ht="15" customHeight="1" s="160">
      <c r="A282" s="282" t="n">
        <v>274</v>
      </c>
      <c r="B282" s="283">
        <f>$B$6</f>
        <v/>
      </c>
      <c r="C282" s="283">
        <f>B282-D282</f>
        <v/>
      </c>
      <c r="D282" s="283">
        <f>E281*$B$4/12</f>
        <v/>
      </c>
      <c r="E282" s="283">
        <f>E281-C282</f>
        <v/>
      </c>
    </row>
    <row r="283" ht="15" customHeight="1" s="160">
      <c r="A283" s="281" t="n">
        <v>275</v>
      </c>
      <c r="B283" s="195">
        <f>$B$6</f>
        <v/>
      </c>
      <c r="C283" s="195">
        <f>B283-D283</f>
        <v/>
      </c>
      <c r="D283" s="195">
        <f>E282*$B$4/12</f>
        <v/>
      </c>
      <c r="E283" s="195">
        <f>E282-C283</f>
        <v/>
      </c>
    </row>
    <row r="284" ht="15" customHeight="1" s="160">
      <c r="A284" s="282" t="n">
        <v>276</v>
      </c>
      <c r="B284" s="283">
        <f>$B$6</f>
        <v/>
      </c>
      <c r="C284" s="283">
        <f>B284-D284</f>
        <v/>
      </c>
      <c r="D284" s="283">
        <f>E283*$B$4/12</f>
        <v/>
      </c>
      <c r="E284" s="283">
        <f>E283-C284</f>
        <v/>
      </c>
    </row>
    <row r="285" ht="15" customHeight="1" s="160">
      <c r="A285" s="281" t="n">
        <v>277</v>
      </c>
      <c r="B285" s="195">
        <f>$B$6</f>
        <v/>
      </c>
      <c r="C285" s="195">
        <f>B285-D285</f>
        <v/>
      </c>
      <c r="D285" s="195">
        <f>E284*$B$4/12</f>
        <v/>
      </c>
      <c r="E285" s="195">
        <f>E284-C285</f>
        <v/>
      </c>
    </row>
    <row r="286" ht="15" customHeight="1" s="160">
      <c r="A286" s="282" t="n">
        <v>278</v>
      </c>
      <c r="B286" s="283">
        <f>$B$6</f>
        <v/>
      </c>
      <c r="C286" s="283">
        <f>B286-D286</f>
        <v/>
      </c>
      <c r="D286" s="283">
        <f>E285*$B$4/12</f>
        <v/>
      </c>
      <c r="E286" s="283">
        <f>E285-C286</f>
        <v/>
      </c>
    </row>
    <row r="287" ht="15" customHeight="1" s="160">
      <c r="A287" s="281" t="n">
        <v>279</v>
      </c>
      <c r="B287" s="195">
        <f>$B$6</f>
        <v/>
      </c>
      <c r="C287" s="195">
        <f>B287-D287</f>
        <v/>
      </c>
      <c r="D287" s="195">
        <f>E286*$B$4/12</f>
        <v/>
      </c>
      <c r="E287" s="195">
        <f>E286-C287</f>
        <v/>
      </c>
    </row>
    <row r="288" ht="15" customHeight="1" s="160">
      <c r="A288" s="282" t="n">
        <v>280</v>
      </c>
      <c r="B288" s="283">
        <f>$B$6</f>
        <v/>
      </c>
      <c r="C288" s="283">
        <f>B288-D288</f>
        <v/>
      </c>
      <c r="D288" s="283">
        <f>E287*$B$4/12</f>
        <v/>
      </c>
      <c r="E288" s="283">
        <f>E287-C288</f>
        <v/>
      </c>
    </row>
    <row r="289" ht="15" customHeight="1" s="160">
      <c r="A289" s="281" t="n">
        <v>281</v>
      </c>
      <c r="B289" s="195">
        <f>$B$6</f>
        <v/>
      </c>
      <c r="C289" s="195">
        <f>B289-D289</f>
        <v/>
      </c>
      <c r="D289" s="195">
        <f>E288*$B$4/12</f>
        <v/>
      </c>
      <c r="E289" s="195">
        <f>E288-C289</f>
        <v/>
      </c>
    </row>
    <row r="290" ht="15" customHeight="1" s="160">
      <c r="A290" s="282" t="n">
        <v>282</v>
      </c>
      <c r="B290" s="283">
        <f>$B$6</f>
        <v/>
      </c>
      <c r="C290" s="283">
        <f>B290-D290</f>
        <v/>
      </c>
      <c r="D290" s="283">
        <f>E289*$B$4/12</f>
        <v/>
      </c>
      <c r="E290" s="283">
        <f>E289-C290</f>
        <v/>
      </c>
    </row>
    <row r="291" ht="15" customHeight="1" s="160">
      <c r="A291" s="281" t="n">
        <v>283</v>
      </c>
      <c r="B291" s="195">
        <f>$B$6</f>
        <v/>
      </c>
      <c r="C291" s="195">
        <f>B291-D291</f>
        <v/>
      </c>
      <c r="D291" s="195">
        <f>E290*$B$4/12</f>
        <v/>
      </c>
      <c r="E291" s="195">
        <f>E290-C291</f>
        <v/>
      </c>
    </row>
    <row r="292" ht="15" customHeight="1" s="160">
      <c r="A292" s="282" t="n">
        <v>284</v>
      </c>
      <c r="B292" s="283">
        <f>$B$6</f>
        <v/>
      </c>
      <c r="C292" s="283">
        <f>B292-D292</f>
        <v/>
      </c>
      <c r="D292" s="283">
        <f>E291*$B$4/12</f>
        <v/>
      </c>
      <c r="E292" s="283">
        <f>E291-C292</f>
        <v/>
      </c>
    </row>
    <row r="293" ht="15" customHeight="1" s="160">
      <c r="A293" s="281" t="n">
        <v>285</v>
      </c>
      <c r="B293" s="195">
        <f>$B$6</f>
        <v/>
      </c>
      <c r="C293" s="195">
        <f>B293-D293</f>
        <v/>
      </c>
      <c r="D293" s="195">
        <f>E292*$B$4/12</f>
        <v/>
      </c>
      <c r="E293" s="195">
        <f>E292-C293</f>
        <v/>
      </c>
    </row>
    <row r="294" ht="15" customHeight="1" s="160">
      <c r="A294" s="282" t="n">
        <v>286</v>
      </c>
      <c r="B294" s="283">
        <f>$B$6</f>
        <v/>
      </c>
      <c r="C294" s="283">
        <f>B294-D294</f>
        <v/>
      </c>
      <c r="D294" s="283">
        <f>E293*$B$4/12</f>
        <v/>
      </c>
      <c r="E294" s="283">
        <f>E293-C294</f>
        <v/>
      </c>
    </row>
    <row r="295" ht="15" customHeight="1" s="160">
      <c r="A295" s="281" t="n">
        <v>287</v>
      </c>
      <c r="B295" s="195">
        <f>$B$6</f>
        <v/>
      </c>
      <c r="C295" s="195">
        <f>B295-D295</f>
        <v/>
      </c>
      <c r="D295" s="195">
        <f>E294*$B$4/12</f>
        <v/>
      </c>
      <c r="E295" s="195">
        <f>E294-C295</f>
        <v/>
      </c>
    </row>
    <row r="296" ht="15" customHeight="1" s="160">
      <c r="A296" s="282" t="n">
        <v>288</v>
      </c>
      <c r="B296" s="283">
        <f>$B$6</f>
        <v/>
      </c>
      <c r="C296" s="283">
        <f>B296-D296</f>
        <v/>
      </c>
      <c r="D296" s="283">
        <f>E295*$B$4/12</f>
        <v/>
      </c>
      <c r="E296" s="283">
        <f>E295-C296</f>
        <v/>
      </c>
    </row>
    <row r="297" ht="15" customHeight="1" s="160">
      <c r="A297" s="281" t="n">
        <v>289</v>
      </c>
      <c r="B297" s="195">
        <f>$B$6</f>
        <v/>
      </c>
      <c r="C297" s="195">
        <f>B297-D297</f>
        <v/>
      </c>
      <c r="D297" s="195">
        <f>E296*$B$4/12</f>
        <v/>
      </c>
      <c r="E297" s="195">
        <f>E296-C297</f>
        <v/>
      </c>
    </row>
    <row r="298" ht="15" customHeight="1" s="160">
      <c r="A298" s="282" t="n">
        <v>290</v>
      </c>
      <c r="B298" s="283">
        <f>$B$6</f>
        <v/>
      </c>
      <c r="C298" s="283">
        <f>B298-D298</f>
        <v/>
      </c>
      <c r="D298" s="283">
        <f>E297*$B$4/12</f>
        <v/>
      </c>
      <c r="E298" s="283">
        <f>E297-C298</f>
        <v/>
      </c>
    </row>
    <row r="299" ht="15" customHeight="1" s="160">
      <c r="A299" s="281" t="n">
        <v>291</v>
      </c>
      <c r="B299" s="195">
        <f>$B$6</f>
        <v/>
      </c>
      <c r="C299" s="195">
        <f>B299-D299</f>
        <v/>
      </c>
      <c r="D299" s="195">
        <f>E298*$B$4/12</f>
        <v/>
      </c>
      <c r="E299" s="195">
        <f>E298-C299</f>
        <v/>
      </c>
    </row>
    <row r="300" ht="15" customHeight="1" s="160">
      <c r="A300" s="282" t="n">
        <v>292</v>
      </c>
      <c r="B300" s="283">
        <f>$B$6</f>
        <v/>
      </c>
      <c r="C300" s="283">
        <f>B300-D300</f>
        <v/>
      </c>
      <c r="D300" s="283">
        <f>E299*$B$4/12</f>
        <v/>
      </c>
      <c r="E300" s="283">
        <f>E299-C300</f>
        <v/>
      </c>
    </row>
    <row r="301" ht="15" customHeight="1" s="160">
      <c r="A301" s="281" t="n">
        <v>293</v>
      </c>
      <c r="B301" s="195">
        <f>$B$6</f>
        <v/>
      </c>
      <c r="C301" s="195">
        <f>B301-D301</f>
        <v/>
      </c>
      <c r="D301" s="195">
        <f>E300*$B$4/12</f>
        <v/>
      </c>
      <c r="E301" s="195">
        <f>E300-C301</f>
        <v/>
      </c>
    </row>
    <row r="302" ht="15" customHeight="1" s="160">
      <c r="A302" s="282" t="n">
        <v>294</v>
      </c>
      <c r="B302" s="283">
        <f>$B$6</f>
        <v/>
      </c>
      <c r="C302" s="283">
        <f>B302-D302</f>
        <v/>
      </c>
      <c r="D302" s="283">
        <f>E301*$B$4/12</f>
        <v/>
      </c>
      <c r="E302" s="283">
        <f>E301-C302</f>
        <v/>
      </c>
    </row>
    <row r="303" ht="15" customHeight="1" s="160">
      <c r="A303" s="281" t="n">
        <v>295</v>
      </c>
      <c r="B303" s="195">
        <f>$B$6</f>
        <v/>
      </c>
      <c r="C303" s="195">
        <f>B303-D303</f>
        <v/>
      </c>
      <c r="D303" s="195">
        <f>E302*$B$4/12</f>
        <v/>
      </c>
      <c r="E303" s="195">
        <f>E302-C303</f>
        <v/>
      </c>
    </row>
    <row r="304" ht="15" customHeight="1" s="160">
      <c r="A304" s="282" t="n">
        <v>296</v>
      </c>
      <c r="B304" s="283">
        <f>$B$6</f>
        <v/>
      </c>
      <c r="C304" s="283">
        <f>B304-D304</f>
        <v/>
      </c>
      <c r="D304" s="283">
        <f>E303*$B$4/12</f>
        <v/>
      </c>
      <c r="E304" s="283">
        <f>E303-C304</f>
        <v/>
      </c>
    </row>
    <row r="305" ht="15" customHeight="1" s="160">
      <c r="A305" s="281" t="n">
        <v>297</v>
      </c>
      <c r="B305" s="195">
        <f>$B$6</f>
        <v/>
      </c>
      <c r="C305" s="195">
        <f>B305-D305</f>
        <v/>
      </c>
      <c r="D305" s="195">
        <f>E304*$B$4/12</f>
        <v/>
      </c>
      <c r="E305" s="195">
        <f>E304-C305</f>
        <v/>
      </c>
    </row>
    <row r="306" ht="15" customHeight="1" s="160">
      <c r="A306" s="282" t="n">
        <v>298</v>
      </c>
      <c r="B306" s="283">
        <f>$B$6</f>
        <v/>
      </c>
      <c r="C306" s="283">
        <f>B306-D306</f>
        <v/>
      </c>
      <c r="D306" s="283">
        <f>E305*$B$4/12</f>
        <v/>
      </c>
      <c r="E306" s="283">
        <f>E305-C306</f>
        <v/>
      </c>
    </row>
    <row r="307" ht="15" customHeight="1" s="160">
      <c r="A307" s="281" t="n">
        <v>299</v>
      </c>
      <c r="B307" s="195">
        <f>$B$6</f>
        <v/>
      </c>
      <c r="C307" s="195">
        <f>B307-D307</f>
        <v/>
      </c>
      <c r="D307" s="195">
        <f>E306*$B$4/12</f>
        <v/>
      </c>
      <c r="E307" s="195">
        <f>E306-C307</f>
        <v/>
      </c>
    </row>
    <row r="308" ht="15" customHeight="1" s="160">
      <c r="A308" s="282" t="n">
        <v>300</v>
      </c>
      <c r="B308" s="283">
        <f>$B$6</f>
        <v/>
      </c>
      <c r="C308" s="283">
        <f>B308-D308</f>
        <v/>
      </c>
      <c r="D308" s="283">
        <f>E307*$B$4/12</f>
        <v/>
      </c>
      <c r="E308" s="283">
        <f>E307-C308</f>
        <v/>
      </c>
    </row>
    <row r="309" ht="15" customHeight="1" s="160">
      <c r="A309" s="281" t="n">
        <v>301</v>
      </c>
      <c r="B309" s="195">
        <f>$B$6</f>
        <v/>
      </c>
      <c r="C309" s="195">
        <f>B309-D309</f>
        <v/>
      </c>
      <c r="D309" s="195">
        <f>E308*$B$4/12</f>
        <v/>
      </c>
      <c r="E309" s="195">
        <f>E308-C309</f>
        <v/>
      </c>
    </row>
    <row r="310" ht="15" customHeight="1" s="160">
      <c r="A310" s="282" t="n">
        <v>302</v>
      </c>
      <c r="B310" s="283">
        <f>$B$6</f>
        <v/>
      </c>
      <c r="C310" s="283">
        <f>B310-D310</f>
        <v/>
      </c>
      <c r="D310" s="283">
        <f>E309*$B$4/12</f>
        <v/>
      </c>
      <c r="E310" s="283">
        <f>E309-C310</f>
        <v/>
      </c>
    </row>
    <row r="311" ht="15" customHeight="1" s="160">
      <c r="A311" s="281" t="n">
        <v>303</v>
      </c>
      <c r="B311" s="195">
        <f>$B$6</f>
        <v/>
      </c>
      <c r="C311" s="195">
        <f>B311-D311</f>
        <v/>
      </c>
      <c r="D311" s="195">
        <f>E310*$B$4/12</f>
        <v/>
      </c>
      <c r="E311" s="195">
        <f>E310-C311</f>
        <v/>
      </c>
    </row>
    <row r="312" ht="15" customHeight="1" s="160">
      <c r="A312" s="282" t="n">
        <v>304</v>
      </c>
      <c r="B312" s="283">
        <f>$B$6</f>
        <v/>
      </c>
      <c r="C312" s="283">
        <f>B312-D312</f>
        <v/>
      </c>
      <c r="D312" s="283">
        <f>E311*$B$4/12</f>
        <v/>
      </c>
      <c r="E312" s="283">
        <f>E311-C312</f>
        <v/>
      </c>
    </row>
    <row r="313" ht="15" customHeight="1" s="160">
      <c r="A313" s="281" t="n">
        <v>305</v>
      </c>
      <c r="B313" s="195">
        <f>$B$6</f>
        <v/>
      </c>
      <c r="C313" s="195">
        <f>B313-D313</f>
        <v/>
      </c>
      <c r="D313" s="195">
        <f>E312*$B$4/12</f>
        <v/>
      </c>
      <c r="E313" s="195">
        <f>E312-C313</f>
        <v/>
      </c>
    </row>
    <row r="314" ht="15" customHeight="1" s="160">
      <c r="A314" s="282" t="n">
        <v>306</v>
      </c>
      <c r="B314" s="283">
        <f>$B$6</f>
        <v/>
      </c>
      <c r="C314" s="283">
        <f>B314-D314</f>
        <v/>
      </c>
      <c r="D314" s="283">
        <f>E313*$B$4/12</f>
        <v/>
      </c>
      <c r="E314" s="283">
        <f>E313-C314</f>
        <v/>
      </c>
    </row>
    <row r="315" ht="15" customHeight="1" s="160">
      <c r="A315" s="281" t="n">
        <v>307</v>
      </c>
      <c r="B315" s="195">
        <f>$B$6</f>
        <v/>
      </c>
      <c r="C315" s="195">
        <f>B315-D315</f>
        <v/>
      </c>
      <c r="D315" s="195">
        <f>E314*$B$4/12</f>
        <v/>
      </c>
      <c r="E315" s="195">
        <f>E314-C315</f>
        <v/>
      </c>
    </row>
    <row r="316" ht="15" customHeight="1" s="160">
      <c r="A316" s="282" t="n">
        <v>308</v>
      </c>
      <c r="B316" s="283">
        <f>$B$6</f>
        <v/>
      </c>
      <c r="C316" s="283">
        <f>B316-D316</f>
        <v/>
      </c>
      <c r="D316" s="283">
        <f>E315*$B$4/12</f>
        <v/>
      </c>
      <c r="E316" s="283">
        <f>E315-C316</f>
        <v/>
      </c>
    </row>
    <row r="317" ht="15" customHeight="1" s="160">
      <c r="A317" s="281" t="n">
        <v>309</v>
      </c>
      <c r="B317" s="195">
        <f>$B$6</f>
        <v/>
      </c>
      <c r="C317" s="195">
        <f>B317-D317</f>
        <v/>
      </c>
      <c r="D317" s="195">
        <f>E316*$B$4/12</f>
        <v/>
      </c>
      <c r="E317" s="195">
        <f>E316-C317</f>
        <v/>
      </c>
    </row>
    <row r="318" ht="15" customHeight="1" s="160">
      <c r="A318" s="282" t="n">
        <v>310</v>
      </c>
      <c r="B318" s="283">
        <f>$B$6</f>
        <v/>
      </c>
      <c r="C318" s="283">
        <f>B318-D318</f>
        <v/>
      </c>
      <c r="D318" s="283">
        <f>E317*$B$4/12</f>
        <v/>
      </c>
      <c r="E318" s="283">
        <f>E317-C318</f>
        <v/>
      </c>
    </row>
    <row r="319" ht="15" customHeight="1" s="160">
      <c r="A319" s="281" t="n">
        <v>311</v>
      </c>
      <c r="B319" s="195">
        <f>$B$6</f>
        <v/>
      </c>
      <c r="C319" s="195">
        <f>B319-D319</f>
        <v/>
      </c>
      <c r="D319" s="195">
        <f>E318*$B$4/12</f>
        <v/>
      </c>
      <c r="E319" s="195">
        <f>E318-C319</f>
        <v/>
      </c>
    </row>
    <row r="320" ht="15" customHeight="1" s="160">
      <c r="A320" s="282" t="n">
        <v>312</v>
      </c>
      <c r="B320" s="283">
        <f>$B$6</f>
        <v/>
      </c>
      <c r="C320" s="283">
        <f>B320-D320</f>
        <v/>
      </c>
      <c r="D320" s="283">
        <f>E319*$B$4/12</f>
        <v/>
      </c>
      <c r="E320" s="283">
        <f>E319-C320</f>
        <v/>
      </c>
    </row>
    <row r="321" ht="15" customHeight="1" s="160">
      <c r="A321" s="281" t="n">
        <v>313</v>
      </c>
      <c r="B321" s="195">
        <f>$B$6</f>
        <v/>
      </c>
      <c r="C321" s="195">
        <f>B321-D321</f>
        <v/>
      </c>
      <c r="D321" s="195">
        <f>E320*$B$4/12</f>
        <v/>
      </c>
      <c r="E321" s="195">
        <f>E320-C321</f>
        <v/>
      </c>
    </row>
    <row r="322" ht="15" customHeight="1" s="160">
      <c r="A322" s="282" t="n">
        <v>314</v>
      </c>
      <c r="B322" s="283">
        <f>$B$6</f>
        <v/>
      </c>
      <c r="C322" s="283">
        <f>B322-D322</f>
        <v/>
      </c>
      <c r="D322" s="283">
        <f>E321*$B$4/12</f>
        <v/>
      </c>
      <c r="E322" s="283">
        <f>E321-C322</f>
        <v/>
      </c>
    </row>
    <row r="323" ht="15" customHeight="1" s="160">
      <c r="A323" s="281" t="n">
        <v>315</v>
      </c>
      <c r="B323" s="195">
        <f>$B$6</f>
        <v/>
      </c>
      <c r="C323" s="195">
        <f>B323-D323</f>
        <v/>
      </c>
      <c r="D323" s="195">
        <f>E322*$B$4/12</f>
        <v/>
      </c>
      <c r="E323" s="195">
        <f>E322-C323</f>
        <v/>
      </c>
    </row>
    <row r="324" ht="15" customHeight="1" s="160">
      <c r="A324" s="282" t="n">
        <v>316</v>
      </c>
      <c r="B324" s="283">
        <f>$B$6</f>
        <v/>
      </c>
      <c r="C324" s="283">
        <f>B324-D324</f>
        <v/>
      </c>
      <c r="D324" s="283">
        <f>E323*$B$4/12</f>
        <v/>
      </c>
      <c r="E324" s="283">
        <f>E323-C324</f>
        <v/>
      </c>
    </row>
    <row r="325" ht="15" customHeight="1" s="160">
      <c r="A325" s="281" t="n">
        <v>317</v>
      </c>
      <c r="B325" s="195">
        <f>$B$6</f>
        <v/>
      </c>
      <c r="C325" s="195">
        <f>B325-D325</f>
        <v/>
      </c>
      <c r="D325" s="195">
        <f>E324*$B$4/12</f>
        <v/>
      </c>
      <c r="E325" s="195">
        <f>E324-C325</f>
        <v/>
      </c>
    </row>
    <row r="326" ht="15" customHeight="1" s="160">
      <c r="A326" s="282" t="n">
        <v>318</v>
      </c>
      <c r="B326" s="283">
        <f>$B$6</f>
        <v/>
      </c>
      <c r="C326" s="283">
        <f>B326-D326</f>
        <v/>
      </c>
      <c r="D326" s="283">
        <f>E325*$B$4/12</f>
        <v/>
      </c>
      <c r="E326" s="283">
        <f>E325-C326</f>
        <v/>
      </c>
    </row>
    <row r="327" ht="15" customHeight="1" s="160">
      <c r="A327" s="281" t="n">
        <v>319</v>
      </c>
      <c r="B327" s="195">
        <f>$B$6</f>
        <v/>
      </c>
      <c r="C327" s="195">
        <f>B327-D327</f>
        <v/>
      </c>
      <c r="D327" s="195">
        <f>E326*$B$4/12</f>
        <v/>
      </c>
      <c r="E327" s="195">
        <f>E326-C327</f>
        <v/>
      </c>
    </row>
    <row r="328" ht="15" customHeight="1" s="160">
      <c r="A328" s="282" t="n">
        <v>320</v>
      </c>
      <c r="B328" s="283">
        <f>$B$6</f>
        <v/>
      </c>
      <c r="C328" s="283">
        <f>B328-D328</f>
        <v/>
      </c>
      <c r="D328" s="283">
        <f>E327*$B$4/12</f>
        <v/>
      </c>
      <c r="E328" s="283">
        <f>E327-C328</f>
        <v/>
      </c>
    </row>
    <row r="329" ht="15" customHeight="1" s="160">
      <c r="A329" s="281" t="n">
        <v>321</v>
      </c>
      <c r="B329" s="195">
        <f>$B$6</f>
        <v/>
      </c>
      <c r="C329" s="195">
        <f>B329-D329</f>
        <v/>
      </c>
      <c r="D329" s="195">
        <f>E328*$B$4/12</f>
        <v/>
      </c>
      <c r="E329" s="195">
        <f>E328-C329</f>
        <v/>
      </c>
    </row>
    <row r="330" ht="15" customHeight="1" s="160">
      <c r="A330" s="282" t="n">
        <v>322</v>
      </c>
      <c r="B330" s="283">
        <f>$B$6</f>
        <v/>
      </c>
      <c r="C330" s="283">
        <f>B330-D330</f>
        <v/>
      </c>
      <c r="D330" s="283">
        <f>E329*$B$4/12</f>
        <v/>
      </c>
      <c r="E330" s="283">
        <f>E329-C330</f>
        <v/>
      </c>
    </row>
    <row r="331" ht="15" customHeight="1" s="160">
      <c r="A331" s="281" t="n">
        <v>323</v>
      </c>
      <c r="B331" s="195">
        <f>$B$6</f>
        <v/>
      </c>
      <c r="C331" s="195">
        <f>B331-D331</f>
        <v/>
      </c>
      <c r="D331" s="195">
        <f>E330*$B$4/12</f>
        <v/>
      </c>
      <c r="E331" s="195">
        <f>E330-C331</f>
        <v/>
      </c>
    </row>
    <row r="332" ht="15" customHeight="1" s="160">
      <c r="A332" s="282" t="n">
        <v>324</v>
      </c>
      <c r="B332" s="283">
        <f>$B$6</f>
        <v/>
      </c>
      <c r="C332" s="283">
        <f>B332-D332</f>
        <v/>
      </c>
      <c r="D332" s="283">
        <f>E331*$B$4/12</f>
        <v/>
      </c>
      <c r="E332" s="283">
        <f>E331-C332</f>
        <v/>
      </c>
    </row>
    <row r="333" ht="15" customHeight="1" s="160">
      <c r="A333" s="281" t="n">
        <v>325</v>
      </c>
      <c r="B333" s="195">
        <f>$B$6</f>
        <v/>
      </c>
      <c r="C333" s="195">
        <f>B333-D333</f>
        <v/>
      </c>
      <c r="D333" s="195">
        <f>E332*$B$4/12</f>
        <v/>
      </c>
      <c r="E333" s="195">
        <f>E332-C333</f>
        <v/>
      </c>
    </row>
    <row r="334" ht="15" customHeight="1" s="160">
      <c r="A334" s="282" t="n">
        <v>326</v>
      </c>
      <c r="B334" s="283">
        <f>$B$6</f>
        <v/>
      </c>
      <c r="C334" s="283">
        <f>B334-D334</f>
        <v/>
      </c>
      <c r="D334" s="283">
        <f>E333*$B$4/12</f>
        <v/>
      </c>
      <c r="E334" s="283">
        <f>E333-C334</f>
        <v/>
      </c>
    </row>
    <row r="335" ht="15" customHeight="1" s="160">
      <c r="A335" s="281" t="n">
        <v>327</v>
      </c>
      <c r="B335" s="195">
        <f>$B$6</f>
        <v/>
      </c>
      <c r="C335" s="195">
        <f>B335-D335</f>
        <v/>
      </c>
      <c r="D335" s="195">
        <f>E334*$B$4/12</f>
        <v/>
      </c>
      <c r="E335" s="195">
        <f>E334-C335</f>
        <v/>
      </c>
    </row>
    <row r="336" ht="15" customHeight="1" s="160">
      <c r="A336" s="282" t="n">
        <v>328</v>
      </c>
      <c r="B336" s="283">
        <f>$B$6</f>
        <v/>
      </c>
      <c r="C336" s="283">
        <f>B336-D336</f>
        <v/>
      </c>
      <c r="D336" s="283">
        <f>E335*$B$4/12</f>
        <v/>
      </c>
      <c r="E336" s="283">
        <f>E335-C336</f>
        <v/>
      </c>
    </row>
    <row r="337" ht="15" customHeight="1" s="160">
      <c r="A337" s="281" t="n">
        <v>329</v>
      </c>
      <c r="B337" s="195">
        <f>$B$6</f>
        <v/>
      </c>
      <c r="C337" s="195">
        <f>B337-D337</f>
        <v/>
      </c>
      <c r="D337" s="195">
        <f>E336*$B$4/12</f>
        <v/>
      </c>
      <c r="E337" s="195">
        <f>E336-C337</f>
        <v/>
      </c>
    </row>
    <row r="338" ht="15" customHeight="1" s="160">
      <c r="A338" s="282" t="n">
        <v>330</v>
      </c>
      <c r="B338" s="283">
        <f>$B$6</f>
        <v/>
      </c>
      <c r="C338" s="283">
        <f>B338-D338</f>
        <v/>
      </c>
      <c r="D338" s="283">
        <f>E337*$B$4/12</f>
        <v/>
      </c>
      <c r="E338" s="283">
        <f>E337-C338</f>
        <v/>
      </c>
    </row>
    <row r="339" ht="15" customHeight="1" s="160">
      <c r="A339" s="281" t="n">
        <v>331</v>
      </c>
      <c r="B339" s="195">
        <f>$B$6</f>
        <v/>
      </c>
      <c r="C339" s="195">
        <f>B339-D339</f>
        <v/>
      </c>
      <c r="D339" s="195">
        <f>E338*$B$4/12</f>
        <v/>
      </c>
      <c r="E339" s="195">
        <f>E338-C339</f>
        <v/>
      </c>
    </row>
    <row r="340" ht="15" customHeight="1" s="160">
      <c r="A340" s="282" t="n">
        <v>332</v>
      </c>
      <c r="B340" s="283">
        <f>$B$6</f>
        <v/>
      </c>
      <c r="C340" s="283">
        <f>B340-D340</f>
        <v/>
      </c>
      <c r="D340" s="283">
        <f>E339*$B$4/12</f>
        <v/>
      </c>
      <c r="E340" s="283">
        <f>E339-C340</f>
        <v/>
      </c>
    </row>
    <row r="341" ht="15" customHeight="1" s="160">
      <c r="A341" s="281" t="n">
        <v>333</v>
      </c>
      <c r="B341" s="195">
        <f>$B$6</f>
        <v/>
      </c>
      <c r="C341" s="195">
        <f>B341-D341</f>
        <v/>
      </c>
      <c r="D341" s="195">
        <f>E340*$B$4/12</f>
        <v/>
      </c>
      <c r="E341" s="195">
        <f>E340-C341</f>
        <v/>
      </c>
    </row>
    <row r="342" ht="15" customHeight="1" s="160">
      <c r="A342" s="282" t="n">
        <v>334</v>
      </c>
      <c r="B342" s="283">
        <f>$B$6</f>
        <v/>
      </c>
      <c r="C342" s="283">
        <f>B342-D342</f>
        <v/>
      </c>
      <c r="D342" s="283">
        <f>E341*$B$4/12</f>
        <v/>
      </c>
      <c r="E342" s="283">
        <f>E341-C342</f>
        <v/>
      </c>
    </row>
    <row r="343" ht="15" customHeight="1" s="160">
      <c r="A343" s="281" t="n">
        <v>335</v>
      </c>
      <c r="B343" s="195">
        <f>$B$6</f>
        <v/>
      </c>
      <c r="C343" s="195">
        <f>B343-D343</f>
        <v/>
      </c>
      <c r="D343" s="195">
        <f>E342*$B$4/12</f>
        <v/>
      </c>
      <c r="E343" s="195">
        <f>E342-C343</f>
        <v/>
      </c>
    </row>
    <row r="344" ht="15" customHeight="1" s="160">
      <c r="A344" s="282" t="n">
        <v>336</v>
      </c>
      <c r="B344" s="283">
        <f>$B$6</f>
        <v/>
      </c>
      <c r="C344" s="283">
        <f>B344-D344</f>
        <v/>
      </c>
      <c r="D344" s="283">
        <f>E343*$B$4/12</f>
        <v/>
      </c>
      <c r="E344" s="283">
        <f>E343-C344</f>
        <v/>
      </c>
    </row>
    <row r="345" ht="15" customHeight="1" s="160">
      <c r="A345" s="281" t="n">
        <v>337</v>
      </c>
      <c r="B345" s="195">
        <f>$B$6</f>
        <v/>
      </c>
      <c r="C345" s="195">
        <f>B345-D345</f>
        <v/>
      </c>
      <c r="D345" s="195">
        <f>E344*$B$4/12</f>
        <v/>
      </c>
      <c r="E345" s="195">
        <f>E344-C345</f>
        <v/>
      </c>
    </row>
    <row r="346" ht="15" customHeight="1" s="160">
      <c r="A346" s="282" t="n">
        <v>338</v>
      </c>
      <c r="B346" s="283">
        <f>$B$6</f>
        <v/>
      </c>
      <c r="C346" s="283">
        <f>B346-D346</f>
        <v/>
      </c>
      <c r="D346" s="283">
        <f>E345*$B$4/12</f>
        <v/>
      </c>
      <c r="E346" s="283">
        <f>E345-C346</f>
        <v/>
      </c>
    </row>
    <row r="347" ht="15" customHeight="1" s="160">
      <c r="A347" s="281" t="n">
        <v>339</v>
      </c>
      <c r="B347" s="195">
        <f>$B$6</f>
        <v/>
      </c>
      <c r="C347" s="195">
        <f>B347-D347</f>
        <v/>
      </c>
      <c r="D347" s="195">
        <f>E346*$B$4/12</f>
        <v/>
      </c>
      <c r="E347" s="195">
        <f>E346-C347</f>
        <v/>
      </c>
    </row>
    <row r="348" ht="15" customHeight="1" s="160">
      <c r="A348" s="282" t="n">
        <v>340</v>
      </c>
      <c r="B348" s="283">
        <f>$B$6</f>
        <v/>
      </c>
      <c r="C348" s="283">
        <f>B348-D348</f>
        <v/>
      </c>
      <c r="D348" s="283">
        <f>E347*$B$4/12</f>
        <v/>
      </c>
      <c r="E348" s="283">
        <f>E347-C348</f>
        <v/>
      </c>
    </row>
    <row r="349" ht="15" customHeight="1" s="160">
      <c r="A349" s="281" t="n">
        <v>341</v>
      </c>
      <c r="B349" s="195">
        <f>$B$6</f>
        <v/>
      </c>
      <c r="C349" s="195">
        <f>B349-D349</f>
        <v/>
      </c>
      <c r="D349" s="195">
        <f>E348*$B$4/12</f>
        <v/>
      </c>
      <c r="E349" s="195">
        <f>E348-C349</f>
        <v/>
      </c>
    </row>
    <row r="350" ht="15" customHeight="1" s="160">
      <c r="A350" s="282" t="n">
        <v>342</v>
      </c>
      <c r="B350" s="283">
        <f>$B$6</f>
        <v/>
      </c>
      <c r="C350" s="283">
        <f>B350-D350</f>
        <v/>
      </c>
      <c r="D350" s="283">
        <f>E349*$B$4/12</f>
        <v/>
      </c>
      <c r="E350" s="283">
        <f>E349-C350</f>
        <v/>
      </c>
    </row>
    <row r="351" ht="15" customHeight="1" s="160">
      <c r="A351" s="281" t="n">
        <v>343</v>
      </c>
      <c r="B351" s="195">
        <f>$B$6</f>
        <v/>
      </c>
      <c r="C351" s="195">
        <f>B351-D351</f>
        <v/>
      </c>
      <c r="D351" s="195">
        <f>E350*$B$4/12</f>
        <v/>
      </c>
      <c r="E351" s="195">
        <f>E350-C351</f>
        <v/>
      </c>
    </row>
    <row r="352" ht="15" customHeight="1" s="160">
      <c r="A352" s="282" t="n">
        <v>344</v>
      </c>
      <c r="B352" s="283">
        <f>$B$6</f>
        <v/>
      </c>
      <c r="C352" s="283">
        <f>B352-D352</f>
        <v/>
      </c>
      <c r="D352" s="283">
        <f>E351*$B$4/12</f>
        <v/>
      </c>
      <c r="E352" s="283">
        <f>E351-C352</f>
        <v/>
      </c>
    </row>
    <row r="353" ht="15" customHeight="1" s="160">
      <c r="A353" s="281" t="n">
        <v>345</v>
      </c>
      <c r="B353" s="195">
        <f>$B$6</f>
        <v/>
      </c>
      <c r="C353" s="195">
        <f>B353-D353</f>
        <v/>
      </c>
      <c r="D353" s="195">
        <f>E352*$B$4/12</f>
        <v/>
      </c>
      <c r="E353" s="195">
        <f>E352-C353</f>
        <v/>
      </c>
    </row>
    <row r="354" ht="15" customHeight="1" s="160">
      <c r="A354" s="282" t="n">
        <v>346</v>
      </c>
      <c r="B354" s="283">
        <f>$B$6</f>
        <v/>
      </c>
      <c r="C354" s="283">
        <f>B354-D354</f>
        <v/>
      </c>
      <c r="D354" s="283">
        <f>E353*$B$4/12</f>
        <v/>
      </c>
      <c r="E354" s="283">
        <f>E353-C354</f>
        <v/>
      </c>
    </row>
    <row r="355" ht="15" customHeight="1" s="160">
      <c r="A355" s="281" t="n">
        <v>347</v>
      </c>
      <c r="B355" s="195">
        <f>$B$6</f>
        <v/>
      </c>
      <c r="C355" s="195">
        <f>B355-D355</f>
        <v/>
      </c>
      <c r="D355" s="195">
        <f>E354*$B$4/12</f>
        <v/>
      </c>
      <c r="E355" s="195">
        <f>E354-C355</f>
        <v/>
      </c>
    </row>
    <row r="356" ht="15" customHeight="1" s="160">
      <c r="A356" s="282" t="n">
        <v>348</v>
      </c>
      <c r="B356" s="283">
        <f>$B$6</f>
        <v/>
      </c>
      <c r="C356" s="283">
        <f>B356-D356</f>
        <v/>
      </c>
      <c r="D356" s="283">
        <f>E355*$B$4/12</f>
        <v/>
      </c>
      <c r="E356" s="283">
        <f>E355-C356</f>
        <v/>
      </c>
    </row>
    <row r="357" ht="15" customHeight="1" s="160">
      <c r="A357" s="281" t="n">
        <v>349</v>
      </c>
      <c r="B357" s="195">
        <f>$B$6</f>
        <v/>
      </c>
      <c r="C357" s="195">
        <f>B357-D357</f>
        <v/>
      </c>
      <c r="D357" s="195">
        <f>E356*$B$4/12</f>
        <v/>
      </c>
      <c r="E357" s="195">
        <f>E356-C357</f>
        <v/>
      </c>
    </row>
    <row r="358" ht="15" customHeight="1" s="160">
      <c r="A358" s="282" t="n">
        <v>350</v>
      </c>
      <c r="B358" s="283">
        <f>$B$6</f>
        <v/>
      </c>
      <c r="C358" s="283">
        <f>B358-D358</f>
        <v/>
      </c>
      <c r="D358" s="283">
        <f>E357*$B$4/12</f>
        <v/>
      </c>
      <c r="E358" s="283">
        <f>E357-C358</f>
        <v/>
      </c>
    </row>
    <row r="359" ht="15" customHeight="1" s="160">
      <c r="A359" s="281" t="n">
        <v>351</v>
      </c>
      <c r="B359" s="195">
        <f>$B$6</f>
        <v/>
      </c>
      <c r="C359" s="195">
        <f>B359-D359</f>
        <v/>
      </c>
      <c r="D359" s="195">
        <f>E358*$B$4/12</f>
        <v/>
      </c>
      <c r="E359" s="195">
        <f>E358-C359</f>
        <v/>
      </c>
    </row>
    <row r="360" ht="15" customHeight="1" s="160">
      <c r="A360" s="282" t="n">
        <v>352</v>
      </c>
      <c r="B360" s="283">
        <f>$B$6</f>
        <v/>
      </c>
      <c r="C360" s="283">
        <f>B360-D360</f>
        <v/>
      </c>
      <c r="D360" s="283">
        <f>E359*$B$4/12</f>
        <v/>
      </c>
      <c r="E360" s="283">
        <f>E359-C360</f>
        <v/>
      </c>
    </row>
    <row r="361" ht="15" customHeight="1" s="160">
      <c r="A361" s="281" t="n">
        <v>353</v>
      </c>
      <c r="B361" s="195">
        <f>$B$6</f>
        <v/>
      </c>
      <c r="C361" s="195">
        <f>B361-D361</f>
        <v/>
      </c>
      <c r="D361" s="195">
        <f>E360*$B$4/12</f>
        <v/>
      </c>
      <c r="E361" s="195">
        <f>E360-C361</f>
        <v/>
      </c>
    </row>
    <row r="362" ht="15" customHeight="1" s="160">
      <c r="A362" s="282" t="n">
        <v>354</v>
      </c>
      <c r="B362" s="283">
        <f>$B$6</f>
        <v/>
      </c>
      <c r="C362" s="283">
        <f>B362-D362</f>
        <v/>
      </c>
      <c r="D362" s="283">
        <f>E361*$B$4/12</f>
        <v/>
      </c>
      <c r="E362" s="283">
        <f>E361-C362</f>
        <v/>
      </c>
    </row>
    <row r="363" ht="15" customHeight="1" s="160">
      <c r="A363" s="281" t="n">
        <v>355</v>
      </c>
      <c r="B363" s="195">
        <f>$B$6</f>
        <v/>
      </c>
      <c r="C363" s="195">
        <f>B363-D363</f>
        <v/>
      </c>
      <c r="D363" s="195">
        <f>E362*$B$4/12</f>
        <v/>
      </c>
      <c r="E363" s="195">
        <f>E362-C363</f>
        <v/>
      </c>
    </row>
    <row r="364" ht="15" customHeight="1" s="160">
      <c r="A364" s="282" t="n">
        <v>356</v>
      </c>
      <c r="B364" s="283">
        <f>$B$6</f>
        <v/>
      </c>
      <c r="C364" s="283">
        <f>B364-D364</f>
        <v/>
      </c>
      <c r="D364" s="283">
        <f>E363*$B$4/12</f>
        <v/>
      </c>
      <c r="E364" s="283">
        <f>E363-C364</f>
        <v/>
      </c>
    </row>
    <row r="365" ht="15" customHeight="1" s="160">
      <c r="A365" s="281" t="n">
        <v>357</v>
      </c>
      <c r="B365" s="195">
        <f>$B$6</f>
        <v/>
      </c>
      <c r="C365" s="195">
        <f>B365-D365</f>
        <v/>
      </c>
      <c r="D365" s="195">
        <f>E364*$B$4/12</f>
        <v/>
      </c>
      <c r="E365" s="195">
        <f>E364-C365</f>
        <v/>
      </c>
    </row>
    <row r="366" ht="15" customHeight="1" s="160">
      <c r="A366" s="282" t="n">
        <v>358</v>
      </c>
      <c r="B366" s="283">
        <f>$B$6</f>
        <v/>
      </c>
      <c r="C366" s="283">
        <f>B366-D366</f>
        <v/>
      </c>
      <c r="D366" s="283">
        <f>E365*$B$4/12</f>
        <v/>
      </c>
      <c r="E366" s="283">
        <f>E365-C366</f>
        <v/>
      </c>
    </row>
    <row r="367" ht="15" customHeight="1" s="160">
      <c r="A367" s="281" t="n">
        <v>359</v>
      </c>
      <c r="B367" s="195">
        <f>$B$6</f>
        <v/>
      </c>
      <c r="C367" s="195">
        <f>B367-D367</f>
        <v/>
      </c>
      <c r="D367" s="195">
        <f>E366*$B$4/12</f>
        <v/>
      </c>
      <c r="E367" s="195">
        <f>E366-C367</f>
        <v/>
      </c>
    </row>
    <row r="368" ht="15" customHeight="1" s="160">
      <c r="A368" s="282" t="n">
        <v>360</v>
      </c>
      <c r="B368" s="283">
        <f>$B$6</f>
        <v/>
      </c>
      <c r="C368" s="283">
        <f>B368-D368</f>
        <v/>
      </c>
      <c r="D368" s="283">
        <f>E367*$B$4/12</f>
        <v/>
      </c>
      <c r="E368" s="283">
        <f>E367-C368</f>
        <v/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B8962E"/>
    <outlinePr summaryBelow="1" summaryRight="1"/>
    <pageSetUpPr fitToPage="0"/>
  </sheetPr>
  <dimension ref="A1:E36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59" min="1" max="1"/>
    <col width="16" customWidth="1" style="159" min="2" max="4"/>
    <col width="18" customWidth="1" style="159" min="5" max="5"/>
  </cols>
  <sheetData>
    <row r="1" ht="19.5" customHeight="1" s="160">
      <c r="A1" s="218" t="inlineStr">
        <is>
          <t>AMORT - REFI 1</t>
        </is>
      </c>
    </row>
    <row r="2" ht="15" customHeight="1" s="160">
      <c r="A2" s="179" t="inlineStr">
        <is>
          <t>Blank until Refi 1 activated.</t>
        </is>
      </c>
    </row>
    <row r="3" ht="15" customHeight="1" s="160">
      <c r="A3" s="166" t="inlineStr">
        <is>
          <t>Loan Amount</t>
        </is>
      </c>
      <c r="B3" s="278">
        <f>Assumptions!C99</f>
        <v/>
      </c>
      <c r="C3" s="161" t="n"/>
      <c r="D3" s="161" t="n"/>
      <c r="E3" s="161" t="n"/>
    </row>
    <row r="4" ht="15" customHeight="1" s="160">
      <c r="A4" s="166" t="inlineStr">
        <is>
          <t>Annual Rate</t>
        </is>
      </c>
      <c r="B4" s="279">
        <f>Assumptions!C100</f>
        <v/>
      </c>
      <c r="C4" s="161" t="n"/>
      <c r="D4" s="161" t="n"/>
      <c r="E4" s="161" t="n"/>
    </row>
    <row r="5" ht="15" customHeight="1" s="160">
      <c r="A5" s="166" t="inlineStr">
        <is>
          <t>Amort (Years)</t>
        </is>
      </c>
      <c r="B5" s="168">
        <f>Assumptions!C101</f>
        <v/>
      </c>
      <c r="C5" s="161" t="n"/>
      <c r="D5" s="161" t="n"/>
      <c r="E5" s="161" t="n"/>
    </row>
    <row r="6" ht="15" customHeight="1" s="160">
      <c r="A6" s="258" t="inlineStr">
        <is>
          <t>Monthly Payment</t>
        </is>
      </c>
      <c r="B6" s="280">
        <f>IF(B5&gt;0,PMT(B4/12,B5*12,-B3),0)</f>
        <v/>
      </c>
      <c r="C6" s="161" t="n"/>
      <c r="D6" s="161" t="n"/>
      <c r="E6" s="161" t="n"/>
    </row>
    <row r="7" ht="15" customHeight="1" s="160">
      <c r="A7" s="161" t="n"/>
      <c r="B7" s="161" t="n"/>
      <c r="C7" s="161" t="n"/>
      <c r="D7" s="161" t="n"/>
      <c r="E7" s="161" t="n"/>
    </row>
    <row r="8" ht="15" customHeight="1" s="160">
      <c r="A8" s="219" t="inlineStr">
        <is>
          <t>Month</t>
        </is>
      </c>
      <c r="B8" s="219" t="inlineStr">
        <is>
          <t>Payment</t>
        </is>
      </c>
      <c r="C8" s="219" t="inlineStr">
        <is>
          <t>Principal</t>
        </is>
      </c>
      <c r="D8" s="219" t="inlineStr">
        <is>
          <t>Interest</t>
        </is>
      </c>
      <c r="E8" s="219" t="inlineStr">
        <is>
          <t>Balance</t>
        </is>
      </c>
    </row>
    <row r="9" ht="15" customHeight="1" s="160">
      <c r="A9" s="281" t="n">
        <v>1</v>
      </c>
      <c r="B9" s="195">
        <f>$B$6</f>
        <v/>
      </c>
      <c r="C9" s="195">
        <f>B9-D9</f>
        <v/>
      </c>
      <c r="D9" s="195">
        <f>$B$3*$B$4/12</f>
        <v/>
      </c>
      <c r="E9" s="195">
        <f>$B$3-C9</f>
        <v/>
      </c>
    </row>
    <row r="10" ht="15" customHeight="1" s="160">
      <c r="A10" s="282" t="n">
        <v>2</v>
      </c>
      <c r="B10" s="283">
        <f>$B$6</f>
        <v/>
      </c>
      <c r="C10" s="283">
        <f>B10-D10</f>
        <v/>
      </c>
      <c r="D10" s="283">
        <f>E9*$B$4/12</f>
        <v/>
      </c>
      <c r="E10" s="283">
        <f>E9-C10</f>
        <v/>
      </c>
    </row>
    <row r="11" ht="15" customHeight="1" s="160">
      <c r="A11" s="281" t="n">
        <v>3</v>
      </c>
      <c r="B11" s="195">
        <f>$B$6</f>
        <v/>
      </c>
      <c r="C11" s="195">
        <f>B11-D11</f>
        <v/>
      </c>
      <c r="D11" s="195">
        <f>E10*$B$4/12</f>
        <v/>
      </c>
      <c r="E11" s="195">
        <f>E10-C11</f>
        <v/>
      </c>
    </row>
    <row r="12" ht="15" customHeight="1" s="160">
      <c r="A12" s="282" t="n">
        <v>4</v>
      </c>
      <c r="B12" s="283">
        <f>$B$6</f>
        <v/>
      </c>
      <c r="C12" s="283">
        <f>B12-D12</f>
        <v/>
      </c>
      <c r="D12" s="283">
        <f>E11*$B$4/12</f>
        <v/>
      </c>
      <c r="E12" s="283">
        <f>E11-C12</f>
        <v/>
      </c>
    </row>
    <row r="13" ht="15" customHeight="1" s="160">
      <c r="A13" s="281" t="n">
        <v>5</v>
      </c>
      <c r="B13" s="195">
        <f>$B$6</f>
        <v/>
      </c>
      <c r="C13" s="195">
        <f>B13-D13</f>
        <v/>
      </c>
      <c r="D13" s="195">
        <f>E12*$B$4/12</f>
        <v/>
      </c>
      <c r="E13" s="195">
        <f>E12-C13</f>
        <v/>
      </c>
    </row>
    <row r="14" ht="15" customHeight="1" s="160">
      <c r="A14" s="282" t="n">
        <v>6</v>
      </c>
      <c r="B14" s="283">
        <f>$B$6</f>
        <v/>
      </c>
      <c r="C14" s="283">
        <f>B14-D14</f>
        <v/>
      </c>
      <c r="D14" s="283">
        <f>E13*$B$4/12</f>
        <v/>
      </c>
      <c r="E14" s="283">
        <f>E13-C14</f>
        <v/>
      </c>
    </row>
    <row r="15" ht="15" customHeight="1" s="160">
      <c r="A15" s="281" t="n">
        <v>7</v>
      </c>
      <c r="B15" s="195">
        <f>$B$6</f>
        <v/>
      </c>
      <c r="C15" s="195">
        <f>B15-D15</f>
        <v/>
      </c>
      <c r="D15" s="195">
        <f>E14*$B$4/12</f>
        <v/>
      </c>
      <c r="E15" s="195">
        <f>E14-C15</f>
        <v/>
      </c>
    </row>
    <row r="16" ht="15" customHeight="1" s="160">
      <c r="A16" s="282" t="n">
        <v>8</v>
      </c>
      <c r="B16" s="283">
        <f>$B$6</f>
        <v/>
      </c>
      <c r="C16" s="283">
        <f>B16-D16</f>
        <v/>
      </c>
      <c r="D16" s="283">
        <f>E15*$B$4/12</f>
        <v/>
      </c>
      <c r="E16" s="283">
        <f>E15-C16</f>
        <v/>
      </c>
    </row>
    <row r="17" ht="15" customHeight="1" s="160">
      <c r="A17" s="281" t="n">
        <v>9</v>
      </c>
      <c r="B17" s="195">
        <f>$B$6</f>
        <v/>
      </c>
      <c r="C17" s="195">
        <f>B17-D17</f>
        <v/>
      </c>
      <c r="D17" s="195">
        <f>E16*$B$4/12</f>
        <v/>
      </c>
      <c r="E17" s="195">
        <f>E16-C17</f>
        <v/>
      </c>
    </row>
    <row r="18" ht="15" customHeight="1" s="160">
      <c r="A18" s="282" t="n">
        <v>10</v>
      </c>
      <c r="B18" s="283">
        <f>$B$6</f>
        <v/>
      </c>
      <c r="C18" s="283">
        <f>B18-D18</f>
        <v/>
      </c>
      <c r="D18" s="283">
        <f>E17*$B$4/12</f>
        <v/>
      </c>
      <c r="E18" s="283">
        <f>E17-C18</f>
        <v/>
      </c>
    </row>
    <row r="19" ht="15" customHeight="1" s="160">
      <c r="A19" s="281" t="n">
        <v>11</v>
      </c>
      <c r="B19" s="195">
        <f>$B$6</f>
        <v/>
      </c>
      <c r="C19" s="195">
        <f>B19-D19</f>
        <v/>
      </c>
      <c r="D19" s="195">
        <f>E18*$B$4/12</f>
        <v/>
      </c>
      <c r="E19" s="195">
        <f>E18-C19</f>
        <v/>
      </c>
    </row>
    <row r="20" ht="15" customHeight="1" s="160">
      <c r="A20" s="282" t="n">
        <v>12</v>
      </c>
      <c r="B20" s="283">
        <f>$B$6</f>
        <v/>
      </c>
      <c r="C20" s="283">
        <f>B20-D20</f>
        <v/>
      </c>
      <c r="D20" s="283">
        <f>E19*$B$4/12</f>
        <v/>
      </c>
      <c r="E20" s="283">
        <f>E19-C20</f>
        <v/>
      </c>
    </row>
    <row r="21" ht="15" customHeight="1" s="160">
      <c r="A21" s="281" t="n">
        <v>13</v>
      </c>
      <c r="B21" s="195">
        <f>$B$6</f>
        <v/>
      </c>
      <c r="C21" s="195">
        <f>B21-D21</f>
        <v/>
      </c>
      <c r="D21" s="195">
        <f>E20*$B$4/12</f>
        <v/>
      </c>
      <c r="E21" s="195">
        <f>E20-C21</f>
        <v/>
      </c>
    </row>
    <row r="22" ht="15" customHeight="1" s="160">
      <c r="A22" s="282" t="n">
        <v>14</v>
      </c>
      <c r="B22" s="283">
        <f>$B$6</f>
        <v/>
      </c>
      <c r="C22" s="283">
        <f>B22-D22</f>
        <v/>
      </c>
      <c r="D22" s="283">
        <f>E21*$B$4/12</f>
        <v/>
      </c>
      <c r="E22" s="283">
        <f>E21-C22</f>
        <v/>
      </c>
    </row>
    <row r="23" ht="15" customHeight="1" s="160">
      <c r="A23" s="281" t="n">
        <v>15</v>
      </c>
      <c r="B23" s="195">
        <f>$B$6</f>
        <v/>
      </c>
      <c r="C23" s="195">
        <f>B23-D23</f>
        <v/>
      </c>
      <c r="D23" s="195">
        <f>E22*$B$4/12</f>
        <v/>
      </c>
      <c r="E23" s="195">
        <f>E22-C23</f>
        <v/>
      </c>
    </row>
    <row r="24" ht="15" customHeight="1" s="160">
      <c r="A24" s="282" t="n">
        <v>16</v>
      </c>
      <c r="B24" s="283">
        <f>$B$6</f>
        <v/>
      </c>
      <c r="C24" s="283">
        <f>B24-D24</f>
        <v/>
      </c>
      <c r="D24" s="283">
        <f>E23*$B$4/12</f>
        <v/>
      </c>
      <c r="E24" s="283">
        <f>E23-C24</f>
        <v/>
      </c>
    </row>
    <row r="25" ht="15" customHeight="1" s="160">
      <c r="A25" s="281" t="n">
        <v>17</v>
      </c>
      <c r="B25" s="195">
        <f>$B$6</f>
        <v/>
      </c>
      <c r="C25" s="195">
        <f>B25-D25</f>
        <v/>
      </c>
      <c r="D25" s="195">
        <f>E24*$B$4/12</f>
        <v/>
      </c>
      <c r="E25" s="195">
        <f>E24-C25</f>
        <v/>
      </c>
    </row>
    <row r="26" ht="15" customHeight="1" s="160">
      <c r="A26" s="282" t="n">
        <v>18</v>
      </c>
      <c r="B26" s="283">
        <f>$B$6</f>
        <v/>
      </c>
      <c r="C26" s="283">
        <f>B26-D26</f>
        <v/>
      </c>
      <c r="D26" s="283">
        <f>E25*$B$4/12</f>
        <v/>
      </c>
      <c r="E26" s="283">
        <f>E25-C26</f>
        <v/>
      </c>
    </row>
    <row r="27" ht="15" customHeight="1" s="160">
      <c r="A27" s="281" t="n">
        <v>19</v>
      </c>
      <c r="B27" s="195">
        <f>$B$6</f>
        <v/>
      </c>
      <c r="C27" s="195">
        <f>B27-D27</f>
        <v/>
      </c>
      <c r="D27" s="195">
        <f>E26*$B$4/12</f>
        <v/>
      </c>
      <c r="E27" s="195">
        <f>E26-C27</f>
        <v/>
      </c>
    </row>
    <row r="28" ht="15" customHeight="1" s="160">
      <c r="A28" s="282" t="n">
        <v>20</v>
      </c>
      <c r="B28" s="283">
        <f>$B$6</f>
        <v/>
      </c>
      <c r="C28" s="283">
        <f>B28-D28</f>
        <v/>
      </c>
      <c r="D28" s="283">
        <f>E27*$B$4/12</f>
        <v/>
      </c>
      <c r="E28" s="283">
        <f>E27-C28</f>
        <v/>
      </c>
    </row>
    <row r="29" ht="15" customHeight="1" s="160">
      <c r="A29" s="281" t="n">
        <v>21</v>
      </c>
      <c r="B29" s="195">
        <f>$B$6</f>
        <v/>
      </c>
      <c r="C29" s="195">
        <f>B29-D29</f>
        <v/>
      </c>
      <c r="D29" s="195">
        <f>E28*$B$4/12</f>
        <v/>
      </c>
      <c r="E29" s="195">
        <f>E28-C29</f>
        <v/>
      </c>
    </row>
    <row r="30" ht="15" customHeight="1" s="160">
      <c r="A30" s="282" t="n">
        <v>22</v>
      </c>
      <c r="B30" s="283">
        <f>$B$6</f>
        <v/>
      </c>
      <c r="C30" s="283">
        <f>B30-D30</f>
        <v/>
      </c>
      <c r="D30" s="283">
        <f>E29*$B$4/12</f>
        <v/>
      </c>
      <c r="E30" s="283">
        <f>E29-C30</f>
        <v/>
      </c>
    </row>
    <row r="31" ht="15" customHeight="1" s="160">
      <c r="A31" s="281" t="n">
        <v>23</v>
      </c>
      <c r="B31" s="195">
        <f>$B$6</f>
        <v/>
      </c>
      <c r="C31" s="195">
        <f>B31-D31</f>
        <v/>
      </c>
      <c r="D31" s="195">
        <f>E30*$B$4/12</f>
        <v/>
      </c>
      <c r="E31" s="195">
        <f>E30-C31</f>
        <v/>
      </c>
    </row>
    <row r="32" ht="15" customHeight="1" s="160">
      <c r="A32" s="282" t="n">
        <v>24</v>
      </c>
      <c r="B32" s="283">
        <f>$B$6</f>
        <v/>
      </c>
      <c r="C32" s="283">
        <f>B32-D32</f>
        <v/>
      </c>
      <c r="D32" s="283">
        <f>E31*$B$4/12</f>
        <v/>
      </c>
      <c r="E32" s="283">
        <f>E31-C32</f>
        <v/>
      </c>
    </row>
    <row r="33" ht="15" customHeight="1" s="160">
      <c r="A33" s="281" t="n">
        <v>25</v>
      </c>
      <c r="B33" s="195">
        <f>$B$6</f>
        <v/>
      </c>
      <c r="C33" s="195">
        <f>B33-D33</f>
        <v/>
      </c>
      <c r="D33" s="195">
        <f>E32*$B$4/12</f>
        <v/>
      </c>
      <c r="E33" s="195">
        <f>E32-C33</f>
        <v/>
      </c>
    </row>
    <row r="34" ht="15" customHeight="1" s="160">
      <c r="A34" s="282" t="n">
        <v>26</v>
      </c>
      <c r="B34" s="283">
        <f>$B$6</f>
        <v/>
      </c>
      <c r="C34" s="283">
        <f>B34-D34</f>
        <v/>
      </c>
      <c r="D34" s="283">
        <f>E33*$B$4/12</f>
        <v/>
      </c>
      <c r="E34" s="283">
        <f>E33-C34</f>
        <v/>
      </c>
    </row>
    <row r="35" ht="15" customHeight="1" s="160">
      <c r="A35" s="281" t="n">
        <v>27</v>
      </c>
      <c r="B35" s="195">
        <f>$B$6</f>
        <v/>
      </c>
      <c r="C35" s="195">
        <f>B35-D35</f>
        <v/>
      </c>
      <c r="D35" s="195">
        <f>E34*$B$4/12</f>
        <v/>
      </c>
      <c r="E35" s="195">
        <f>E34-C35</f>
        <v/>
      </c>
    </row>
    <row r="36" ht="15" customHeight="1" s="160">
      <c r="A36" s="282" t="n">
        <v>28</v>
      </c>
      <c r="B36" s="283">
        <f>$B$6</f>
        <v/>
      </c>
      <c r="C36" s="283">
        <f>B36-D36</f>
        <v/>
      </c>
      <c r="D36" s="283">
        <f>E35*$B$4/12</f>
        <v/>
      </c>
      <c r="E36" s="283">
        <f>E35-C36</f>
        <v/>
      </c>
    </row>
    <row r="37" ht="15" customHeight="1" s="160">
      <c r="A37" s="281" t="n">
        <v>29</v>
      </c>
      <c r="B37" s="195">
        <f>$B$6</f>
        <v/>
      </c>
      <c r="C37" s="195">
        <f>B37-D37</f>
        <v/>
      </c>
      <c r="D37" s="195">
        <f>E36*$B$4/12</f>
        <v/>
      </c>
      <c r="E37" s="195">
        <f>E36-C37</f>
        <v/>
      </c>
    </row>
    <row r="38" ht="15" customHeight="1" s="160">
      <c r="A38" s="282" t="n">
        <v>30</v>
      </c>
      <c r="B38" s="283">
        <f>$B$6</f>
        <v/>
      </c>
      <c r="C38" s="283">
        <f>B38-D38</f>
        <v/>
      </c>
      <c r="D38" s="283">
        <f>E37*$B$4/12</f>
        <v/>
      </c>
      <c r="E38" s="283">
        <f>E37-C38</f>
        <v/>
      </c>
    </row>
    <row r="39" ht="15" customHeight="1" s="160">
      <c r="A39" s="281" t="n">
        <v>31</v>
      </c>
      <c r="B39" s="195">
        <f>$B$6</f>
        <v/>
      </c>
      <c r="C39" s="195">
        <f>B39-D39</f>
        <v/>
      </c>
      <c r="D39" s="195">
        <f>E38*$B$4/12</f>
        <v/>
      </c>
      <c r="E39" s="195">
        <f>E38-C39</f>
        <v/>
      </c>
    </row>
    <row r="40" ht="15" customHeight="1" s="160">
      <c r="A40" s="282" t="n">
        <v>32</v>
      </c>
      <c r="B40" s="283">
        <f>$B$6</f>
        <v/>
      </c>
      <c r="C40" s="283">
        <f>B40-D40</f>
        <v/>
      </c>
      <c r="D40" s="283">
        <f>E39*$B$4/12</f>
        <v/>
      </c>
      <c r="E40" s="283">
        <f>E39-C40</f>
        <v/>
      </c>
    </row>
    <row r="41" ht="15" customHeight="1" s="160">
      <c r="A41" s="281" t="n">
        <v>33</v>
      </c>
      <c r="B41" s="195">
        <f>$B$6</f>
        <v/>
      </c>
      <c r="C41" s="195">
        <f>B41-D41</f>
        <v/>
      </c>
      <c r="D41" s="195">
        <f>E40*$B$4/12</f>
        <v/>
      </c>
      <c r="E41" s="195">
        <f>E40-C41</f>
        <v/>
      </c>
    </row>
    <row r="42" ht="15" customHeight="1" s="160">
      <c r="A42" s="282" t="n">
        <v>34</v>
      </c>
      <c r="B42" s="283">
        <f>$B$6</f>
        <v/>
      </c>
      <c r="C42" s="283">
        <f>B42-D42</f>
        <v/>
      </c>
      <c r="D42" s="283">
        <f>E41*$B$4/12</f>
        <v/>
      </c>
      <c r="E42" s="283">
        <f>E41-C42</f>
        <v/>
      </c>
    </row>
    <row r="43" ht="15" customHeight="1" s="160">
      <c r="A43" s="281" t="n">
        <v>35</v>
      </c>
      <c r="B43" s="195">
        <f>$B$6</f>
        <v/>
      </c>
      <c r="C43" s="195">
        <f>B43-D43</f>
        <v/>
      </c>
      <c r="D43" s="195">
        <f>E42*$B$4/12</f>
        <v/>
      </c>
      <c r="E43" s="195">
        <f>E42-C43</f>
        <v/>
      </c>
    </row>
    <row r="44" ht="15" customHeight="1" s="160">
      <c r="A44" s="282" t="n">
        <v>36</v>
      </c>
      <c r="B44" s="283">
        <f>$B$6</f>
        <v/>
      </c>
      <c r="C44" s="283">
        <f>B44-D44</f>
        <v/>
      </c>
      <c r="D44" s="283">
        <f>E43*$B$4/12</f>
        <v/>
      </c>
      <c r="E44" s="283">
        <f>E43-C44</f>
        <v/>
      </c>
    </row>
    <row r="45" ht="15" customHeight="1" s="160">
      <c r="A45" s="281" t="n">
        <v>37</v>
      </c>
      <c r="B45" s="195">
        <f>$B$6</f>
        <v/>
      </c>
      <c r="C45" s="195">
        <f>B45-D45</f>
        <v/>
      </c>
      <c r="D45" s="195">
        <f>E44*$B$4/12</f>
        <v/>
      </c>
      <c r="E45" s="195">
        <f>E44-C45</f>
        <v/>
      </c>
    </row>
    <row r="46" ht="15" customHeight="1" s="160">
      <c r="A46" s="282" t="n">
        <v>38</v>
      </c>
      <c r="B46" s="283">
        <f>$B$6</f>
        <v/>
      </c>
      <c r="C46" s="283">
        <f>B46-D46</f>
        <v/>
      </c>
      <c r="D46" s="283">
        <f>E45*$B$4/12</f>
        <v/>
      </c>
      <c r="E46" s="283">
        <f>E45-C46</f>
        <v/>
      </c>
    </row>
    <row r="47" ht="15" customHeight="1" s="160">
      <c r="A47" s="281" t="n">
        <v>39</v>
      </c>
      <c r="B47" s="195">
        <f>$B$6</f>
        <v/>
      </c>
      <c r="C47" s="195">
        <f>B47-D47</f>
        <v/>
      </c>
      <c r="D47" s="195">
        <f>E46*$B$4/12</f>
        <v/>
      </c>
      <c r="E47" s="195">
        <f>E46-C47</f>
        <v/>
      </c>
    </row>
    <row r="48" ht="15" customHeight="1" s="160">
      <c r="A48" s="282" t="n">
        <v>40</v>
      </c>
      <c r="B48" s="283">
        <f>$B$6</f>
        <v/>
      </c>
      <c r="C48" s="283">
        <f>B48-D48</f>
        <v/>
      </c>
      <c r="D48" s="283">
        <f>E47*$B$4/12</f>
        <v/>
      </c>
      <c r="E48" s="283">
        <f>E47-C48</f>
        <v/>
      </c>
    </row>
    <row r="49" ht="15" customHeight="1" s="160">
      <c r="A49" s="281" t="n">
        <v>41</v>
      </c>
      <c r="B49" s="195">
        <f>$B$6</f>
        <v/>
      </c>
      <c r="C49" s="195">
        <f>B49-D49</f>
        <v/>
      </c>
      <c r="D49" s="195">
        <f>E48*$B$4/12</f>
        <v/>
      </c>
      <c r="E49" s="195">
        <f>E48-C49</f>
        <v/>
      </c>
    </row>
    <row r="50" ht="15" customHeight="1" s="160">
      <c r="A50" s="282" t="n">
        <v>42</v>
      </c>
      <c r="B50" s="283">
        <f>$B$6</f>
        <v/>
      </c>
      <c r="C50" s="283">
        <f>B50-D50</f>
        <v/>
      </c>
      <c r="D50" s="283">
        <f>E49*$B$4/12</f>
        <v/>
      </c>
      <c r="E50" s="283">
        <f>E49-C50</f>
        <v/>
      </c>
    </row>
    <row r="51" ht="15" customHeight="1" s="160">
      <c r="A51" s="281" t="n">
        <v>43</v>
      </c>
      <c r="B51" s="195">
        <f>$B$6</f>
        <v/>
      </c>
      <c r="C51" s="195">
        <f>B51-D51</f>
        <v/>
      </c>
      <c r="D51" s="195">
        <f>E50*$B$4/12</f>
        <v/>
      </c>
      <c r="E51" s="195">
        <f>E50-C51</f>
        <v/>
      </c>
    </row>
    <row r="52" ht="15" customHeight="1" s="160">
      <c r="A52" s="282" t="n">
        <v>44</v>
      </c>
      <c r="B52" s="283">
        <f>$B$6</f>
        <v/>
      </c>
      <c r="C52" s="283">
        <f>B52-D52</f>
        <v/>
      </c>
      <c r="D52" s="283">
        <f>E51*$B$4/12</f>
        <v/>
      </c>
      <c r="E52" s="283">
        <f>E51-C52</f>
        <v/>
      </c>
    </row>
    <row r="53" ht="15" customHeight="1" s="160">
      <c r="A53" s="281" t="n">
        <v>45</v>
      </c>
      <c r="B53" s="195">
        <f>$B$6</f>
        <v/>
      </c>
      <c r="C53" s="195">
        <f>B53-D53</f>
        <v/>
      </c>
      <c r="D53" s="195">
        <f>E52*$B$4/12</f>
        <v/>
      </c>
      <c r="E53" s="195">
        <f>E52-C53</f>
        <v/>
      </c>
    </row>
    <row r="54" ht="15" customHeight="1" s="160">
      <c r="A54" s="282" t="n">
        <v>46</v>
      </c>
      <c r="B54" s="283">
        <f>$B$6</f>
        <v/>
      </c>
      <c r="C54" s="283">
        <f>B54-D54</f>
        <v/>
      </c>
      <c r="D54" s="283">
        <f>E53*$B$4/12</f>
        <v/>
      </c>
      <c r="E54" s="283">
        <f>E53-C54</f>
        <v/>
      </c>
    </row>
    <row r="55" ht="15" customHeight="1" s="160">
      <c r="A55" s="281" t="n">
        <v>47</v>
      </c>
      <c r="B55" s="195">
        <f>$B$6</f>
        <v/>
      </c>
      <c r="C55" s="195">
        <f>B55-D55</f>
        <v/>
      </c>
      <c r="D55" s="195">
        <f>E54*$B$4/12</f>
        <v/>
      </c>
      <c r="E55" s="195">
        <f>E54-C55</f>
        <v/>
      </c>
    </row>
    <row r="56" ht="15" customHeight="1" s="160">
      <c r="A56" s="282" t="n">
        <v>48</v>
      </c>
      <c r="B56" s="283">
        <f>$B$6</f>
        <v/>
      </c>
      <c r="C56" s="283">
        <f>B56-D56</f>
        <v/>
      </c>
      <c r="D56" s="283">
        <f>E55*$B$4/12</f>
        <v/>
      </c>
      <c r="E56" s="283">
        <f>E55-C56</f>
        <v/>
      </c>
    </row>
    <row r="57" ht="15" customHeight="1" s="160">
      <c r="A57" s="281" t="n">
        <v>49</v>
      </c>
      <c r="B57" s="195">
        <f>$B$6</f>
        <v/>
      </c>
      <c r="C57" s="195">
        <f>B57-D57</f>
        <v/>
      </c>
      <c r="D57" s="195">
        <f>E56*$B$4/12</f>
        <v/>
      </c>
      <c r="E57" s="195">
        <f>E56-C57</f>
        <v/>
      </c>
    </row>
    <row r="58" ht="15" customHeight="1" s="160">
      <c r="A58" s="282" t="n">
        <v>50</v>
      </c>
      <c r="B58" s="283">
        <f>$B$6</f>
        <v/>
      </c>
      <c r="C58" s="283">
        <f>B58-D58</f>
        <v/>
      </c>
      <c r="D58" s="283">
        <f>E57*$B$4/12</f>
        <v/>
      </c>
      <c r="E58" s="283">
        <f>E57-C58</f>
        <v/>
      </c>
    </row>
    <row r="59" ht="15" customHeight="1" s="160">
      <c r="A59" s="281" t="n">
        <v>51</v>
      </c>
      <c r="B59" s="195">
        <f>$B$6</f>
        <v/>
      </c>
      <c r="C59" s="195">
        <f>B59-D59</f>
        <v/>
      </c>
      <c r="D59" s="195">
        <f>E58*$B$4/12</f>
        <v/>
      </c>
      <c r="E59" s="195">
        <f>E58-C59</f>
        <v/>
      </c>
    </row>
    <row r="60" ht="15" customHeight="1" s="160">
      <c r="A60" s="282" t="n">
        <v>52</v>
      </c>
      <c r="B60" s="283">
        <f>$B$6</f>
        <v/>
      </c>
      <c r="C60" s="283">
        <f>B60-D60</f>
        <v/>
      </c>
      <c r="D60" s="283">
        <f>E59*$B$4/12</f>
        <v/>
      </c>
      <c r="E60" s="283">
        <f>E59-C60</f>
        <v/>
      </c>
    </row>
    <row r="61" ht="15" customHeight="1" s="160">
      <c r="A61" s="281" t="n">
        <v>53</v>
      </c>
      <c r="B61" s="195">
        <f>$B$6</f>
        <v/>
      </c>
      <c r="C61" s="195">
        <f>B61-D61</f>
        <v/>
      </c>
      <c r="D61" s="195">
        <f>E60*$B$4/12</f>
        <v/>
      </c>
      <c r="E61" s="195">
        <f>E60-C61</f>
        <v/>
      </c>
    </row>
    <row r="62" ht="15" customHeight="1" s="160">
      <c r="A62" s="282" t="n">
        <v>54</v>
      </c>
      <c r="B62" s="283">
        <f>$B$6</f>
        <v/>
      </c>
      <c r="C62" s="283">
        <f>B62-D62</f>
        <v/>
      </c>
      <c r="D62" s="283">
        <f>E61*$B$4/12</f>
        <v/>
      </c>
      <c r="E62" s="283">
        <f>E61-C62</f>
        <v/>
      </c>
    </row>
    <row r="63" ht="15" customHeight="1" s="160">
      <c r="A63" s="281" t="n">
        <v>55</v>
      </c>
      <c r="B63" s="195">
        <f>$B$6</f>
        <v/>
      </c>
      <c r="C63" s="195">
        <f>B63-D63</f>
        <v/>
      </c>
      <c r="D63" s="195">
        <f>E62*$B$4/12</f>
        <v/>
      </c>
      <c r="E63" s="195">
        <f>E62-C63</f>
        <v/>
      </c>
    </row>
    <row r="64" ht="15" customHeight="1" s="160">
      <c r="A64" s="282" t="n">
        <v>56</v>
      </c>
      <c r="B64" s="283">
        <f>$B$6</f>
        <v/>
      </c>
      <c r="C64" s="283">
        <f>B64-D64</f>
        <v/>
      </c>
      <c r="D64" s="283">
        <f>E63*$B$4/12</f>
        <v/>
      </c>
      <c r="E64" s="283">
        <f>E63-C64</f>
        <v/>
      </c>
    </row>
    <row r="65" ht="15" customHeight="1" s="160">
      <c r="A65" s="281" t="n">
        <v>57</v>
      </c>
      <c r="B65" s="195">
        <f>$B$6</f>
        <v/>
      </c>
      <c r="C65" s="195">
        <f>B65-D65</f>
        <v/>
      </c>
      <c r="D65" s="195">
        <f>E64*$B$4/12</f>
        <v/>
      </c>
      <c r="E65" s="195">
        <f>E64-C65</f>
        <v/>
      </c>
    </row>
    <row r="66" ht="15" customHeight="1" s="160">
      <c r="A66" s="282" t="n">
        <v>58</v>
      </c>
      <c r="B66" s="283">
        <f>$B$6</f>
        <v/>
      </c>
      <c r="C66" s="283">
        <f>B66-D66</f>
        <v/>
      </c>
      <c r="D66" s="283">
        <f>E65*$B$4/12</f>
        <v/>
      </c>
      <c r="E66" s="283">
        <f>E65-C66</f>
        <v/>
      </c>
    </row>
    <row r="67" ht="15" customHeight="1" s="160">
      <c r="A67" s="281" t="n">
        <v>59</v>
      </c>
      <c r="B67" s="195">
        <f>$B$6</f>
        <v/>
      </c>
      <c r="C67" s="195">
        <f>B67-D67</f>
        <v/>
      </c>
      <c r="D67" s="195">
        <f>E66*$B$4/12</f>
        <v/>
      </c>
      <c r="E67" s="195">
        <f>E66-C67</f>
        <v/>
      </c>
    </row>
    <row r="68" ht="15" customHeight="1" s="160">
      <c r="A68" s="282" t="n">
        <v>60</v>
      </c>
      <c r="B68" s="283">
        <f>$B$6</f>
        <v/>
      </c>
      <c r="C68" s="283">
        <f>B68-D68</f>
        <v/>
      </c>
      <c r="D68" s="283">
        <f>E67*$B$4/12</f>
        <v/>
      </c>
      <c r="E68" s="283">
        <f>E67-C68</f>
        <v/>
      </c>
    </row>
    <row r="69" ht="15" customHeight="1" s="160">
      <c r="A69" s="281" t="n">
        <v>61</v>
      </c>
      <c r="B69" s="195">
        <f>$B$6</f>
        <v/>
      </c>
      <c r="C69" s="195">
        <f>B69-D69</f>
        <v/>
      </c>
      <c r="D69" s="195">
        <f>E68*$B$4/12</f>
        <v/>
      </c>
      <c r="E69" s="195">
        <f>E68-C69</f>
        <v/>
      </c>
    </row>
    <row r="70" ht="15" customHeight="1" s="160">
      <c r="A70" s="282" t="n">
        <v>62</v>
      </c>
      <c r="B70" s="283">
        <f>$B$6</f>
        <v/>
      </c>
      <c r="C70" s="283">
        <f>B70-D70</f>
        <v/>
      </c>
      <c r="D70" s="283">
        <f>E69*$B$4/12</f>
        <v/>
      </c>
      <c r="E70" s="283">
        <f>E69-C70</f>
        <v/>
      </c>
    </row>
    <row r="71" ht="15" customHeight="1" s="160">
      <c r="A71" s="281" t="n">
        <v>63</v>
      </c>
      <c r="B71" s="195">
        <f>$B$6</f>
        <v/>
      </c>
      <c r="C71" s="195">
        <f>B71-D71</f>
        <v/>
      </c>
      <c r="D71" s="195">
        <f>E70*$B$4/12</f>
        <v/>
      </c>
      <c r="E71" s="195">
        <f>E70-C71</f>
        <v/>
      </c>
    </row>
    <row r="72" ht="15" customHeight="1" s="160">
      <c r="A72" s="282" t="n">
        <v>64</v>
      </c>
      <c r="B72" s="283">
        <f>$B$6</f>
        <v/>
      </c>
      <c r="C72" s="283">
        <f>B72-D72</f>
        <v/>
      </c>
      <c r="D72" s="283">
        <f>E71*$B$4/12</f>
        <v/>
      </c>
      <c r="E72" s="283">
        <f>E71-C72</f>
        <v/>
      </c>
    </row>
    <row r="73" ht="15" customHeight="1" s="160">
      <c r="A73" s="281" t="n">
        <v>65</v>
      </c>
      <c r="B73" s="195">
        <f>$B$6</f>
        <v/>
      </c>
      <c r="C73" s="195">
        <f>B73-D73</f>
        <v/>
      </c>
      <c r="D73" s="195">
        <f>E72*$B$4/12</f>
        <v/>
      </c>
      <c r="E73" s="195">
        <f>E72-C73</f>
        <v/>
      </c>
    </row>
    <row r="74" ht="15" customHeight="1" s="160">
      <c r="A74" s="282" t="n">
        <v>66</v>
      </c>
      <c r="B74" s="283">
        <f>$B$6</f>
        <v/>
      </c>
      <c r="C74" s="283">
        <f>B74-D74</f>
        <v/>
      </c>
      <c r="D74" s="283">
        <f>E73*$B$4/12</f>
        <v/>
      </c>
      <c r="E74" s="283">
        <f>E73-C74</f>
        <v/>
      </c>
    </row>
    <row r="75" ht="15" customHeight="1" s="160">
      <c r="A75" s="281" t="n">
        <v>67</v>
      </c>
      <c r="B75" s="195">
        <f>$B$6</f>
        <v/>
      </c>
      <c r="C75" s="195">
        <f>B75-D75</f>
        <v/>
      </c>
      <c r="D75" s="195">
        <f>E74*$B$4/12</f>
        <v/>
      </c>
      <c r="E75" s="195">
        <f>E74-C75</f>
        <v/>
      </c>
    </row>
    <row r="76" ht="15" customHeight="1" s="160">
      <c r="A76" s="282" t="n">
        <v>68</v>
      </c>
      <c r="B76" s="283">
        <f>$B$6</f>
        <v/>
      </c>
      <c r="C76" s="283">
        <f>B76-D76</f>
        <v/>
      </c>
      <c r="D76" s="283">
        <f>E75*$B$4/12</f>
        <v/>
      </c>
      <c r="E76" s="283">
        <f>E75-C76</f>
        <v/>
      </c>
    </row>
    <row r="77" ht="15" customHeight="1" s="160">
      <c r="A77" s="281" t="n">
        <v>69</v>
      </c>
      <c r="B77" s="195">
        <f>$B$6</f>
        <v/>
      </c>
      <c r="C77" s="195">
        <f>B77-D77</f>
        <v/>
      </c>
      <c r="D77" s="195">
        <f>E76*$B$4/12</f>
        <v/>
      </c>
      <c r="E77" s="195">
        <f>E76-C77</f>
        <v/>
      </c>
    </row>
    <row r="78" ht="15" customHeight="1" s="160">
      <c r="A78" s="282" t="n">
        <v>70</v>
      </c>
      <c r="B78" s="283">
        <f>$B$6</f>
        <v/>
      </c>
      <c r="C78" s="283">
        <f>B78-D78</f>
        <v/>
      </c>
      <c r="D78" s="283">
        <f>E77*$B$4/12</f>
        <v/>
      </c>
      <c r="E78" s="283">
        <f>E77-C78</f>
        <v/>
      </c>
    </row>
    <row r="79" ht="15" customHeight="1" s="160">
      <c r="A79" s="281" t="n">
        <v>71</v>
      </c>
      <c r="B79" s="195">
        <f>$B$6</f>
        <v/>
      </c>
      <c r="C79" s="195">
        <f>B79-D79</f>
        <v/>
      </c>
      <c r="D79" s="195">
        <f>E78*$B$4/12</f>
        <v/>
      </c>
      <c r="E79" s="195">
        <f>E78-C79</f>
        <v/>
      </c>
    </row>
    <row r="80" ht="15" customHeight="1" s="160">
      <c r="A80" s="282" t="n">
        <v>72</v>
      </c>
      <c r="B80" s="283">
        <f>$B$6</f>
        <v/>
      </c>
      <c r="C80" s="283">
        <f>B80-D80</f>
        <v/>
      </c>
      <c r="D80" s="283">
        <f>E79*$B$4/12</f>
        <v/>
      </c>
      <c r="E80" s="283">
        <f>E79-C80</f>
        <v/>
      </c>
    </row>
    <row r="81" ht="15" customHeight="1" s="160">
      <c r="A81" s="281" t="n">
        <v>73</v>
      </c>
      <c r="B81" s="195">
        <f>$B$6</f>
        <v/>
      </c>
      <c r="C81" s="195">
        <f>B81-D81</f>
        <v/>
      </c>
      <c r="D81" s="195">
        <f>E80*$B$4/12</f>
        <v/>
      </c>
      <c r="E81" s="195">
        <f>E80-C81</f>
        <v/>
      </c>
    </row>
    <row r="82" ht="15" customHeight="1" s="160">
      <c r="A82" s="282" t="n">
        <v>74</v>
      </c>
      <c r="B82" s="283">
        <f>$B$6</f>
        <v/>
      </c>
      <c r="C82" s="283">
        <f>B82-D82</f>
        <v/>
      </c>
      <c r="D82" s="283">
        <f>E81*$B$4/12</f>
        <v/>
      </c>
      <c r="E82" s="283">
        <f>E81-C82</f>
        <v/>
      </c>
    </row>
    <row r="83" ht="15" customHeight="1" s="160">
      <c r="A83" s="281" t="n">
        <v>75</v>
      </c>
      <c r="B83" s="195">
        <f>$B$6</f>
        <v/>
      </c>
      <c r="C83" s="195">
        <f>B83-D83</f>
        <v/>
      </c>
      <c r="D83" s="195">
        <f>E82*$B$4/12</f>
        <v/>
      </c>
      <c r="E83" s="195">
        <f>E82-C83</f>
        <v/>
      </c>
    </row>
    <row r="84" ht="15" customHeight="1" s="160">
      <c r="A84" s="282" t="n">
        <v>76</v>
      </c>
      <c r="B84" s="283">
        <f>$B$6</f>
        <v/>
      </c>
      <c r="C84" s="283">
        <f>B84-D84</f>
        <v/>
      </c>
      <c r="D84" s="283">
        <f>E83*$B$4/12</f>
        <v/>
      </c>
      <c r="E84" s="283">
        <f>E83-C84</f>
        <v/>
      </c>
    </row>
    <row r="85" ht="15" customHeight="1" s="160">
      <c r="A85" s="281" t="n">
        <v>77</v>
      </c>
      <c r="B85" s="195">
        <f>$B$6</f>
        <v/>
      </c>
      <c r="C85" s="195">
        <f>B85-D85</f>
        <v/>
      </c>
      <c r="D85" s="195">
        <f>E84*$B$4/12</f>
        <v/>
      </c>
      <c r="E85" s="195">
        <f>E84-C85</f>
        <v/>
      </c>
    </row>
    <row r="86" ht="15" customHeight="1" s="160">
      <c r="A86" s="282" t="n">
        <v>78</v>
      </c>
      <c r="B86" s="283">
        <f>$B$6</f>
        <v/>
      </c>
      <c r="C86" s="283">
        <f>B86-D86</f>
        <v/>
      </c>
      <c r="D86" s="283">
        <f>E85*$B$4/12</f>
        <v/>
      </c>
      <c r="E86" s="283">
        <f>E85-C86</f>
        <v/>
      </c>
    </row>
    <row r="87" ht="15" customHeight="1" s="160">
      <c r="A87" s="281" t="n">
        <v>79</v>
      </c>
      <c r="B87" s="195">
        <f>$B$6</f>
        <v/>
      </c>
      <c r="C87" s="195">
        <f>B87-D87</f>
        <v/>
      </c>
      <c r="D87" s="195">
        <f>E86*$B$4/12</f>
        <v/>
      </c>
      <c r="E87" s="195">
        <f>E86-C87</f>
        <v/>
      </c>
    </row>
    <row r="88" ht="15" customHeight="1" s="160">
      <c r="A88" s="282" t="n">
        <v>80</v>
      </c>
      <c r="B88" s="283">
        <f>$B$6</f>
        <v/>
      </c>
      <c r="C88" s="283">
        <f>B88-D88</f>
        <v/>
      </c>
      <c r="D88" s="283">
        <f>E87*$B$4/12</f>
        <v/>
      </c>
      <c r="E88" s="283">
        <f>E87-C88</f>
        <v/>
      </c>
    </row>
    <row r="89" ht="15" customHeight="1" s="160">
      <c r="A89" s="281" t="n">
        <v>81</v>
      </c>
      <c r="B89" s="195">
        <f>$B$6</f>
        <v/>
      </c>
      <c r="C89" s="195">
        <f>B89-D89</f>
        <v/>
      </c>
      <c r="D89" s="195">
        <f>E88*$B$4/12</f>
        <v/>
      </c>
      <c r="E89" s="195">
        <f>E88-C89</f>
        <v/>
      </c>
    </row>
    <row r="90" ht="15" customHeight="1" s="160">
      <c r="A90" s="282" t="n">
        <v>82</v>
      </c>
      <c r="B90" s="283">
        <f>$B$6</f>
        <v/>
      </c>
      <c r="C90" s="283">
        <f>B90-D90</f>
        <v/>
      </c>
      <c r="D90" s="283">
        <f>E89*$B$4/12</f>
        <v/>
      </c>
      <c r="E90" s="283">
        <f>E89-C90</f>
        <v/>
      </c>
    </row>
    <row r="91" ht="15" customHeight="1" s="160">
      <c r="A91" s="281" t="n">
        <v>83</v>
      </c>
      <c r="B91" s="195">
        <f>$B$6</f>
        <v/>
      </c>
      <c r="C91" s="195">
        <f>B91-D91</f>
        <v/>
      </c>
      <c r="D91" s="195">
        <f>E90*$B$4/12</f>
        <v/>
      </c>
      <c r="E91" s="195">
        <f>E90-C91</f>
        <v/>
      </c>
    </row>
    <row r="92" ht="15" customHeight="1" s="160">
      <c r="A92" s="282" t="n">
        <v>84</v>
      </c>
      <c r="B92" s="283">
        <f>$B$6</f>
        <v/>
      </c>
      <c r="C92" s="283">
        <f>B92-D92</f>
        <v/>
      </c>
      <c r="D92" s="283">
        <f>E91*$B$4/12</f>
        <v/>
      </c>
      <c r="E92" s="283">
        <f>E91-C92</f>
        <v/>
      </c>
    </row>
    <row r="93" ht="15" customHeight="1" s="160">
      <c r="A93" s="281" t="n">
        <v>85</v>
      </c>
      <c r="B93" s="195">
        <f>$B$6</f>
        <v/>
      </c>
      <c r="C93" s="195">
        <f>B93-D93</f>
        <v/>
      </c>
      <c r="D93" s="195">
        <f>E92*$B$4/12</f>
        <v/>
      </c>
      <c r="E93" s="195">
        <f>E92-C93</f>
        <v/>
      </c>
    </row>
    <row r="94" ht="15" customHeight="1" s="160">
      <c r="A94" s="282" t="n">
        <v>86</v>
      </c>
      <c r="B94" s="283">
        <f>$B$6</f>
        <v/>
      </c>
      <c r="C94" s="283">
        <f>B94-D94</f>
        <v/>
      </c>
      <c r="D94" s="283">
        <f>E93*$B$4/12</f>
        <v/>
      </c>
      <c r="E94" s="283">
        <f>E93-C94</f>
        <v/>
      </c>
    </row>
    <row r="95" ht="15" customHeight="1" s="160">
      <c r="A95" s="281" t="n">
        <v>87</v>
      </c>
      <c r="B95" s="195">
        <f>$B$6</f>
        <v/>
      </c>
      <c r="C95" s="195">
        <f>B95-D95</f>
        <v/>
      </c>
      <c r="D95" s="195">
        <f>E94*$B$4/12</f>
        <v/>
      </c>
      <c r="E95" s="195">
        <f>E94-C95</f>
        <v/>
      </c>
    </row>
    <row r="96" ht="15" customHeight="1" s="160">
      <c r="A96" s="282" t="n">
        <v>88</v>
      </c>
      <c r="B96" s="283">
        <f>$B$6</f>
        <v/>
      </c>
      <c r="C96" s="283">
        <f>B96-D96</f>
        <v/>
      </c>
      <c r="D96" s="283">
        <f>E95*$B$4/12</f>
        <v/>
      </c>
      <c r="E96" s="283">
        <f>E95-C96</f>
        <v/>
      </c>
    </row>
    <row r="97" ht="15" customHeight="1" s="160">
      <c r="A97" s="281" t="n">
        <v>89</v>
      </c>
      <c r="B97" s="195">
        <f>$B$6</f>
        <v/>
      </c>
      <c r="C97" s="195">
        <f>B97-D97</f>
        <v/>
      </c>
      <c r="D97" s="195">
        <f>E96*$B$4/12</f>
        <v/>
      </c>
      <c r="E97" s="195">
        <f>E96-C97</f>
        <v/>
      </c>
    </row>
    <row r="98" ht="15" customHeight="1" s="160">
      <c r="A98" s="282" t="n">
        <v>90</v>
      </c>
      <c r="B98" s="283">
        <f>$B$6</f>
        <v/>
      </c>
      <c r="C98" s="283">
        <f>B98-D98</f>
        <v/>
      </c>
      <c r="D98" s="283">
        <f>E97*$B$4/12</f>
        <v/>
      </c>
      <c r="E98" s="283">
        <f>E97-C98</f>
        <v/>
      </c>
    </row>
    <row r="99" ht="15" customHeight="1" s="160">
      <c r="A99" s="281" t="n">
        <v>91</v>
      </c>
      <c r="B99" s="195">
        <f>$B$6</f>
        <v/>
      </c>
      <c r="C99" s="195">
        <f>B99-D99</f>
        <v/>
      </c>
      <c r="D99" s="195">
        <f>E98*$B$4/12</f>
        <v/>
      </c>
      <c r="E99" s="195">
        <f>E98-C99</f>
        <v/>
      </c>
    </row>
    <row r="100" ht="15" customHeight="1" s="160">
      <c r="A100" s="282" t="n">
        <v>92</v>
      </c>
      <c r="B100" s="283">
        <f>$B$6</f>
        <v/>
      </c>
      <c r="C100" s="283">
        <f>B100-D100</f>
        <v/>
      </c>
      <c r="D100" s="283">
        <f>E99*$B$4/12</f>
        <v/>
      </c>
      <c r="E100" s="283">
        <f>E99-C100</f>
        <v/>
      </c>
    </row>
    <row r="101" ht="15" customHeight="1" s="160">
      <c r="A101" s="281" t="n">
        <v>93</v>
      </c>
      <c r="B101" s="195">
        <f>$B$6</f>
        <v/>
      </c>
      <c r="C101" s="195">
        <f>B101-D101</f>
        <v/>
      </c>
      <c r="D101" s="195">
        <f>E100*$B$4/12</f>
        <v/>
      </c>
      <c r="E101" s="195">
        <f>E100-C101</f>
        <v/>
      </c>
    </row>
    <row r="102" ht="15" customHeight="1" s="160">
      <c r="A102" s="282" t="n">
        <v>94</v>
      </c>
      <c r="B102" s="283">
        <f>$B$6</f>
        <v/>
      </c>
      <c r="C102" s="283">
        <f>B102-D102</f>
        <v/>
      </c>
      <c r="D102" s="283">
        <f>E101*$B$4/12</f>
        <v/>
      </c>
      <c r="E102" s="283">
        <f>E101-C102</f>
        <v/>
      </c>
    </row>
    <row r="103" ht="15" customHeight="1" s="160">
      <c r="A103" s="281" t="n">
        <v>95</v>
      </c>
      <c r="B103" s="195">
        <f>$B$6</f>
        <v/>
      </c>
      <c r="C103" s="195">
        <f>B103-D103</f>
        <v/>
      </c>
      <c r="D103" s="195">
        <f>E102*$B$4/12</f>
        <v/>
      </c>
      <c r="E103" s="195">
        <f>E102-C103</f>
        <v/>
      </c>
    </row>
    <row r="104" ht="15" customHeight="1" s="160">
      <c r="A104" s="282" t="n">
        <v>96</v>
      </c>
      <c r="B104" s="283">
        <f>$B$6</f>
        <v/>
      </c>
      <c r="C104" s="283">
        <f>B104-D104</f>
        <v/>
      </c>
      <c r="D104" s="283">
        <f>E103*$B$4/12</f>
        <v/>
      </c>
      <c r="E104" s="283">
        <f>E103-C104</f>
        <v/>
      </c>
    </row>
    <row r="105" ht="15" customHeight="1" s="160">
      <c r="A105" s="281" t="n">
        <v>97</v>
      </c>
      <c r="B105" s="195">
        <f>$B$6</f>
        <v/>
      </c>
      <c r="C105" s="195">
        <f>B105-D105</f>
        <v/>
      </c>
      <c r="D105" s="195">
        <f>E104*$B$4/12</f>
        <v/>
      </c>
      <c r="E105" s="195">
        <f>E104-C105</f>
        <v/>
      </c>
    </row>
    <row r="106" ht="15" customHeight="1" s="160">
      <c r="A106" s="282" t="n">
        <v>98</v>
      </c>
      <c r="B106" s="283">
        <f>$B$6</f>
        <v/>
      </c>
      <c r="C106" s="283">
        <f>B106-D106</f>
        <v/>
      </c>
      <c r="D106" s="283">
        <f>E105*$B$4/12</f>
        <v/>
      </c>
      <c r="E106" s="283">
        <f>E105-C106</f>
        <v/>
      </c>
    </row>
    <row r="107" ht="15" customHeight="1" s="160">
      <c r="A107" s="281" t="n">
        <v>99</v>
      </c>
      <c r="B107" s="195">
        <f>$B$6</f>
        <v/>
      </c>
      <c r="C107" s="195">
        <f>B107-D107</f>
        <v/>
      </c>
      <c r="D107" s="195">
        <f>E106*$B$4/12</f>
        <v/>
      </c>
      <c r="E107" s="195">
        <f>E106-C107</f>
        <v/>
      </c>
    </row>
    <row r="108" ht="15" customHeight="1" s="160">
      <c r="A108" s="282" t="n">
        <v>100</v>
      </c>
      <c r="B108" s="283">
        <f>$B$6</f>
        <v/>
      </c>
      <c r="C108" s="283">
        <f>B108-D108</f>
        <v/>
      </c>
      <c r="D108" s="283">
        <f>E107*$B$4/12</f>
        <v/>
      </c>
      <c r="E108" s="283">
        <f>E107-C108</f>
        <v/>
      </c>
    </row>
    <row r="109" ht="15" customHeight="1" s="160">
      <c r="A109" s="281" t="n">
        <v>101</v>
      </c>
      <c r="B109" s="195">
        <f>$B$6</f>
        <v/>
      </c>
      <c r="C109" s="195">
        <f>B109-D109</f>
        <v/>
      </c>
      <c r="D109" s="195">
        <f>E108*$B$4/12</f>
        <v/>
      </c>
      <c r="E109" s="195">
        <f>E108-C109</f>
        <v/>
      </c>
    </row>
    <row r="110" ht="15" customHeight="1" s="160">
      <c r="A110" s="282" t="n">
        <v>102</v>
      </c>
      <c r="B110" s="283">
        <f>$B$6</f>
        <v/>
      </c>
      <c r="C110" s="283">
        <f>B110-D110</f>
        <v/>
      </c>
      <c r="D110" s="283">
        <f>E109*$B$4/12</f>
        <v/>
      </c>
      <c r="E110" s="283">
        <f>E109-C110</f>
        <v/>
      </c>
    </row>
    <row r="111" ht="15" customHeight="1" s="160">
      <c r="A111" s="281" t="n">
        <v>103</v>
      </c>
      <c r="B111" s="195">
        <f>$B$6</f>
        <v/>
      </c>
      <c r="C111" s="195">
        <f>B111-D111</f>
        <v/>
      </c>
      <c r="D111" s="195">
        <f>E110*$B$4/12</f>
        <v/>
      </c>
      <c r="E111" s="195">
        <f>E110-C111</f>
        <v/>
      </c>
    </row>
    <row r="112" ht="15" customHeight="1" s="160">
      <c r="A112" s="282" t="n">
        <v>104</v>
      </c>
      <c r="B112" s="283">
        <f>$B$6</f>
        <v/>
      </c>
      <c r="C112" s="283">
        <f>B112-D112</f>
        <v/>
      </c>
      <c r="D112" s="283">
        <f>E111*$B$4/12</f>
        <v/>
      </c>
      <c r="E112" s="283">
        <f>E111-C112</f>
        <v/>
      </c>
    </row>
    <row r="113" ht="15" customHeight="1" s="160">
      <c r="A113" s="281" t="n">
        <v>105</v>
      </c>
      <c r="B113" s="195">
        <f>$B$6</f>
        <v/>
      </c>
      <c r="C113" s="195">
        <f>B113-D113</f>
        <v/>
      </c>
      <c r="D113" s="195">
        <f>E112*$B$4/12</f>
        <v/>
      </c>
      <c r="E113" s="195">
        <f>E112-C113</f>
        <v/>
      </c>
    </row>
    <row r="114" ht="15" customHeight="1" s="160">
      <c r="A114" s="282" t="n">
        <v>106</v>
      </c>
      <c r="B114" s="283">
        <f>$B$6</f>
        <v/>
      </c>
      <c r="C114" s="283">
        <f>B114-D114</f>
        <v/>
      </c>
      <c r="D114" s="283">
        <f>E113*$B$4/12</f>
        <v/>
      </c>
      <c r="E114" s="283">
        <f>E113-C114</f>
        <v/>
      </c>
    </row>
    <row r="115" ht="15" customHeight="1" s="160">
      <c r="A115" s="281" t="n">
        <v>107</v>
      </c>
      <c r="B115" s="195">
        <f>$B$6</f>
        <v/>
      </c>
      <c r="C115" s="195">
        <f>B115-D115</f>
        <v/>
      </c>
      <c r="D115" s="195">
        <f>E114*$B$4/12</f>
        <v/>
      </c>
      <c r="E115" s="195">
        <f>E114-C115</f>
        <v/>
      </c>
    </row>
    <row r="116" ht="15" customHeight="1" s="160">
      <c r="A116" s="282" t="n">
        <v>108</v>
      </c>
      <c r="B116" s="283">
        <f>$B$6</f>
        <v/>
      </c>
      <c r="C116" s="283">
        <f>B116-D116</f>
        <v/>
      </c>
      <c r="D116" s="283">
        <f>E115*$B$4/12</f>
        <v/>
      </c>
      <c r="E116" s="283">
        <f>E115-C116</f>
        <v/>
      </c>
    </row>
    <row r="117" ht="15" customHeight="1" s="160">
      <c r="A117" s="281" t="n">
        <v>109</v>
      </c>
      <c r="B117" s="195">
        <f>$B$6</f>
        <v/>
      </c>
      <c r="C117" s="195">
        <f>B117-D117</f>
        <v/>
      </c>
      <c r="D117" s="195">
        <f>E116*$B$4/12</f>
        <v/>
      </c>
      <c r="E117" s="195">
        <f>E116-C117</f>
        <v/>
      </c>
    </row>
    <row r="118" ht="15" customHeight="1" s="160">
      <c r="A118" s="282" t="n">
        <v>110</v>
      </c>
      <c r="B118" s="283">
        <f>$B$6</f>
        <v/>
      </c>
      <c r="C118" s="283">
        <f>B118-D118</f>
        <v/>
      </c>
      <c r="D118" s="283">
        <f>E117*$B$4/12</f>
        <v/>
      </c>
      <c r="E118" s="283">
        <f>E117-C118</f>
        <v/>
      </c>
    </row>
    <row r="119" ht="15" customHeight="1" s="160">
      <c r="A119" s="281" t="n">
        <v>111</v>
      </c>
      <c r="B119" s="195">
        <f>$B$6</f>
        <v/>
      </c>
      <c r="C119" s="195">
        <f>B119-D119</f>
        <v/>
      </c>
      <c r="D119" s="195">
        <f>E118*$B$4/12</f>
        <v/>
      </c>
      <c r="E119" s="195">
        <f>E118-C119</f>
        <v/>
      </c>
    </row>
    <row r="120" ht="15" customHeight="1" s="160">
      <c r="A120" s="282" t="n">
        <v>112</v>
      </c>
      <c r="B120" s="283">
        <f>$B$6</f>
        <v/>
      </c>
      <c r="C120" s="283">
        <f>B120-D120</f>
        <v/>
      </c>
      <c r="D120" s="283">
        <f>E119*$B$4/12</f>
        <v/>
      </c>
      <c r="E120" s="283">
        <f>E119-C120</f>
        <v/>
      </c>
    </row>
    <row r="121" ht="15" customHeight="1" s="160">
      <c r="A121" s="281" t="n">
        <v>113</v>
      </c>
      <c r="B121" s="195">
        <f>$B$6</f>
        <v/>
      </c>
      <c r="C121" s="195">
        <f>B121-D121</f>
        <v/>
      </c>
      <c r="D121" s="195">
        <f>E120*$B$4/12</f>
        <v/>
      </c>
      <c r="E121" s="195">
        <f>E120-C121</f>
        <v/>
      </c>
    </row>
    <row r="122" ht="15" customHeight="1" s="160">
      <c r="A122" s="282" t="n">
        <v>114</v>
      </c>
      <c r="B122" s="283">
        <f>$B$6</f>
        <v/>
      </c>
      <c r="C122" s="283">
        <f>B122-D122</f>
        <v/>
      </c>
      <c r="D122" s="283">
        <f>E121*$B$4/12</f>
        <v/>
      </c>
      <c r="E122" s="283">
        <f>E121-C122</f>
        <v/>
      </c>
    </row>
    <row r="123" ht="15" customHeight="1" s="160">
      <c r="A123" s="281" t="n">
        <v>115</v>
      </c>
      <c r="B123" s="195">
        <f>$B$6</f>
        <v/>
      </c>
      <c r="C123" s="195">
        <f>B123-D123</f>
        <v/>
      </c>
      <c r="D123" s="195">
        <f>E122*$B$4/12</f>
        <v/>
      </c>
      <c r="E123" s="195">
        <f>E122-C123</f>
        <v/>
      </c>
    </row>
    <row r="124" ht="15" customHeight="1" s="160">
      <c r="A124" s="282" t="n">
        <v>116</v>
      </c>
      <c r="B124" s="283">
        <f>$B$6</f>
        <v/>
      </c>
      <c r="C124" s="283">
        <f>B124-D124</f>
        <v/>
      </c>
      <c r="D124" s="283">
        <f>E123*$B$4/12</f>
        <v/>
      </c>
      <c r="E124" s="283">
        <f>E123-C124</f>
        <v/>
      </c>
    </row>
    <row r="125" ht="15" customHeight="1" s="160">
      <c r="A125" s="281" t="n">
        <v>117</v>
      </c>
      <c r="B125" s="195">
        <f>$B$6</f>
        <v/>
      </c>
      <c r="C125" s="195">
        <f>B125-D125</f>
        <v/>
      </c>
      <c r="D125" s="195">
        <f>E124*$B$4/12</f>
        <v/>
      </c>
      <c r="E125" s="195">
        <f>E124-C125</f>
        <v/>
      </c>
    </row>
    <row r="126" ht="15" customHeight="1" s="160">
      <c r="A126" s="282" t="n">
        <v>118</v>
      </c>
      <c r="B126" s="283">
        <f>$B$6</f>
        <v/>
      </c>
      <c r="C126" s="283">
        <f>B126-D126</f>
        <v/>
      </c>
      <c r="D126" s="283">
        <f>E125*$B$4/12</f>
        <v/>
      </c>
      <c r="E126" s="283">
        <f>E125-C126</f>
        <v/>
      </c>
    </row>
    <row r="127" ht="15" customHeight="1" s="160">
      <c r="A127" s="281" t="n">
        <v>119</v>
      </c>
      <c r="B127" s="195">
        <f>$B$6</f>
        <v/>
      </c>
      <c r="C127" s="195">
        <f>B127-D127</f>
        <v/>
      </c>
      <c r="D127" s="195">
        <f>E126*$B$4/12</f>
        <v/>
      </c>
      <c r="E127" s="195">
        <f>E126-C127</f>
        <v/>
      </c>
    </row>
    <row r="128" ht="15" customHeight="1" s="160">
      <c r="A128" s="282" t="n">
        <v>120</v>
      </c>
      <c r="B128" s="283">
        <f>$B$6</f>
        <v/>
      </c>
      <c r="C128" s="283">
        <f>B128-D128</f>
        <v/>
      </c>
      <c r="D128" s="283">
        <f>E127*$B$4/12</f>
        <v/>
      </c>
      <c r="E128" s="283">
        <f>E127-C128</f>
        <v/>
      </c>
    </row>
    <row r="129" ht="15" customHeight="1" s="160">
      <c r="A129" s="281" t="n">
        <v>121</v>
      </c>
      <c r="B129" s="195">
        <f>$B$6</f>
        <v/>
      </c>
      <c r="C129" s="195">
        <f>B129-D129</f>
        <v/>
      </c>
      <c r="D129" s="195">
        <f>E128*$B$4/12</f>
        <v/>
      </c>
      <c r="E129" s="195">
        <f>E128-C129</f>
        <v/>
      </c>
    </row>
    <row r="130" ht="15" customHeight="1" s="160">
      <c r="A130" s="282" t="n">
        <v>122</v>
      </c>
      <c r="B130" s="283">
        <f>$B$6</f>
        <v/>
      </c>
      <c r="C130" s="283">
        <f>B130-D130</f>
        <v/>
      </c>
      <c r="D130" s="283">
        <f>E129*$B$4/12</f>
        <v/>
      </c>
      <c r="E130" s="283">
        <f>E129-C130</f>
        <v/>
      </c>
    </row>
    <row r="131" ht="15" customHeight="1" s="160">
      <c r="A131" s="281" t="n">
        <v>123</v>
      </c>
      <c r="B131" s="195">
        <f>$B$6</f>
        <v/>
      </c>
      <c r="C131" s="195">
        <f>B131-D131</f>
        <v/>
      </c>
      <c r="D131" s="195">
        <f>E130*$B$4/12</f>
        <v/>
      </c>
      <c r="E131" s="195">
        <f>E130-C131</f>
        <v/>
      </c>
    </row>
    <row r="132" ht="15" customHeight="1" s="160">
      <c r="A132" s="282" t="n">
        <v>124</v>
      </c>
      <c r="B132" s="283">
        <f>$B$6</f>
        <v/>
      </c>
      <c r="C132" s="283">
        <f>B132-D132</f>
        <v/>
      </c>
      <c r="D132" s="283">
        <f>E131*$B$4/12</f>
        <v/>
      </c>
      <c r="E132" s="283">
        <f>E131-C132</f>
        <v/>
      </c>
    </row>
    <row r="133" ht="15" customHeight="1" s="160">
      <c r="A133" s="281" t="n">
        <v>125</v>
      </c>
      <c r="B133" s="195">
        <f>$B$6</f>
        <v/>
      </c>
      <c r="C133" s="195">
        <f>B133-D133</f>
        <v/>
      </c>
      <c r="D133" s="195">
        <f>E132*$B$4/12</f>
        <v/>
      </c>
      <c r="E133" s="195">
        <f>E132-C133</f>
        <v/>
      </c>
    </row>
    <row r="134" ht="15" customHeight="1" s="160">
      <c r="A134" s="282" t="n">
        <v>126</v>
      </c>
      <c r="B134" s="283">
        <f>$B$6</f>
        <v/>
      </c>
      <c r="C134" s="283">
        <f>B134-D134</f>
        <v/>
      </c>
      <c r="D134" s="283">
        <f>E133*$B$4/12</f>
        <v/>
      </c>
      <c r="E134" s="283">
        <f>E133-C134</f>
        <v/>
      </c>
    </row>
    <row r="135" ht="15" customHeight="1" s="160">
      <c r="A135" s="281" t="n">
        <v>127</v>
      </c>
      <c r="B135" s="195">
        <f>$B$6</f>
        <v/>
      </c>
      <c r="C135" s="195">
        <f>B135-D135</f>
        <v/>
      </c>
      <c r="D135" s="195">
        <f>E134*$B$4/12</f>
        <v/>
      </c>
      <c r="E135" s="195">
        <f>E134-C135</f>
        <v/>
      </c>
    </row>
    <row r="136" ht="15" customHeight="1" s="160">
      <c r="A136" s="282" t="n">
        <v>128</v>
      </c>
      <c r="B136" s="283">
        <f>$B$6</f>
        <v/>
      </c>
      <c r="C136" s="283">
        <f>B136-D136</f>
        <v/>
      </c>
      <c r="D136" s="283">
        <f>E135*$B$4/12</f>
        <v/>
      </c>
      <c r="E136" s="283">
        <f>E135-C136</f>
        <v/>
      </c>
    </row>
    <row r="137" ht="15" customHeight="1" s="160">
      <c r="A137" s="281" t="n">
        <v>129</v>
      </c>
      <c r="B137" s="195">
        <f>$B$6</f>
        <v/>
      </c>
      <c r="C137" s="195">
        <f>B137-D137</f>
        <v/>
      </c>
      <c r="D137" s="195">
        <f>E136*$B$4/12</f>
        <v/>
      </c>
      <c r="E137" s="195">
        <f>E136-C137</f>
        <v/>
      </c>
    </row>
    <row r="138" ht="15" customHeight="1" s="160">
      <c r="A138" s="282" t="n">
        <v>130</v>
      </c>
      <c r="B138" s="283">
        <f>$B$6</f>
        <v/>
      </c>
      <c r="C138" s="283">
        <f>B138-D138</f>
        <v/>
      </c>
      <c r="D138" s="283">
        <f>E137*$B$4/12</f>
        <v/>
      </c>
      <c r="E138" s="283">
        <f>E137-C138</f>
        <v/>
      </c>
    </row>
    <row r="139" ht="15" customHeight="1" s="160">
      <c r="A139" s="281" t="n">
        <v>131</v>
      </c>
      <c r="B139" s="195">
        <f>$B$6</f>
        <v/>
      </c>
      <c r="C139" s="195">
        <f>B139-D139</f>
        <v/>
      </c>
      <c r="D139" s="195">
        <f>E138*$B$4/12</f>
        <v/>
      </c>
      <c r="E139" s="195">
        <f>E138-C139</f>
        <v/>
      </c>
    </row>
    <row r="140" ht="15" customHeight="1" s="160">
      <c r="A140" s="282" t="n">
        <v>132</v>
      </c>
      <c r="B140" s="283">
        <f>$B$6</f>
        <v/>
      </c>
      <c r="C140" s="283">
        <f>B140-D140</f>
        <v/>
      </c>
      <c r="D140" s="283">
        <f>E139*$B$4/12</f>
        <v/>
      </c>
      <c r="E140" s="283">
        <f>E139-C140</f>
        <v/>
      </c>
    </row>
    <row r="141" ht="15" customHeight="1" s="160">
      <c r="A141" s="281" t="n">
        <v>133</v>
      </c>
      <c r="B141" s="195">
        <f>$B$6</f>
        <v/>
      </c>
      <c r="C141" s="195">
        <f>B141-D141</f>
        <v/>
      </c>
      <c r="D141" s="195">
        <f>E140*$B$4/12</f>
        <v/>
      </c>
      <c r="E141" s="195">
        <f>E140-C141</f>
        <v/>
      </c>
    </row>
    <row r="142" ht="15" customHeight="1" s="160">
      <c r="A142" s="282" t="n">
        <v>134</v>
      </c>
      <c r="B142" s="283">
        <f>$B$6</f>
        <v/>
      </c>
      <c r="C142" s="283">
        <f>B142-D142</f>
        <v/>
      </c>
      <c r="D142" s="283">
        <f>E141*$B$4/12</f>
        <v/>
      </c>
      <c r="E142" s="283">
        <f>E141-C142</f>
        <v/>
      </c>
    </row>
    <row r="143" ht="15" customHeight="1" s="160">
      <c r="A143" s="281" t="n">
        <v>135</v>
      </c>
      <c r="B143" s="195">
        <f>$B$6</f>
        <v/>
      </c>
      <c r="C143" s="195">
        <f>B143-D143</f>
        <v/>
      </c>
      <c r="D143" s="195">
        <f>E142*$B$4/12</f>
        <v/>
      </c>
      <c r="E143" s="195">
        <f>E142-C143</f>
        <v/>
      </c>
    </row>
    <row r="144" ht="15" customHeight="1" s="160">
      <c r="A144" s="282" t="n">
        <v>136</v>
      </c>
      <c r="B144" s="283">
        <f>$B$6</f>
        <v/>
      </c>
      <c r="C144" s="283">
        <f>B144-D144</f>
        <v/>
      </c>
      <c r="D144" s="283">
        <f>E143*$B$4/12</f>
        <v/>
      </c>
      <c r="E144" s="283">
        <f>E143-C144</f>
        <v/>
      </c>
    </row>
    <row r="145" ht="15" customHeight="1" s="160">
      <c r="A145" s="281" t="n">
        <v>137</v>
      </c>
      <c r="B145" s="195">
        <f>$B$6</f>
        <v/>
      </c>
      <c r="C145" s="195">
        <f>B145-D145</f>
        <v/>
      </c>
      <c r="D145" s="195">
        <f>E144*$B$4/12</f>
        <v/>
      </c>
      <c r="E145" s="195">
        <f>E144-C145</f>
        <v/>
      </c>
    </row>
    <row r="146" ht="15" customHeight="1" s="160">
      <c r="A146" s="282" t="n">
        <v>138</v>
      </c>
      <c r="B146" s="283">
        <f>$B$6</f>
        <v/>
      </c>
      <c r="C146" s="283">
        <f>B146-D146</f>
        <v/>
      </c>
      <c r="D146" s="283">
        <f>E145*$B$4/12</f>
        <v/>
      </c>
      <c r="E146" s="283">
        <f>E145-C146</f>
        <v/>
      </c>
    </row>
    <row r="147" ht="15" customHeight="1" s="160">
      <c r="A147" s="281" t="n">
        <v>139</v>
      </c>
      <c r="B147" s="195">
        <f>$B$6</f>
        <v/>
      </c>
      <c r="C147" s="195">
        <f>B147-D147</f>
        <v/>
      </c>
      <c r="D147" s="195">
        <f>E146*$B$4/12</f>
        <v/>
      </c>
      <c r="E147" s="195">
        <f>E146-C147</f>
        <v/>
      </c>
    </row>
    <row r="148" ht="15" customHeight="1" s="160">
      <c r="A148" s="282" t="n">
        <v>140</v>
      </c>
      <c r="B148" s="283">
        <f>$B$6</f>
        <v/>
      </c>
      <c r="C148" s="283">
        <f>B148-D148</f>
        <v/>
      </c>
      <c r="D148" s="283">
        <f>E147*$B$4/12</f>
        <v/>
      </c>
      <c r="E148" s="283">
        <f>E147-C148</f>
        <v/>
      </c>
    </row>
    <row r="149" ht="15" customHeight="1" s="160">
      <c r="A149" s="281" t="n">
        <v>141</v>
      </c>
      <c r="B149" s="195">
        <f>$B$6</f>
        <v/>
      </c>
      <c r="C149" s="195">
        <f>B149-D149</f>
        <v/>
      </c>
      <c r="D149" s="195">
        <f>E148*$B$4/12</f>
        <v/>
      </c>
      <c r="E149" s="195">
        <f>E148-C149</f>
        <v/>
      </c>
    </row>
    <row r="150" ht="15" customHeight="1" s="160">
      <c r="A150" s="282" t="n">
        <v>142</v>
      </c>
      <c r="B150" s="283">
        <f>$B$6</f>
        <v/>
      </c>
      <c r="C150" s="283">
        <f>B150-D150</f>
        <v/>
      </c>
      <c r="D150" s="283">
        <f>E149*$B$4/12</f>
        <v/>
      </c>
      <c r="E150" s="283">
        <f>E149-C150</f>
        <v/>
      </c>
    </row>
    <row r="151" ht="15" customHeight="1" s="160">
      <c r="A151" s="281" t="n">
        <v>143</v>
      </c>
      <c r="B151" s="195">
        <f>$B$6</f>
        <v/>
      </c>
      <c r="C151" s="195">
        <f>B151-D151</f>
        <v/>
      </c>
      <c r="D151" s="195">
        <f>E150*$B$4/12</f>
        <v/>
      </c>
      <c r="E151" s="195">
        <f>E150-C151</f>
        <v/>
      </c>
    </row>
    <row r="152" ht="15" customHeight="1" s="160">
      <c r="A152" s="282" t="n">
        <v>144</v>
      </c>
      <c r="B152" s="283">
        <f>$B$6</f>
        <v/>
      </c>
      <c r="C152" s="283">
        <f>B152-D152</f>
        <v/>
      </c>
      <c r="D152" s="283">
        <f>E151*$B$4/12</f>
        <v/>
      </c>
      <c r="E152" s="283">
        <f>E151-C152</f>
        <v/>
      </c>
    </row>
    <row r="153" ht="15" customHeight="1" s="160">
      <c r="A153" s="281" t="n">
        <v>145</v>
      </c>
      <c r="B153" s="195">
        <f>$B$6</f>
        <v/>
      </c>
      <c r="C153" s="195">
        <f>B153-D153</f>
        <v/>
      </c>
      <c r="D153" s="195">
        <f>E152*$B$4/12</f>
        <v/>
      </c>
      <c r="E153" s="195">
        <f>E152-C153</f>
        <v/>
      </c>
    </row>
    <row r="154" ht="15" customHeight="1" s="160">
      <c r="A154" s="282" t="n">
        <v>146</v>
      </c>
      <c r="B154" s="283">
        <f>$B$6</f>
        <v/>
      </c>
      <c r="C154" s="283">
        <f>B154-D154</f>
        <v/>
      </c>
      <c r="D154" s="283">
        <f>E153*$B$4/12</f>
        <v/>
      </c>
      <c r="E154" s="283">
        <f>E153-C154</f>
        <v/>
      </c>
    </row>
    <row r="155" ht="15" customHeight="1" s="160">
      <c r="A155" s="281" t="n">
        <v>147</v>
      </c>
      <c r="B155" s="195">
        <f>$B$6</f>
        <v/>
      </c>
      <c r="C155" s="195">
        <f>B155-D155</f>
        <v/>
      </c>
      <c r="D155" s="195">
        <f>E154*$B$4/12</f>
        <v/>
      </c>
      <c r="E155" s="195">
        <f>E154-C155</f>
        <v/>
      </c>
    </row>
    <row r="156" ht="15" customHeight="1" s="160">
      <c r="A156" s="282" t="n">
        <v>148</v>
      </c>
      <c r="B156" s="283">
        <f>$B$6</f>
        <v/>
      </c>
      <c r="C156" s="283">
        <f>B156-D156</f>
        <v/>
      </c>
      <c r="D156" s="283">
        <f>E155*$B$4/12</f>
        <v/>
      </c>
      <c r="E156" s="283">
        <f>E155-C156</f>
        <v/>
      </c>
    </row>
    <row r="157" ht="15" customHeight="1" s="160">
      <c r="A157" s="281" t="n">
        <v>149</v>
      </c>
      <c r="B157" s="195">
        <f>$B$6</f>
        <v/>
      </c>
      <c r="C157" s="195">
        <f>B157-D157</f>
        <v/>
      </c>
      <c r="D157" s="195">
        <f>E156*$B$4/12</f>
        <v/>
      </c>
      <c r="E157" s="195">
        <f>E156-C157</f>
        <v/>
      </c>
    </row>
    <row r="158" ht="15" customHeight="1" s="160">
      <c r="A158" s="282" t="n">
        <v>150</v>
      </c>
      <c r="B158" s="283">
        <f>$B$6</f>
        <v/>
      </c>
      <c r="C158" s="283">
        <f>B158-D158</f>
        <v/>
      </c>
      <c r="D158" s="283">
        <f>E157*$B$4/12</f>
        <v/>
      </c>
      <c r="E158" s="283">
        <f>E157-C158</f>
        <v/>
      </c>
    </row>
    <row r="159" ht="15" customHeight="1" s="160">
      <c r="A159" s="281" t="n">
        <v>151</v>
      </c>
      <c r="B159" s="195">
        <f>$B$6</f>
        <v/>
      </c>
      <c r="C159" s="195">
        <f>B159-D159</f>
        <v/>
      </c>
      <c r="D159" s="195">
        <f>E158*$B$4/12</f>
        <v/>
      </c>
      <c r="E159" s="195">
        <f>E158-C159</f>
        <v/>
      </c>
    </row>
    <row r="160" ht="15" customHeight="1" s="160">
      <c r="A160" s="282" t="n">
        <v>152</v>
      </c>
      <c r="B160" s="283">
        <f>$B$6</f>
        <v/>
      </c>
      <c r="C160" s="283">
        <f>B160-D160</f>
        <v/>
      </c>
      <c r="D160" s="283">
        <f>E159*$B$4/12</f>
        <v/>
      </c>
      <c r="E160" s="283">
        <f>E159-C160</f>
        <v/>
      </c>
    </row>
    <row r="161" ht="15" customHeight="1" s="160">
      <c r="A161" s="281" t="n">
        <v>153</v>
      </c>
      <c r="B161" s="195">
        <f>$B$6</f>
        <v/>
      </c>
      <c r="C161" s="195">
        <f>B161-D161</f>
        <v/>
      </c>
      <c r="D161" s="195">
        <f>E160*$B$4/12</f>
        <v/>
      </c>
      <c r="E161" s="195">
        <f>E160-C161</f>
        <v/>
      </c>
    </row>
    <row r="162" ht="15" customHeight="1" s="160">
      <c r="A162" s="282" t="n">
        <v>154</v>
      </c>
      <c r="B162" s="283">
        <f>$B$6</f>
        <v/>
      </c>
      <c r="C162" s="283">
        <f>B162-D162</f>
        <v/>
      </c>
      <c r="D162" s="283">
        <f>E161*$B$4/12</f>
        <v/>
      </c>
      <c r="E162" s="283">
        <f>E161-C162</f>
        <v/>
      </c>
    </row>
    <row r="163" ht="15" customHeight="1" s="160">
      <c r="A163" s="281" t="n">
        <v>155</v>
      </c>
      <c r="B163" s="195">
        <f>$B$6</f>
        <v/>
      </c>
      <c r="C163" s="195">
        <f>B163-D163</f>
        <v/>
      </c>
      <c r="D163" s="195">
        <f>E162*$B$4/12</f>
        <v/>
      </c>
      <c r="E163" s="195">
        <f>E162-C163</f>
        <v/>
      </c>
    </row>
    <row r="164" ht="15" customHeight="1" s="160">
      <c r="A164" s="282" t="n">
        <v>156</v>
      </c>
      <c r="B164" s="283">
        <f>$B$6</f>
        <v/>
      </c>
      <c r="C164" s="283">
        <f>B164-D164</f>
        <v/>
      </c>
      <c r="D164" s="283">
        <f>E163*$B$4/12</f>
        <v/>
      </c>
      <c r="E164" s="283">
        <f>E163-C164</f>
        <v/>
      </c>
    </row>
    <row r="165" ht="15" customHeight="1" s="160">
      <c r="A165" s="281" t="n">
        <v>157</v>
      </c>
      <c r="B165" s="195">
        <f>$B$6</f>
        <v/>
      </c>
      <c r="C165" s="195">
        <f>B165-D165</f>
        <v/>
      </c>
      <c r="D165" s="195">
        <f>E164*$B$4/12</f>
        <v/>
      </c>
      <c r="E165" s="195">
        <f>E164-C165</f>
        <v/>
      </c>
    </row>
    <row r="166" ht="15" customHeight="1" s="160">
      <c r="A166" s="282" t="n">
        <v>158</v>
      </c>
      <c r="B166" s="283">
        <f>$B$6</f>
        <v/>
      </c>
      <c r="C166" s="283">
        <f>B166-D166</f>
        <v/>
      </c>
      <c r="D166" s="283">
        <f>E165*$B$4/12</f>
        <v/>
      </c>
      <c r="E166" s="283">
        <f>E165-C166</f>
        <v/>
      </c>
    </row>
    <row r="167" ht="15" customHeight="1" s="160">
      <c r="A167" s="281" t="n">
        <v>159</v>
      </c>
      <c r="B167" s="195">
        <f>$B$6</f>
        <v/>
      </c>
      <c r="C167" s="195">
        <f>B167-D167</f>
        <v/>
      </c>
      <c r="D167" s="195">
        <f>E166*$B$4/12</f>
        <v/>
      </c>
      <c r="E167" s="195">
        <f>E166-C167</f>
        <v/>
      </c>
    </row>
    <row r="168" ht="15" customHeight="1" s="160">
      <c r="A168" s="282" t="n">
        <v>160</v>
      </c>
      <c r="B168" s="283">
        <f>$B$6</f>
        <v/>
      </c>
      <c r="C168" s="283">
        <f>B168-D168</f>
        <v/>
      </c>
      <c r="D168" s="283">
        <f>E167*$B$4/12</f>
        <v/>
      </c>
      <c r="E168" s="283">
        <f>E167-C168</f>
        <v/>
      </c>
    </row>
    <row r="169" ht="15" customHeight="1" s="160">
      <c r="A169" s="281" t="n">
        <v>161</v>
      </c>
      <c r="B169" s="195">
        <f>$B$6</f>
        <v/>
      </c>
      <c r="C169" s="195">
        <f>B169-D169</f>
        <v/>
      </c>
      <c r="D169" s="195">
        <f>E168*$B$4/12</f>
        <v/>
      </c>
      <c r="E169" s="195">
        <f>E168-C169</f>
        <v/>
      </c>
    </row>
    <row r="170" ht="15" customHeight="1" s="160">
      <c r="A170" s="282" t="n">
        <v>162</v>
      </c>
      <c r="B170" s="283">
        <f>$B$6</f>
        <v/>
      </c>
      <c r="C170" s="283">
        <f>B170-D170</f>
        <v/>
      </c>
      <c r="D170" s="283">
        <f>E169*$B$4/12</f>
        <v/>
      </c>
      <c r="E170" s="283">
        <f>E169-C170</f>
        <v/>
      </c>
    </row>
    <row r="171" ht="15" customHeight="1" s="160">
      <c r="A171" s="281" t="n">
        <v>163</v>
      </c>
      <c r="B171" s="195">
        <f>$B$6</f>
        <v/>
      </c>
      <c r="C171" s="195">
        <f>B171-D171</f>
        <v/>
      </c>
      <c r="D171" s="195">
        <f>E170*$B$4/12</f>
        <v/>
      </c>
      <c r="E171" s="195">
        <f>E170-C171</f>
        <v/>
      </c>
    </row>
    <row r="172" ht="15" customHeight="1" s="160">
      <c r="A172" s="282" t="n">
        <v>164</v>
      </c>
      <c r="B172" s="283">
        <f>$B$6</f>
        <v/>
      </c>
      <c r="C172" s="283">
        <f>B172-D172</f>
        <v/>
      </c>
      <c r="D172" s="283">
        <f>E171*$B$4/12</f>
        <v/>
      </c>
      <c r="E172" s="283">
        <f>E171-C172</f>
        <v/>
      </c>
    </row>
    <row r="173" ht="15" customHeight="1" s="160">
      <c r="A173" s="281" t="n">
        <v>165</v>
      </c>
      <c r="B173" s="195">
        <f>$B$6</f>
        <v/>
      </c>
      <c r="C173" s="195">
        <f>B173-D173</f>
        <v/>
      </c>
      <c r="D173" s="195">
        <f>E172*$B$4/12</f>
        <v/>
      </c>
      <c r="E173" s="195">
        <f>E172-C173</f>
        <v/>
      </c>
    </row>
    <row r="174" ht="15" customHeight="1" s="160">
      <c r="A174" s="282" t="n">
        <v>166</v>
      </c>
      <c r="B174" s="283">
        <f>$B$6</f>
        <v/>
      </c>
      <c r="C174" s="283">
        <f>B174-D174</f>
        <v/>
      </c>
      <c r="D174" s="283">
        <f>E173*$B$4/12</f>
        <v/>
      </c>
      <c r="E174" s="283">
        <f>E173-C174</f>
        <v/>
      </c>
    </row>
    <row r="175" ht="15" customHeight="1" s="160">
      <c r="A175" s="281" t="n">
        <v>167</v>
      </c>
      <c r="B175" s="195">
        <f>$B$6</f>
        <v/>
      </c>
      <c r="C175" s="195">
        <f>B175-D175</f>
        <v/>
      </c>
      <c r="D175" s="195">
        <f>E174*$B$4/12</f>
        <v/>
      </c>
      <c r="E175" s="195">
        <f>E174-C175</f>
        <v/>
      </c>
    </row>
    <row r="176" ht="15" customHeight="1" s="160">
      <c r="A176" s="282" t="n">
        <v>168</v>
      </c>
      <c r="B176" s="283">
        <f>$B$6</f>
        <v/>
      </c>
      <c r="C176" s="283">
        <f>B176-D176</f>
        <v/>
      </c>
      <c r="D176" s="283">
        <f>E175*$B$4/12</f>
        <v/>
      </c>
      <c r="E176" s="283">
        <f>E175-C176</f>
        <v/>
      </c>
    </row>
    <row r="177" ht="15" customHeight="1" s="160">
      <c r="A177" s="281" t="n">
        <v>169</v>
      </c>
      <c r="B177" s="195">
        <f>$B$6</f>
        <v/>
      </c>
      <c r="C177" s="195">
        <f>B177-D177</f>
        <v/>
      </c>
      <c r="D177" s="195">
        <f>E176*$B$4/12</f>
        <v/>
      </c>
      <c r="E177" s="195">
        <f>E176-C177</f>
        <v/>
      </c>
    </row>
    <row r="178" ht="15" customHeight="1" s="160">
      <c r="A178" s="282" t="n">
        <v>170</v>
      </c>
      <c r="B178" s="283">
        <f>$B$6</f>
        <v/>
      </c>
      <c r="C178" s="283">
        <f>B178-D178</f>
        <v/>
      </c>
      <c r="D178" s="283">
        <f>E177*$B$4/12</f>
        <v/>
      </c>
      <c r="E178" s="283">
        <f>E177-C178</f>
        <v/>
      </c>
    </row>
    <row r="179" ht="15" customHeight="1" s="160">
      <c r="A179" s="281" t="n">
        <v>171</v>
      </c>
      <c r="B179" s="195">
        <f>$B$6</f>
        <v/>
      </c>
      <c r="C179" s="195">
        <f>B179-D179</f>
        <v/>
      </c>
      <c r="D179" s="195">
        <f>E178*$B$4/12</f>
        <v/>
      </c>
      <c r="E179" s="195">
        <f>E178-C179</f>
        <v/>
      </c>
    </row>
    <row r="180" ht="15" customHeight="1" s="160">
      <c r="A180" s="282" t="n">
        <v>172</v>
      </c>
      <c r="B180" s="283">
        <f>$B$6</f>
        <v/>
      </c>
      <c r="C180" s="283">
        <f>B180-D180</f>
        <v/>
      </c>
      <c r="D180" s="283">
        <f>E179*$B$4/12</f>
        <v/>
      </c>
      <c r="E180" s="283">
        <f>E179-C180</f>
        <v/>
      </c>
    </row>
    <row r="181" ht="15" customHeight="1" s="160">
      <c r="A181" s="281" t="n">
        <v>173</v>
      </c>
      <c r="B181" s="195">
        <f>$B$6</f>
        <v/>
      </c>
      <c r="C181" s="195">
        <f>B181-D181</f>
        <v/>
      </c>
      <c r="D181" s="195">
        <f>E180*$B$4/12</f>
        <v/>
      </c>
      <c r="E181" s="195">
        <f>E180-C181</f>
        <v/>
      </c>
    </row>
    <row r="182" ht="15" customHeight="1" s="160">
      <c r="A182" s="282" t="n">
        <v>174</v>
      </c>
      <c r="B182" s="283">
        <f>$B$6</f>
        <v/>
      </c>
      <c r="C182" s="283">
        <f>B182-D182</f>
        <v/>
      </c>
      <c r="D182" s="283">
        <f>E181*$B$4/12</f>
        <v/>
      </c>
      <c r="E182" s="283">
        <f>E181-C182</f>
        <v/>
      </c>
    </row>
    <row r="183" ht="15" customHeight="1" s="160">
      <c r="A183" s="281" t="n">
        <v>175</v>
      </c>
      <c r="B183" s="195">
        <f>$B$6</f>
        <v/>
      </c>
      <c r="C183" s="195">
        <f>B183-D183</f>
        <v/>
      </c>
      <c r="D183" s="195">
        <f>E182*$B$4/12</f>
        <v/>
      </c>
      <c r="E183" s="195">
        <f>E182-C183</f>
        <v/>
      </c>
    </row>
    <row r="184" ht="15" customHeight="1" s="160">
      <c r="A184" s="282" t="n">
        <v>176</v>
      </c>
      <c r="B184" s="283">
        <f>$B$6</f>
        <v/>
      </c>
      <c r="C184" s="283">
        <f>B184-D184</f>
        <v/>
      </c>
      <c r="D184" s="283">
        <f>E183*$B$4/12</f>
        <v/>
      </c>
      <c r="E184" s="283">
        <f>E183-C184</f>
        <v/>
      </c>
    </row>
    <row r="185" ht="15" customHeight="1" s="160">
      <c r="A185" s="281" t="n">
        <v>177</v>
      </c>
      <c r="B185" s="195">
        <f>$B$6</f>
        <v/>
      </c>
      <c r="C185" s="195">
        <f>B185-D185</f>
        <v/>
      </c>
      <c r="D185" s="195">
        <f>E184*$B$4/12</f>
        <v/>
      </c>
      <c r="E185" s="195">
        <f>E184-C185</f>
        <v/>
      </c>
    </row>
    <row r="186" ht="15" customHeight="1" s="160">
      <c r="A186" s="282" t="n">
        <v>178</v>
      </c>
      <c r="B186" s="283">
        <f>$B$6</f>
        <v/>
      </c>
      <c r="C186" s="283">
        <f>B186-D186</f>
        <v/>
      </c>
      <c r="D186" s="283">
        <f>E185*$B$4/12</f>
        <v/>
      </c>
      <c r="E186" s="283">
        <f>E185-C186</f>
        <v/>
      </c>
    </row>
    <row r="187" ht="15" customHeight="1" s="160">
      <c r="A187" s="281" t="n">
        <v>179</v>
      </c>
      <c r="B187" s="195">
        <f>$B$6</f>
        <v/>
      </c>
      <c r="C187" s="195">
        <f>B187-D187</f>
        <v/>
      </c>
      <c r="D187" s="195">
        <f>E186*$B$4/12</f>
        <v/>
      </c>
      <c r="E187" s="195">
        <f>E186-C187</f>
        <v/>
      </c>
    </row>
    <row r="188" ht="15" customHeight="1" s="160">
      <c r="A188" s="282" t="n">
        <v>180</v>
      </c>
      <c r="B188" s="283">
        <f>$B$6</f>
        <v/>
      </c>
      <c r="C188" s="283">
        <f>B188-D188</f>
        <v/>
      </c>
      <c r="D188" s="283">
        <f>E187*$B$4/12</f>
        <v/>
      </c>
      <c r="E188" s="283">
        <f>E187-C188</f>
        <v/>
      </c>
    </row>
    <row r="189" ht="15" customHeight="1" s="160">
      <c r="A189" s="281" t="n">
        <v>181</v>
      </c>
      <c r="B189" s="195">
        <f>$B$6</f>
        <v/>
      </c>
      <c r="C189" s="195">
        <f>B189-D189</f>
        <v/>
      </c>
      <c r="D189" s="195">
        <f>E188*$B$4/12</f>
        <v/>
      </c>
      <c r="E189" s="195">
        <f>E188-C189</f>
        <v/>
      </c>
    </row>
    <row r="190" ht="15" customHeight="1" s="160">
      <c r="A190" s="282" t="n">
        <v>182</v>
      </c>
      <c r="B190" s="283">
        <f>$B$6</f>
        <v/>
      </c>
      <c r="C190" s="283">
        <f>B190-D190</f>
        <v/>
      </c>
      <c r="D190" s="283">
        <f>E189*$B$4/12</f>
        <v/>
      </c>
      <c r="E190" s="283">
        <f>E189-C190</f>
        <v/>
      </c>
    </row>
    <row r="191" ht="15" customHeight="1" s="160">
      <c r="A191" s="281" t="n">
        <v>183</v>
      </c>
      <c r="B191" s="195">
        <f>$B$6</f>
        <v/>
      </c>
      <c r="C191" s="195">
        <f>B191-D191</f>
        <v/>
      </c>
      <c r="D191" s="195">
        <f>E190*$B$4/12</f>
        <v/>
      </c>
      <c r="E191" s="195">
        <f>E190-C191</f>
        <v/>
      </c>
    </row>
    <row r="192" ht="15" customHeight="1" s="160">
      <c r="A192" s="282" t="n">
        <v>184</v>
      </c>
      <c r="B192" s="283">
        <f>$B$6</f>
        <v/>
      </c>
      <c r="C192" s="283">
        <f>B192-D192</f>
        <v/>
      </c>
      <c r="D192" s="283">
        <f>E191*$B$4/12</f>
        <v/>
      </c>
      <c r="E192" s="283">
        <f>E191-C192</f>
        <v/>
      </c>
    </row>
    <row r="193" ht="15" customHeight="1" s="160">
      <c r="A193" s="281" t="n">
        <v>185</v>
      </c>
      <c r="B193" s="195">
        <f>$B$6</f>
        <v/>
      </c>
      <c r="C193" s="195">
        <f>B193-D193</f>
        <v/>
      </c>
      <c r="D193" s="195">
        <f>E192*$B$4/12</f>
        <v/>
      </c>
      <c r="E193" s="195">
        <f>E192-C193</f>
        <v/>
      </c>
    </row>
    <row r="194" ht="15" customHeight="1" s="160">
      <c r="A194" s="282" t="n">
        <v>186</v>
      </c>
      <c r="B194" s="283">
        <f>$B$6</f>
        <v/>
      </c>
      <c r="C194" s="283">
        <f>B194-D194</f>
        <v/>
      </c>
      <c r="D194" s="283">
        <f>E193*$B$4/12</f>
        <v/>
      </c>
      <c r="E194" s="283">
        <f>E193-C194</f>
        <v/>
      </c>
    </row>
    <row r="195" ht="15" customHeight="1" s="160">
      <c r="A195" s="281" t="n">
        <v>187</v>
      </c>
      <c r="B195" s="195">
        <f>$B$6</f>
        <v/>
      </c>
      <c r="C195" s="195">
        <f>B195-D195</f>
        <v/>
      </c>
      <c r="D195" s="195">
        <f>E194*$B$4/12</f>
        <v/>
      </c>
      <c r="E195" s="195">
        <f>E194-C195</f>
        <v/>
      </c>
    </row>
    <row r="196" ht="15" customHeight="1" s="160">
      <c r="A196" s="282" t="n">
        <v>188</v>
      </c>
      <c r="B196" s="283">
        <f>$B$6</f>
        <v/>
      </c>
      <c r="C196" s="283">
        <f>B196-D196</f>
        <v/>
      </c>
      <c r="D196" s="283">
        <f>E195*$B$4/12</f>
        <v/>
      </c>
      <c r="E196" s="283">
        <f>E195-C196</f>
        <v/>
      </c>
    </row>
    <row r="197" ht="15" customHeight="1" s="160">
      <c r="A197" s="281" t="n">
        <v>189</v>
      </c>
      <c r="B197" s="195">
        <f>$B$6</f>
        <v/>
      </c>
      <c r="C197" s="195">
        <f>B197-D197</f>
        <v/>
      </c>
      <c r="D197" s="195">
        <f>E196*$B$4/12</f>
        <v/>
      </c>
      <c r="E197" s="195">
        <f>E196-C197</f>
        <v/>
      </c>
    </row>
    <row r="198" ht="15" customHeight="1" s="160">
      <c r="A198" s="282" t="n">
        <v>190</v>
      </c>
      <c r="B198" s="283">
        <f>$B$6</f>
        <v/>
      </c>
      <c r="C198" s="283">
        <f>B198-D198</f>
        <v/>
      </c>
      <c r="D198" s="283">
        <f>E197*$B$4/12</f>
        <v/>
      </c>
      <c r="E198" s="283">
        <f>E197-C198</f>
        <v/>
      </c>
    </row>
    <row r="199" ht="15" customHeight="1" s="160">
      <c r="A199" s="281" t="n">
        <v>191</v>
      </c>
      <c r="B199" s="195">
        <f>$B$6</f>
        <v/>
      </c>
      <c r="C199" s="195">
        <f>B199-D199</f>
        <v/>
      </c>
      <c r="D199" s="195">
        <f>E198*$B$4/12</f>
        <v/>
      </c>
      <c r="E199" s="195">
        <f>E198-C199</f>
        <v/>
      </c>
    </row>
    <row r="200" ht="15" customHeight="1" s="160">
      <c r="A200" s="282" t="n">
        <v>192</v>
      </c>
      <c r="B200" s="283">
        <f>$B$6</f>
        <v/>
      </c>
      <c r="C200" s="283">
        <f>B200-D200</f>
        <v/>
      </c>
      <c r="D200" s="283">
        <f>E199*$B$4/12</f>
        <v/>
      </c>
      <c r="E200" s="283">
        <f>E199-C200</f>
        <v/>
      </c>
    </row>
    <row r="201" ht="15" customHeight="1" s="160">
      <c r="A201" s="281" t="n">
        <v>193</v>
      </c>
      <c r="B201" s="195">
        <f>$B$6</f>
        <v/>
      </c>
      <c r="C201" s="195">
        <f>B201-D201</f>
        <v/>
      </c>
      <c r="D201" s="195">
        <f>E200*$B$4/12</f>
        <v/>
      </c>
      <c r="E201" s="195">
        <f>E200-C201</f>
        <v/>
      </c>
    </row>
    <row r="202" ht="15" customHeight="1" s="160">
      <c r="A202" s="282" t="n">
        <v>194</v>
      </c>
      <c r="B202" s="283">
        <f>$B$6</f>
        <v/>
      </c>
      <c r="C202" s="283">
        <f>B202-D202</f>
        <v/>
      </c>
      <c r="D202" s="283">
        <f>E201*$B$4/12</f>
        <v/>
      </c>
      <c r="E202" s="283">
        <f>E201-C202</f>
        <v/>
      </c>
    </row>
    <row r="203" ht="15" customHeight="1" s="160">
      <c r="A203" s="281" t="n">
        <v>195</v>
      </c>
      <c r="B203" s="195">
        <f>$B$6</f>
        <v/>
      </c>
      <c r="C203" s="195">
        <f>B203-D203</f>
        <v/>
      </c>
      <c r="D203" s="195">
        <f>E202*$B$4/12</f>
        <v/>
      </c>
      <c r="E203" s="195">
        <f>E202-C203</f>
        <v/>
      </c>
    </row>
    <row r="204" ht="15" customHeight="1" s="160">
      <c r="A204" s="282" t="n">
        <v>196</v>
      </c>
      <c r="B204" s="283">
        <f>$B$6</f>
        <v/>
      </c>
      <c r="C204" s="283">
        <f>B204-D204</f>
        <v/>
      </c>
      <c r="D204" s="283">
        <f>E203*$B$4/12</f>
        <v/>
      </c>
      <c r="E204" s="283">
        <f>E203-C204</f>
        <v/>
      </c>
    </row>
    <row r="205" ht="15" customHeight="1" s="160">
      <c r="A205" s="281" t="n">
        <v>197</v>
      </c>
      <c r="B205" s="195">
        <f>$B$6</f>
        <v/>
      </c>
      <c r="C205" s="195">
        <f>B205-D205</f>
        <v/>
      </c>
      <c r="D205" s="195">
        <f>E204*$B$4/12</f>
        <v/>
      </c>
      <c r="E205" s="195">
        <f>E204-C205</f>
        <v/>
      </c>
    </row>
    <row r="206" ht="15" customHeight="1" s="160">
      <c r="A206" s="282" t="n">
        <v>198</v>
      </c>
      <c r="B206" s="283">
        <f>$B$6</f>
        <v/>
      </c>
      <c r="C206" s="283">
        <f>B206-D206</f>
        <v/>
      </c>
      <c r="D206" s="283">
        <f>E205*$B$4/12</f>
        <v/>
      </c>
      <c r="E206" s="283">
        <f>E205-C206</f>
        <v/>
      </c>
    </row>
    <row r="207" ht="15" customHeight="1" s="160">
      <c r="A207" s="281" t="n">
        <v>199</v>
      </c>
      <c r="B207" s="195">
        <f>$B$6</f>
        <v/>
      </c>
      <c r="C207" s="195">
        <f>B207-D207</f>
        <v/>
      </c>
      <c r="D207" s="195">
        <f>E206*$B$4/12</f>
        <v/>
      </c>
      <c r="E207" s="195">
        <f>E206-C207</f>
        <v/>
      </c>
    </row>
    <row r="208" ht="15" customHeight="1" s="160">
      <c r="A208" s="282" t="n">
        <v>200</v>
      </c>
      <c r="B208" s="283">
        <f>$B$6</f>
        <v/>
      </c>
      <c r="C208" s="283">
        <f>B208-D208</f>
        <v/>
      </c>
      <c r="D208" s="283">
        <f>E207*$B$4/12</f>
        <v/>
      </c>
      <c r="E208" s="283">
        <f>E207-C208</f>
        <v/>
      </c>
    </row>
    <row r="209" ht="15" customHeight="1" s="160">
      <c r="A209" s="281" t="n">
        <v>201</v>
      </c>
      <c r="B209" s="195">
        <f>$B$6</f>
        <v/>
      </c>
      <c r="C209" s="195">
        <f>B209-D209</f>
        <v/>
      </c>
      <c r="D209" s="195">
        <f>E208*$B$4/12</f>
        <v/>
      </c>
      <c r="E209" s="195">
        <f>E208-C209</f>
        <v/>
      </c>
    </row>
    <row r="210" ht="15" customHeight="1" s="160">
      <c r="A210" s="282" t="n">
        <v>202</v>
      </c>
      <c r="B210" s="283">
        <f>$B$6</f>
        <v/>
      </c>
      <c r="C210" s="283">
        <f>B210-D210</f>
        <v/>
      </c>
      <c r="D210" s="283">
        <f>E209*$B$4/12</f>
        <v/>
      </c>
      <c r="E210" s="283">
        <f>E209-C210</f>
        <v/>
      </c>
    </row>
    <row r="211" ht="15" customHeight="1" s="160">
      <c r="A211" s="281" t="n">
        <v>203</v>
      </c>
      <c r="B211" s="195">
        <f>$B$6</f>
        <v/>
      </c>
      <c r="C211" s="195">
        <f>B211-D211</f>
        <v/>
      </c>
      <c r="D211" s="195">
        <f>E210*$B$4/12</f>
        <v/>
      </c>
      <c r="E211" s="195">
        <f>E210-C211</f>
        <v/>
      </c>
    </row>
    <row r="212" ht="15" customHeight="1" s="160">
      <c r="A212" s="282" t="n">
        <v>204</v>
      </c>
      <c r="B212" s="283">
        <f>$B$6</f>
        <v/>
      </c>
      <c r="C212" s="283">
        <f>B212-D212</f>
        <v/>
      </c>
      <c r="D212" s="283">
        <f>E211*$B$4/12</f>
        <v/>
      </c>
      <c r="E212" s="283">
        <f>E211-C212</f>
        <v/>
      </c>
    </row>
    <row r="213" ht="15" customHeight="1" s="160">
      <c r="A213" s="281" t="n">
        <v>205</v>
      </c>
      <c r="B213" s="195">
        <f>$B$6</f>
        <v/>
      </c>
      <c r="C213" s="195">
        <f>B213-D213</f>
        <v/>
      </c>
      <c r="D213" s="195">
        <f>E212*$B$4/12</f>
        <v/>
      </c>
      <c r="E213" s="195">
        <f>E212-C213</f>
        <v/>
      </c>
    </row>
    <row r="214" ht="15" customHeight="1" s="160">
      <c r="A214" s="282" t="n">
        <v>206</v>
      </c>
      <c r="B214" s="283">
        <f>$B$6</f>
        <v/>
      </c>
      <c r="C214" s="283">
        <f>B214-D214</f>
        <v/>
      </c>
      <c r="D214" s="283">
        <f>E213*$B$4/12</f>
        <v/>
      </c>
      <c r="E214" s="283">
        <f>E213-C214</f>
        <v/>
      </c>
    </row>
    <row r="215" ht="15" customHeight="1" s="160">
      <c r="A215" s="281" t="n">
        <v>207</v>
      </c>
      <c r="B215" s="195">
        <f>$B$6</f>
        <v/>
      </c>
      <c r="C215" s="195">
        <f>B215-D215</f>
        <v/>
      </c>
      <c r="D215" s="195">
        <f>E214*$B$4/12</f>
        <v/>
      </c>
      <c r="E215" s="195">
        <f>E214-C215</f>
        <v/>
      </c>
    </row>
    <row r="216" ht="15" customHeight="1" s="160">
      <c r="A216" s="282" t="n">
        <v>208</v>
      </c>
      <c r="B216" s="283">
        <f>$B$6</f>
        <v/>
      </c>
      <c r="C216" s="283">
        <f>B216-D216</f>
        <v/>
      </c>
      <c r="D216" s="283">
        <f>E215*$B$4/12</f>
        <v/>
      </c>
      <c r="E216" s="283">
        <f>E215-C216</f>
        <v/>
      </c>
    </row>
    <row r="217" ht="15" customHeight="1" s="160">
      <c r="A217" s="281" t="n">
        <v>209</v>
      </c>
      <c r="B217" s="195">
        <f>$B$6</f>
        <v/>
      </c>
      <c r="C217" s="195">
        <f>B217-D217</f>
        <v/>
      </c>
      <c r="D217" s="195">
        <f>E216*$B$4/12</f>
        <v/>
      </c>
      <c r="E217" s="195">
        <f>E216-C217</f>
        <v/>
      </c>
    </row>
    <row r="218" ht="15" customHeight="1" s="160">
      <c r="A218" s="282" t="n">
        <v>210</v>
      </c>
      <c r="B218" s="283">
        <f>$B$6</f>
        <v/>
      </c>
      <c r="C218" s="283">
        <f>B218-D218</f>
        <v/>
      </c>
      <c r="D218" s="283">
        <f>E217*$B$4/12</f>
        <v/>
      </c>
      <c r="E218" s="283">
        <f>E217-C218</f>
        <v/>
      </c>
    </row>
    <row r="219" ht="15" customHeight="1" s="160">
      <c r="A219" s="281" t="n">
        <v>211</v>
      </c>
      <c r="B219" s="195">
        <f>$B$6</f>
        <v/>
      </c>
      <c r="C219" s="195">
        <f>B219-D219</f>
        <v/>
      </c>
      <c r="D219" s="195">
        <f>E218*$B$4/12</f>
        <v/>
      </c>
      <c r="E219" s="195">
        <f>E218-C219</f>
        <v/>
      </c>
    </row>
    <row r="220" ht="15" customHeight="1" s="160">
      <c r="A220" s="282" t="n">
        <v>212</v>
      </c>
      <c r="B220" s="283">
        <f>$B$6</f>
        <v/>
      </c>
      <c r="C220" s="283">
        <f>B220-D220</f>
        <v/>
      </c>
      <c r="D220" s="283">
        <f>E219*$B$4/12</f>
        <v/>
      </c>
      <c r="E220" s="283">
        <f>E219-C220</f>
        <v/>
      </c>
    </row>
    <row r="221" ht="15" customHeight="1" s="160">
      <c r="A221" s="281" t="n">
        <v>213</v>
      </c>
      <c r="B221" s="195">
        <f>$B$6</f>
        <v/>
      </c>
      <c r="C221" s="195">
        <f>B221-D221</f>
        <v/>
      </c>
      <c r="D221" s="195">
        <f>E220*$B$4/12</f>
        <v/>
      </c>
      <c r="E221" s="195">
        <f>E220-C221</f>
        <v/>
      </c>
    </row>
    <row r="222" ht="15" customHeight="1" s="160">
      <c r="A222" s="282" t="n">
        <v>214</v>
      </c>
      <c r="B222" s="283">
        <f>$B$6</f>
        <v/>
      </c>
      <c r="C222" s="283">
        <f>B222-D222</f>
        <v/>
      </c>
      <c r="D222" s="283">
        <f>E221*$B$4/12</f>
        <v/>
      </c>
      <c r="E222" s="283">
        <f>E221-C222</f>
        <v/>
      </c>
    </row>
    <row r="223" ht="15" customHeight="1" s="160">
      <c r="A223" s="281" t="n">
        <v>215</v>
      </c>
      <c r="B223" s="195">
        <f>$B$6</f>
        <v/>
      </c>
      <c r="C223" s="195">
        <f>B223-D223</f>
        <v/>
      </c>
      <c r="D223" s="195">
        <f>E222*$B$4/12</f>
        <v/>
      </c>
      <c r="E223" s="195">
        <f>E222-C223</f>
        <v/>
      </c>
    </row>
    <row r="224" ht="15" customHeight="1" s="160">
      <c r="A224" s="282" t="n">
        <v>216</v>
      </c>
      <c r="B224" s="283">
        <f>$B$6</f>
        <v/>
      </c>
      <c r="C224" s="283">
        <f>B224-D224</f>
        <v/>
      </c>
      <c r="D224" s="283">
        <f>E223*$B$4/12</f>
        <v/>
      </c>
      <c r="E224" s="283">
        <f>E223-C224</f>
        <v/>
      </c>
    </row>
    <row r="225" ht="15" customHeight="1" s="160">
      <c r="A225" s="281" t="n">
        <v>217</v>
      </c>
      <c r="B225" s="195">
        <f>$B$6</f>
        <v/>
      </c>
      <c r="C225" s="195">
        <f>B225-D225</f>
        <v/>
      </c>
      <c r="D225" s="195">
        <f>E224*$B$4/12</f>
        <v/>
      </c>
      <c r="E225" s="195">
        <f>E224-C225</f>
        <v/>
      </c>
    </row>
    <row r="226" ht="15" customHeight="1" s="160">
      <c r="A226" s="282" t="n">
        <v>218</v>
      </c>
      <c r="B226" s="283">
        <f>$B$6</f>
        <v/>
      </c>
      <c r="C226" s="283">
        <f>B226-D226</f>
        <v/>
      </c>
      <c r="D226" s="283">
        <f>E225*$B$4/12</f>
        <v/>
      </c>
      <c r="E226" s="283">
        <f>E225-C226</f>
        <v/>
      </c>
    </row>
    <row r="227" ht="15" customHeight="1" s="160">
      <c r="A227" s="281" t="n">
        <v>219</v>
      </c>
      <c r="B227" s="195">
        <f>$B$6</f>
        <v/>
      </c>
      <c r="C227" s="195">
        <f>B227-D227</f>
        <v/>
      </c>
      <c r="D227" s="195">
        <f>E226*$B$4/12</f>
        <v/>
      </c>
      <c r="E227" s="195">
        <f>E226-C227</f>
        <v/>
      </c>
    </row>
    <row r="228" ht="15" customHeight="1" s="160">
      <c r="A228" s="282" t="n">
        <v>220</v>
      </c>
      <c r="B228" s="283">
        <f>$B$6</f>
        <v/>
      </c>
      <c r="C228" s="283">
        <f>B228-D228</f>
        <v/>
      </c>
      <c r="D228" s="283">
        <f>E227*$B$4/12</f>
        <v/>
      </c>
      <c r="E228" s="283">
        <f>E227-C228</f>
        <v/>
      </c>
    </row>
    <row r="229" ht="15" customHeight="1" s="160">
      <c r="A229" s="281" t="n">
        <v>221</v>
      </c>
      <c r="B229" s="195">
        <f>$B$6</f>
        <v/>
      </c>
      <c r="C229" s="195">
        <f>B229-D229</f>
        <v/>
      </c>
      <c r="D229" s="195">
        <f>E228*$B$4/12</f>
        <v/>
      </c>
      <c r="E229" s="195">
        <f>E228-C229</f>
        <v/>
      </c>
    </row>
    <row r="230" ht="15" customHeight="1" s="160">
      <c r="A230" s="282" t="n">
        <v>222</v>
      </c>
      <c r="B230" s="283">
        <f>$B$6</f>
        <v/>
      </c>
      <c r="C230" s="283">
        <f>B230-D230</f>
        <v/>
      </c>
      <c r="D230" s="283">
        <f>E229*$B$4/12</f>
        <v/>
      </c>
      <c r="E230" s="283">
        <f>E229-C230</f>
        <v/>
      </c>
    </row>
    <row r="231" ht="15" customHeight="1" s="160">
      <c r="A231" s="281" t="n">
        <v>223</v>
      </c>
      <c r="B231" s="195">
        <f>$B$6</f>
        <v/>
      </c>
      <c r="C231" s="195">
        <f>B231-D231</f>
        <v/>
      </c>
      <c r="D231" s="195">
        <f>E230*$B$4/12</f>
        <v/>
      </c>
      <c r="E231" s="195">
        <f>E230-C231</f>
        <v/>
      </c>
    </row>
    <row r="232" ht="15" customHeight="1" s="160">
      <c r="A232" s="282" t="n">
        <v>224</v>
      </c>
      <c r="B232" s="283">
        <f>$B$6</f>
        <v/>
      </c>
      <c r="C232" s="283">
        <f>B232-D232</f>
        <v/>
      </c>
      <c r="D232" s="283">
        <f>E231*$B$4/12</f>
        <v/>
      </c>
      <c r="E232" s="283">
        <f>E231-C232</f>
        <v/>
      </c>
    </row>
    <row r="233" ht="15" customHeight="1" s="160">
      <c r="A233" s="281" t="n">
        <v>225</v>
      </c>
      <c r="B233" s="195">
        <f>$B$6</f>
        <v/>
      </c>
      <c r="C233" s="195">
        <f>B233-D233</f>
        <v/>
      </c>
      <c r="D233" s="195">
        <f>E232*$B$4/12</f>
        <v/>
      </c>
      <c r="E233" s="195">
        <f>E232-C233</f>
        <v/>
      </c>
    </row>
    <row r="234" ht="15" customHeight="1" s="160">
      <c r="A234" s="282" t="n">
        <v>226</v>
      </c>
      <c r="B234" s="283">
        <f>$B$6</f>
        <v/>
      </c>
      <c r="C234" s="283">
        <f>B234-D234</f>
        <v/>
      </c>
      <c r="D234" s="283">
        <f>E233*$B$4/12</f>
        <v/>
      </c>
      <c r="E234" s="283">
        <f>E233-C234</f>
        <v/>
      </c>
    </row>
    <row r="235" ht="15" customHeight="1" s="160">
      <c r="A235" s="281" t="n">
        <v>227</v>
      </c>
      <c r="B235" s="195">
        <f>$B$6</f>
        <v/>
      </c>
      <c r="C235" s="195">
        <f>B235-D235</f>
        <v/>
      </c>
      <c r="D235" s="195">
        <f>E234*$B$4/12</f>
        <v/>
      </c>
      <c r="E235" s="195">
        <f>E234-C235</f>
        <v/>
      </c>
    </row>
    <row r="236" ht="15" customHeight="1" s="160">
      <c r="A236" s="282" t="n">
        <v>228</v>
      </c>
      <c r="B236" s="283">
        <f>$B$6</f>
        <v/>
      </c>
      <c r="C236" s="283">
        <f>B236-D236</f>
        <v/>
      </c>
      <c r="D236" s="283">
        <f>E235*$B$4/12</f>
        <v/>
      </c>
      <c r="E236" s="283">
        <f>E235-C236</f>
        <v/>
      </c>
    </row>
    <row r="237" ht="15" customHeight="1" s="160">
      <c r="A237" s="281" t="n">
        <v>229</v>
      </c>
      <c r="B237" s="195">
        <f>$B$6</f>
        <v/>
      </c>
      <c r="C237" s="195">
        <f>B237-D237</f>
        <v/>
      </c>
      <c r="D237" s="195">
        <f>E236*$B$4/12</f>
        <v/>
      </c>
      <c r="E237" s="195">
        <f>E236-C237</f>
        <v/>
      </c>
    </row>
    <row r="238" ht="15" customHeight="1" s="160">
      <c r="A238" s="282" t="n">
        <v>230</v>
      </c>
      <c r="B238" s="283">
        <f>$B$6</f>
        <v/>
      </c>
      <c r="C238" s="283">
        <f>B238-D238</f>
        <v/>
      </c>
      <c r="D238" s="283">
        <f>E237*$B$4/12</f>
        <v/>
      </c>
      <c r="E238" s="283">
        <f>E237-C238</f>
        <v/>
      </c>
    </row>
    <row r="239" ht="15" customHeight="1" s="160">
      <c r="A239" s="281" t="n">
        <v>231</v>
      </c>
      <c r="B239" s="195">
        <f>$B$6</f>
        <v/>
      </c>
      <c r="C239" s="195">
        <f>B239-D239</f>
        <v/>
      </c>
      <c r="D239" s="195">
        <f>E238*$B$4/12</f>
        <v/>
      </c>
      <c r="E239" s="195">
        <f>E238-C239</f>
        <v/>
      </c>
    </row>
    <row r="240" ht="15" customHeight="1" s="160">
      <c r="A240" s="282" t="n">
        <v>232</v>
      </c>
      <c r="B240" s="283">
        <f>$B$6</f>
        <v/>
      </c>
      <c r="C240" s="283">
        <f>B240-D240</f>
        <v/>
      </c>
      <c r="D240" s="283">
        <f>E239*$B$4/12</f>
        <v/>
      </c>
      <c r="E240" s="283">
        <f>E239-C240</f>
        <v/>
      </c>
    </row>
    <row r="241" ht="15" customHeight="1" s="160">
      <c r="A241" s="281" t="n">
        <v>233</v>
      </c>
      <c r="B241" s="195">
        <f>$B$6</f>
        <v/>
      </c>
      <c r="C241" s="195">
        <f>B241-D241</f>
        <v/>
      </c>
      <c r="D241" s="195">
        <f>E240*$B$4/12</f>
        <v/>
      </c>
      <c r="E241" s="195">
        <f>E240-C241</f>
        <v/>
      </c>
    </row>
    <row r="242" ht="15" customHeight="1" s="160">
      <c r="A242" s="282" t="n">
        <v>234</v>
      </c>
      <c r="B242" s="283">
        <f>$B$6</f>
        <v/>
      </c>
      <c r="C242" s="283">
        <f>B242-D242</f>
        <v/>
      </c>
      <c r="D242" s="283">
        <f>E241*$B$4/12</f>
        <v/>
      </c>
      <c r="E242" s="283">
        <f>E241-C242</f>
        <v/>
      </c>
    </row>
    <row r="243" ht="15" customHeight="1" s="160">
      <c r="A243" s="281" t="n">
        <v>235</v>
      </c>
      <c r="B243" s="195">
        <f>$B$6</f>
        <v/>
      </c>
      <c r="C243" s="195">
        <f>B243-D243</f>
        <v/>
      </c>
      <c r="D243" s="195">
        <f>E242*$B$4/12</f>
        <v/>
      </c>
      <c r="E243" s="195">
        <f>E242-C243</f>
        <v/>
      </c>
    </row>
    <row r="244" ht="15" customHeight="1" s="160">
      <c r="A244" s="282" t="n">
        <v>236</v>
      </c>
      <c r="B244" s="283">
        <f>$B$6</f>
        <v/>
      </c>
      <c r="C244" s="283">
        <f>B244-D244</f>
        <v/>
      </c>
      <c r="D244" s="283">
        <f>E243*$B$4/12</f>
        <v/>
      </c>
      <c r="E244" s="283">
        <f>E243-C244</f>
        <v/>
      </c>
    </row>
    <row r="245" ht="15" customHeight="1" s="160">
      <c r="A245" s="281" t="n">
        <v>237</v>
      </c>
      <c r="B245" s="195">
        <f>$B$6</f>
        <v/>
      </c>
      <c r="C245" s="195">
        <f>B245-D245</f>
        <v/>
      </c>
      <c r="D245" s="195">
        <f>E244*$B$4/12</f>
        <v/>
      </c>
      <c r="E245" s="195">
        <f>E244-C245</f>
        <v/>
      </c>
    </row>
    <row r="246" ht="15" customHeight="1" s="160">
      <c r="A246" s="282" t="n">
        <v>238</v>
      </c>
      <c r="B246" s="283">
        <f>$B$6</f>
        <v/>
      </c>
      <c r="C246" s="283">
        <f>B246-D246</f>
        <v/>
      </c>
      <c r="D246" s="283">
        <f>E245*$B$4/12</f>
        <v/>
      </c>
      <c r="E246" s="283">
        <f>E245-C246</f>
        <v/>
      </c>
    </row>
    <row r="247" ht="15" customHeight="1" s="160">
      <c r="A247" s="281" t="n">
        <v>239</v>
      </c>
      <c r="B247" s="195">
        <f>$B$6</f>
        <v/>
      </c>
      <c r="C247" s="195">
        <f>B247-D247</f>
        <v/>
      </c>
      <c r="D247" s="195">
        <f>E246*$B$4/12</f>
        <v/>
      </c>
      <c r="E247" s="195">
        <f>E246-C247</f>
        <v/>
      </c>
    </row>
    <row r="248" ht="15" customHeight="1" s="160">
      <c r="A248" s="282" t="n">
        <v>240</v>
      </c>
      <c r="B248" s="283">
        <f>$B$6</f>
        <v/>
      </c>
      <c r="C248" s="283">
        <f>B248-D248</f>
        <v/>
      </c>
      <c r="D248" s="283">
        <f>E247*$B$4/12</f>
        <v/>
      </c>
      <c r="E248" s="283">
        <f>E247-C248</f>
        <v/>
      </c>
    </row>
    <row r="249" ht="15" customHeight="1" s="160">
      <c r="A249" s="281" t="n">
        <v>241</v>
      </c>
      <c r="B249" s="195">
        <f>$B$6</f>
        <v/>
      </c>
      <c r="C249" s="195">
        <f>B249-D249</f>
        <v/>
      </c>
      <c r="D249" s="195">
        <f>E248*$B$4/12</f>
        <v/>
      </c>
      <c r="E249" s="195">
        <f>E248-C249</f>
        <v/>
      </c>
    </row>
    <row r="250" ht="15" customHeight="1" s="160">
      <c r="A250" s="282" t="n">
        <v>242</v>
      </c>
      <c r="B250" s="283">
        <f>$B$6</f>
        <v/>
      </c>
      <c r="C250" s="283">
        <f>B250-D250</f>
        <v/>
      </c>
      <c r="D250" s="283">
        <f>E249*$B$4/12</f>
        <v/>
      </c>
      <c r="E250" s="283">
        <f>E249-C250</f>
        <v/>
      </c>
    </row>
    <row r="251" ht="15" customHeight="1" s="160">
      <c r="A251" s="281" t="n">
        <v>243</v>
      </c>
      <c r="B251" s="195">
        <f>$B$6</f>
        <v/>
      </c>
      <c r="C251" s="195">
        <f>B251-D251</f>
        <v/>
      </c>
      <c r="D251" s="195">
        <f>E250*$B$4/12</f>
        <v/>
      </c>
      <c r="E251" s="195">
        <f>E250-C251</f>
        <v/>
      </c>
    </row>
    <row r="252" ht="15" customHeight="1" s="160">
      <c r="A252" s="282" t="n">
        <v>244</v>
      </c>
      <c r="B252" s="283">
        <f>$B$6</f>
        <v/>
      </c>
      <c r="C252" s="283">
        <f>B252-D252</f>
        <v/>
      </c>
      <c r="D252" s="283">
        <f>E251*$B$4/12</f>
        <v/>
      </c>
      <c r="E252" s="283">
        <f>E251-C252</f>
        <v/>
      </c>
    </row>
    <row r="253" ht="15" customHeight="1" s="160">
      <c r="A253" s="281" t="n">
        <v>245</v>
      </c>
      <c r="B253" s="195">
        <f>$B$6</f>
        <v/>
      </c>
      <c r="C253" s="195">
        <f>B253-D253</f>
        <v/>
      </c>
      <c r="D253" s="195">
        <f>E252*$B$4/12</f>
        <v/>
      </c>
      <c r="E253" s="195">
        <f>E252-C253</f>
        <v/>
      </c>
    </row>
    <row r="254" ht="15" customHeight="1" s="160">
      <c r="A254" s="282" t="n">
        <v>246</v>
      </c>
      <c r="B254" s="283">
        <f>$B$6</f>
        <v/>
      </c>
      <c r="C254" s="283">
        <f>B254-D254</f>
        <v/>
      </c>
      <c r="D254" s="283">
        <f>E253*$B$4/12</f>
        <v/>
      </c>
      <c r="E254" s="283">
        <f>E253-C254</f>
        <v/>
      </c>
    </row>
    <row r="255" ht="15" customHeight="1" s="160">
      <c r="A255" s="281" t="n">
        <v>247</v>
      </c>
      <c r="B255" s="195">
        <f>$B$6</f>
        <v/>
      </c>
      <c r="C255" s="195">
        <f>B255-D255</f>
        <v/>
      </c>
      <c r="D255" s="195">
        <f>E254*$B$4/12</f>
        <v/>
      </c>
      <c r="E255" s="195">
        <f>E254-C255</f>
        <v/>
      </c>
    </row>
    <row r="256" ht="15" customHeight="1" s="160">
      <c r="A256" s="282" t="n">
        <v>248</v>
      </c>
      <c r="B256" s="283">
        <f>$B$6</f>
        <v/>
      </c>
      <c r="C256" s="283">
        <f>B256-D256</f>
        <v/>
      </c>
      <c r="D256" s="283">
        <f>E255*$B$4/12</f>
        <v/>
      </c>
      <c r="E256" s="283">
        <f>E255-C256</f>
        <v/>
      </c>
    </row>
    <row r="257" ht="15" customHeight="1" s="160">
      <c r="A257" s="281" t="n">
        <v>249</v>
      </c>
      <c r="B257" s="195">
        <f>$B$6</f>
        <v/>
      </c>
      <c r="C257" s="195">
        <f>B257-D257</f>
        <v/>
      </c>
      <c r="D257" s="195">
        <f>E256*$B$4/12</f>
        <v/>
      </c>
      <c r="E257" s="195">
        <f>E256-C257</f>
        <v/>
      </c>
    </row>
    <row r="258" ht="15" customHeight="1" s="160">
      <c r="A258" s="282" t="n">
        <v>250</v>
      </c>
      <c r="B258" s="283">
        <f>$B$6</f>
        <v/>
      </c>
      <c r="C258" s="283">
        <f>B258-D258</f>
        <v/>
      </c>
      <c r="D258" s="283">
        <f>E257*$B$4/12</f>
        <v/>
      </c>
      <c r="E258" s="283">
        <f>E257-C258</f>
        <v/>
      </c>
    </row>
    <row r="259" ht="15" customHeight="1" s="160">
      <c r="A259" s="281" t="n">
        <v>251</v>
      </c>
      <c r="B259" s="195">
        <f>$B$6</f>
        <v/>
      </c>
      <c r="C259" s="195">
        <f>B259-D259</f>
        <v/>
      </c>
      <c r="D259" s="195">
        <f>E258*$B$4/12</f>
        <v/>
      </c>
      <c r="E259" s="195">
        <f>E258-C259</f>
        <v/>
      </c>
    </row>
    <row r="260" ht="15" customHeight="1" s="160">
      <c r="A260" s="282" t="n">
        <v>252</v>
      </c>
      <c r="B260" s="283">
        <f>$B$6</f>
        <v/>
      </c>
      <c r="C260" s="283">
        <f>B260-D260</f>
        <v/>
      </c>
      <c r="D260" s="283">
        <f>E259*$B$4/12</f>
        <v/>
      </c>
      <c r="E260" s="283">
        <f>E259-C260</f>
        <v/>
      </c>
    </row>
    <row r="261" ht="15" customHeight="1" s="160">
      <c r="A261" s="281" t="n">
        <v>253</v>
      </c>
      <c r="B261" s="195">
        <f>$B$6</f>
        <v/>
      </c>
      <c r="C261" s="195">
        <f>B261-D261</f>
        <v/>
      </c>
      <c r="D261" s="195">
        <f>E260*$B$4/12</f>
        <v/>
      </c>
      <c r="E261" s="195">
        <f>E260-C261</f>
        <v/>
      </c>
    </row>
    <row r="262" ht="15" customHeight="1" s="160">
      <c r="A262" s="282" t="n">
        <v>254</v>
      </c>
      <c r="B262" s="283">
        <f>$B$6</f>
        <v/>
      </c>
      <c r="C262" s="283">
        <f>B262-D262</f>
        <v/>
      </c>
      <c r="D262" s="283">
        <f>E261*$B$4/12</f>
        <v/>
      </c>
      <c r="E262" s="283">
        <f>E261-C262</f>
        <v/>
      </c>
    </row>
    <row r="263" ht="15" customHeight="1" s="160">
      <c r="A263" s="281" t="n">
        <v>255</v>
      </c>
      <c r="B263" s="195">
        <f>$B$6</f>
        <v/>
      </c>
      <c r="C263" s="195">
        <f>B263-D263</f>
        <v/>
      </c>
      <c r="D263" s="195">
        <f>E262*$B$4/12</f>
        <v/>
      </c>
      <c r="E263" s="195">
        <f>E262-C263</f>
        <v/>
      </c>
    </row>
    <row r="264" ht="15" customHeight="1" s="160">
      <c r="A264" s="282" t="n">
        <v>256</v>
      </c>
      <c r="B264" s="283">
        <f>$B$6</f>
        <v/>
      </c>
      <c r="C264" s="283">
        <f>B264-D264</f>
        <v/>
      </c>
      <c r="D264" s="283">
        <f>E263*$B$4/12</f>
        <v/>
      </c>
      <c r="E264" s="283">
        <f>E263-C264</f>
        <v/>
      </c>
    </row>
    <row r="265" ht="15" customHeight="1" s="160">
      <c r="A265" s="281" t="n">
        <v>257</v>
      </c>
      <c r="B265" s="195">
        <f>$B$6</f>
        <v/>
      </c>
      <c r="C265" s="195">
        <f>B265-D265</f>
        <v/>
      </c>
      <c r="D265" s="195">
        <f>E264*$B$4/12</f>
        <v/>
      </c>
      <c r="E265" s="195">
        <f>E264-C265</f>
        <v/>
      </c>
    </row>
    <row r="266" ht="15" customHeight="1" s="160">
      <c r="A266" s="282" t="n">
        <v>258</v>
      </c>
      <c r="B266" s="283">
        <f>$B$6</f>
        <v/>
      </c>
      <c r="C266" s="283">
        <f>B266-D266</f>
        <v/>
      </c>
      <c r="D266" s="283">
        <f>E265*$B$4/12</f>
        <v/>
      </c>
      <c r="E266" s="283">
        <f>E265-C266</f>
        <v/>
      </c>
    </row>
    <row r="267" ht="15" customHeight="1" s="160">
      <c r="A267" s="281" t="n">
        <v>259</v>
      </c>
      <c r="B267" s="195">
        <f>$B$6</f>
        <v/>
      </c>
      <c r="C267" s="195">
        <f>B267-D267</f>
        <v/>
      </c>
      <c r="D267" s="195">
        <f>E266*$B$4/12</f>
        <v/>
      </c>
      <c r="E267" s="195">
        <f>E266-C267</f>
        <v/>
      </c>
    </row>
    <row r="268" ht="15" customHeight="1" s="160">
      <c r="A268" s="282" t="n">
        <v>260</v>
      </c>
      <c r="B268" s="283">
        <f>$B$6</f>
        <v/>
      </c>
      <c r="C268" s="283">
        <f>B268-D268</f>
        <v/>
      </c>
      <c r="D268" s="283">
        <f>E267*$B$4/12</f>
        <v/>
      </c>
      <c r="E268" s="283">
        <f>E267-C268</f>
        <v/>
      </c>
    </row>
    <row r="269" ht="15" customHeight="1" s="160">
      <c r="A269" s="281" t="n">
        <v>261</v>
      </c>
      <c r="B269" s="195">
        <f>$B$6</f>
        <v/>
      </c>
      <c r="C269" s="195">
        <f>B269-D269</f>
        <v/>
      </c>
      <c r="D269" s="195">
        <f>E268*$B$4/12</f>
        <v/>
      </c>
      <c r="E269" s="195">
        <f>E268-C269</f>
        <v/>
      </c>
    </row>
    <row r="270" ht="15" customHeight="1" s="160">
      <c r="A270" s="282" t="n">
        <v>262</v>
      </c>
      <c r="B270" s="283">
        <f>$B$6</f>
        <v/>
      </c>
      <c r="C270" s="283">
        <f>B270-D270</f>
        <v/>
      </c>
      <c r="D270" s="283">
        <f>E269*$B$4/12</f>
        <v/>
      </c>
      <c r="E270" s="283">
        <f>E269-C270</f>
        <v/>
      </c>
    </row>
    <row r="271" ht="15" customHeight="1" s="160">
      <c r="A271" s="281" t="n">
        <v>263</v>
      </c>
      <c r="B271" s="195">
        <f>$B$6</f>
        <v/>
      </c>
      <c r="C271" s="195">
        <f>B271-D271</f>
        <v/>
      </c>
      <c r="D271" s="195">
        <f>E270*$B$4/12</f>
        <v/>
      </c>
      <c r="E271" s="195">
        <f>E270-C271</f>
        <v/>
      </c>
    </row>
    <row r="272" ht="15" customHeight="1" s="160">
      <c r="A272" s="282" t="n">
        <v>264</v>
      </c>
      <c r="B272" s="283">
        <f>$B$6</f>
        <v/>
      </c>
      <c r="C272" s="283">
        <f>B272-D272</f>
        <v/>
      </c>
      <c r="D272" s="283">
        <f>E271*$B$4/12</f>
        <v/>
      </c>
      <c r="E272" s="283">
        <f>E271-C272</f>
        <v/>
      </c>
    </row>
    <row r="273" ht="15" customHeight="1" s="160">
      <c r="A273" s="281" t="n">
        <v>265</v>
      </c>
      <c r="B273" s="195">
        <f>$B$6</f>
        <v/>
      </c>
      <c r="C273" s="195">
        <f>B273-D273</f>
        <v/>
      </c>
      <c r="D273" s="195">
        <f>E272*$B$4/12</f>
        <v/>
      </c>
      <c r="E273" s="195">
        <f>E272-C273</f>
        <v/>
      </c>
    </row>
    <row r="274" ht="15" customHeight="1" s="160">
      <c r="A274" s="282" t="n">
        <v>266</v>
      </c>
      <c r="B274" s="283">
        <f>$B$6</f>
        <v/>
      </c>
      <c r="C274" s="283">
        <f>B274-D274</f>
        <v/>
      </c>
      <c r="D274" s="283">
        <f>E273*$B$4/12</f>
        <v/>
      </c>
      <c r="E274" s="283">
        <f>E273-C274</f>
        <v/>
      </c>
    </row>
    <row r="275" ht="15" customHeight="1" s="160">
      <c r="A275" s="281" t="n">
        <v>267</v>
      </c>
      <c r="B275" s="195">
        <f>$B$6</f>
        <v/>
      </c>
      <c r="C275" s="195">
        <f>B275-D275</f>
        <v/>
      </c>
      <c r="D275" s="195">
        <f>E274*$B$4/12</f>
        <v/>
      </c>
      <c r="E275" s="195">
        <f>E274-C275</f>
        <v/>
      </c>
    </row>
    <row r="276" ht="15" customHeight="1" s="160">
      <c r="A276" s="282" t="n">
        <v>268</v>
      </c>
      <c r="B276" s="283">
        <f>$B$6</f>
        <v/>
      </c>
      <c r="C276" s="283">
        <f>B276-D276</f>
        <v/>
      </c>
      <c r="D276" s="283">
        <f>E275*$B$4/12</f>
        <v/>
      </c>
      <c r="E276" s="283">
        <f>E275-C276</f>
        <v/>
      </c>
    </row>
    <row r="277" ht="15" customHeight="1" s="160">
      <c r="A277" s="281" t="n">
        <v>269</v>
      </c>
      <c r="B277" s="195">
        <f>$B$6</f>
        <v/>
      </c>
      <c r="C277" s="195">
        <f>B277-D277</f>
        <v/>
      </c>
      <c r="D277" s="195">
        <f>E276*$B$4/12</f>
        <v/>
      </c>
      <c r="E277" s="195">
        <f>E276-C277</f>
        <v/>
      </c>
    </row>
    <row r="278" ht="15" customHeight="1" s="160">
      <c r="A278" s="282" t="n">
        <v>270</v>
      </c>
      <c r="B278" s="283">
        <f>$B$6</f>
        <v/>
      </c>
      <c r="C278" s="283">
        <f>B278-D278</f>
        <v/>
      </c>
      <c r="D278" s="283">
        <f>E277*$B$4/12</f>
        <v/>
      </c>
      <c r="E278" s="283">
        <f>E277-C278</f>
        <v/>
      </c>
    </row>
    <row r="279" ht="15" customHeight="1" s="160">
      <c r="A279" s="281" t="n">
        <v>271</v>
      </c>
      <c r="B279" s="195">
        <f>$B$6</f>
        <v/>
      </c>
      <c r="C279" s="195">
        <f>B279-D279</f>
        <v/>
      </c>
      <c r="D279" s="195">
        <f>E278*$B$4/12</f>
        <v/>
      </c>
      <c r="E279" s="195">
        <f>E278-C279</f>
        <v/>
      </c>
    </row>
    <row r="280" ht="15" customHeight="1" s="160">
      <c r="A280" s="282" t="n">
        <v>272</v>
      </c>
      <c r="B280" s="283">
        <f>$B$6</f>
        <v/>
      </c>
      <c r="C280" s="283">
        <f>B280-D280</f>
        <v/>
      </c>
      <c r="D280" s="283">
        <f>E279*$B$4/12</f>
        <v/>
      </c>
      <c r="E280" s="283">
        <f>E279-C280</f>
        <v/>
      </c>
    </row>
    <row r="281" ht="15" customHeight="1" s="160">
      <c r="A281" s="281" t="n">
        <v>273</v>
      </c>
      <c r="B281" s="195">
        <f>$B$6</f>
        <v/>
      </c>
      <c r="C281" s="195">
        <f>B281-D281</f>
        <v/>
      </c>
      <c r="D281" s="195">
        <f>E280*$B$4/12</f>
        <v/>
      </c>
      <c r="E281" s="195">
        <f>E280-C281</f>
        <v/>
      </c>
    </row>
    <row r="282" ht="15" customHeight="1" s="160">
      <c r="A282" s="282" t="n">
        <v>274</v>
      </c>
      <c r="B282" s="283">
        <f>$B$6</f>
        <v/>
      </c>
      <c r="C282" s="283">
        <f>B282-D282</f>
        <v/>
      </c>
      <c r="D282" s="283">
        <f>E281*$B$4/12</f>
        <v/>
      </c>
      <c r="E282" s="283">
        <f>E281-C282</f>
        <v/>
      </c>
    </row>
    <row r="283" ht="15" customHeight="1" s="160">
      <c r="A283" s="281" t="n">
        <v>275</v>
      </c>
      <c r="B283" s="195">
        <f>$B$6</f>
        <v/>
      </c>
      <c r="C283" s="195">
        <f>B283-D283</f>
        <v/>
      </c>
      <c r="D283" s="195">
        <f>E282*$B$4/12</f>
        <v/>
      </c>
      <c r="E283" s="195">
        <f>E282-C283</f>
        <v/>
      </c>
    </row>
    <row r="284" ht="15" customHeight="1" s="160">
      <c r="A284" s="282" t="n">
        <v>276</v>
      </c>
      <c r="B284" s="283">
        <f>$B$6</f>
        <v/>
      </c>
      <c r="C284" s="283">
        <f>B284-D284</f>
        <v/>
      </c>
      <c r="D284" s="283">
        <f>E283*$B$4/12</f>
        <v/>
      </c>
      <c r="E284" s="283">
        <f>E283-C284</f>
        <v/>
      </c>
    </row>
    <row r="285" ht="15" customHeight="1" s="160">
      <c r="A285" s="281" t="n">
        <v>277</v>
      </c>
      <c r="B285" s="195">
        <f>$B$6</f>
        <v/>
      </c>
      <c r="C285" s="195">
        <f>B285-D285</f>
        <v/>
      </c>
      <c r="D285" s="195">
        <f>E284*$B$4/12</f>
        <v/>
      </c>
      <c r="E285" s="195">
        <f>E284-C285</f>
        <v/>
      </c>
    </row>
    <row r="286" ht="15" customHeight="1" s="160">
      <c r="A286" s="282" t="n">
        <v>278</v>
      </c>
      <c r="B286" s="283">
        <f>$B$6</f>
        <v/>
      </c>
      <c r="C286" s="283">
        <f>B286-D286</f>
        <v/>
      </c>
      <c r="D286" s="283">
        <f>E285*$B$4/12</f>
        <v/>
      </c>
      <c r="E286" s="283">
        <f>E285-C286</f>
        <v/>
      </c>
    </row>
    <row r="287" ht="15" customHeight="1" s="160">
      <c r="A287" s="281" t="n">
        <v>279</v>
      </c>
      <c r="B287" s="195">
        <f>$B$6</f>
        <v/>
      </c>
      <c r="C287" s="195">
        <f>B287-D287</f>
        <v/>
      </c>
      <c r="D287" s="195">
        <f>E286*$B$4/12</f>
        <v/>
      </c>
      <c r="E287" s="195">
        <f>E286-C287</f>
        <v/>
      </c>
    </row>
    <row r="288" ht="15" customHeight="1" s="160">
      <c r="A288" s="282" t="n">
        <v>280</v>
      </c>
      <c r="B288" s="283">
        <f>$B$6</f>
        <v/>
      </c>
      <c r="C288" s="283">
        <f>B288-D288</f>
        <v/>
      </c>
      <c r="D288" s="283">
        <f>E287*$B$4/12</f>
        <v/>
      </c>
      <c r="E288" s="283">
        <f>E287-C288</f>
        <v/>
      </c>
    </row>
    <row r="289" ht="15" customHeight="1" s="160">
      <c r="A289" s="281" t="n">
        <v>281</v>
      </c>
      <c r="B289" s="195">
        <f>$B$6</f>
        <v/>
      </c>
      <c r="C289" s="195">
        <f>B289-D289</f>
        <v/>
      </c>
      <c r="D289" s="195">
        <f>E288*$B$4/12</f>
        <v/>
      </c>
      <c r="E289" s="195">
        <f>E288-C289</f>
        <v/>
      </c>
    </row>
    <row r="290" ht="15" customHeight="1" s="160">
      <c r="A290" s="282" t="n">
        <v>282</v>
      </c>
      <c r="B290" s="283">
        <f>$B$6</f>
        <v/>
      </c>
      <c r="C290" s="283">
        <f>B290-D290</f>
        <v/>
      </c>
      <c r="D290" s="283">
        <f>E289*$B$4/12</f>
        <v/>
      </c>
      <c r="E290" s="283">
        <f>E289-C290</f>
        <v/>
      </c>
    </row>
    <row r="291" ht="15" customHeight="1" s="160">
      <c r="A291" s="281" t="n">
        <v>283</v>
      </c>
      <c r="B291" s="195">
        <f>$B$6</f>
        <v/>
      </c>
      <c r="C291" s="195">
        <f>B291-D291</f>
        <v/>
      </c>
      <c r="D291" s="195">
        <f>E290*$B$4/12</f>
        <v/>
      </c>
      <c r="E291" s="195">
        <f>E290-C291</f>
        <v/>
      </c>
    </row>
    <row r="292" ht="15" customHeight="1" s="160">
      <c r="A292" s="282" t="n">
        <v>284</v>
      </c>
      <c r="B292" s="283">
        <f>$B$6</f>
        <v/>
      </c>
      <c r="C292" s="283">
        <f>B292-D292</f>
        <v/>
      </c>
      <c r="D292" s="283">
        <f>E291*$B$4/12</f>
        <v/>
      </c>
      <c r="E292" s="283">
        <f>E291-C292</f>
        <v/>
      </c>
    </row>
    <row r="293" ht="15" customHeight="1" s="160">
      <c r="A293" s="281" t="n">
        <v>285</v>
      </c>
      <c r="B293" s="195">
        <f>$B$6</f>
        <v/>
      </c>
      <c r="C293" s="195">
        <f>B293-D293</f>
        <v/>
      </c>
      <c r="D293" s="195">
        <f>E292*$B$4/12</f>
        <v/>
      </c>
      <c r="E293" s="195">
        <f>E292-C293</f>
        <v/>
      </c>
    </row>
    <row r="294" ht="15" customHeight="1" s="160">
      <c r="A294" s="282" t="n">
        <v>286</v>
      </c>
      <c r="B294" s="283">
        <f>$B$6</f>
        <v/>
      </c>
      <c r="C294" s="283">
        <f>B294-D294</f>
        <v/>
      </c>
      <c r="D294" s="283">
        <f>E293*$B$4/12</f>
        <v/>
      </c>
      <c r="E294" s="283">
        <f>E293-C294</f>
        <v/>
      </c>
    </row>
    <row r="295" ht="15" customHeight="1" s="160">
      <c r="A295" s="281" t="n">
        <v>287</v>
      </c>
      <c r="B295" s="195">
        <f>$B$6</f>
        <v/>
      </c>
      <c r="C295" s="195">
        <f>B295-D295</f>
        <v/>
      </c>
      <c r="D295" s="195">
        <f>E294*$B$4/12</f>
        <v/>
      </c>
      <c r="E295" s="195">
        <f>E294-C295</f>
        <v/>
      </c>
    </row>
    <row r="296" ht="15" customHeight="1" s="160">
      <c r="A296" s="282" t="n">
        <v>288</v>
      </c>
      <c r="B296" s="283">
        <f>$B$6</f>
        <v/>
      </c>
      <c r="C296" s="283">
        <f>B296-D296</f>
        <v/>
      </c>
      <c r="D296" s="283">
        <f>E295*$B$4/12</f>
        <v/>
      </c>
      <c r="E296" s="283">
        <f>E295-C296</f>
        <v/>
      </c>
    </row>
    <row r="297" ht="15" customHeight="1" s="160">
      <c r="A297" s="281" t="n">
        <v>289</v>
      </c>
      <c r="B297" s="195">
        <f>$B$6</f>
        <v/>
      </c>
      <c r="C297" s="195">
        <f>B297-D297</f>
        <v/>
      </c>
      <c r="D297" s="195">
        <f>E296*$B$4/12</f>
        <v/>
      </c>
      <c r="E297" s="195">
        <f>E296-C297</f>
        <v/>
      </c>
    </row>
    <row r="298" ht="15" customHeight="1" s="160">
      <c r="A298" s="282" t="n">
        <v>290</v>
      </c>
      <c r="B298" s="283">
        <f>$B$6</f>
        <v/>
      </c>
      <c r="C298" s="283">
        <f>B298-D298</f>
        <v/>
      </c>
      <c r="D298" s="283">
        <f>E297*$B$4/12</f>
        <v/>
      </c>
      <c r="E298" s="283">
        <f>E297-C298</f>
        <v/>
      </c>
    </row>
    <row r="299" ht="15" customHeight="1" s="160">
      <c r="A299" s="281" t="n">
        <v>291</v>
      </c>
      <c r="B299" s="195">
        <f>$B$6</f>
        <v/>
      </c>
      <c r="C299" s="195">
        <f>B299-D299</f>
        <v/>
      </c>
      <c r="D299" s="195">
        <f>E298*$B$4/12</f>
        <v/>
      </c>
      <c r="E299" s="195">
        <f>E298-C299</f>
        <v/>
      </c>
    </row>
    <row r="300" ht="15" customHeight="1" s="160">
      <c r="A300" s="282" t="n">
        <v>292</v>
      </c>
      <c r="B300" s="283">
        <f>$B$6</f>
        <v/>
      </c>
      <c r="C300" s="283">
        <f>B300-D300</f>
        <v/>
      </c>
      <c r="D300" s="283">
        <f>E299*$B$4/12</f>
        <v/>
      </c>
      <c r="E300" s="283">
        <f>E299-C300</f>
        <v/>
      </c>
    </row>
    <row r="301" ht="15" customHeight="1" s="160">
      <c r="A301" s="281" t="n">
        <v>293</v>
      </c>
      <c r="B301" s="195">
        <f>$B$6</f>
        <v/>
      </c>
      <c r="C301" s="195">
        <f>B301-D301</f>
        <v/>
      </c>
      <c r="D301" s="195">
        <f>E300*$B$4/12</f>
        <v/>
      </c>
      <c r="E301" s="195">
        <f>E300-C301</f>
        <v/>
      </c>
    </row>
    <row r="302" ht="15" customHeight="1" s="160">
      <c r="A302" s="282" t="n">
        <v>294</v>
      </c>
      <c r="B302" s="283">
        <f>$B$6</f>
        <v/>
      </c>
      <c r="C302" s="283">
        <f>B302-D302</f>
        <v/>
      </c>
      <c r="D302" s="283">
        <f>E301*$B$4/12</f>
        <v/>
      </c>
      <c r="E302" s="283">
        <f>E301-C302</f>
        <v/>
      </c>
    </row>
    <row r="303" ht="15" customHeight="1" s="160">
      <c r="A303" s="281" t="n">
        <v>295</v>
      </c>
      <c r="B303" s="195">
        <f>$B$6</f>
        <v/>
      </c>
      <c r="C303" s="195">
        <f>B303-D303</f>
        <v/>
      </c>
      <c r="D303" s="195">
        <f>E302*$B$4/12</f>
        <v/>
      </c>
      <c r="E303" s="195">
        <f>E302-C303</f>
        <v/>
      </c>
    </row>
    <row r="304" ht="15" customHeight="1" s="160">
      <c r="A304" s="282" t="n">
        <v>296</v>
      </c>
      <c r="B304" s="283">
        <f>$B$6</f>
        <v/>
      </c>
      <c r="C304" s="283">
        <f>B304-D304</f>
        <v/>
      </c>
      <c r="D304" s="283">
        <f>E303*$B$4/12</f>
        <v/>
      </c>
      <c r="E304" s="283">
        <f>E303-C304</f>
        <v/>
      </c>
    </row>
    <row r="305" ht="15" customHeight="1" s="160">
      <c r="A305" s="281" t="n">
        <v>297</v>
      </c>
      <c r="B305" s="195">
        <f>$B$6</f>
        <v/>
      </c>
      <c r="C305" s="195">
        <f>B305-D305</f>
        <v/>
      </c>
      <c r="D305" s="195">
        <f>E304*$B$4/12</f>
        <v/>
      </c>
      <c r="E305" s="195">
        <f>E304-C305</f>
        <v/>
      </c>
    </row>
    <row r="306" ht="15" customHeight="1" s="160">
      <c r="A306" s="282" t="n">
        <v>298</v>
      </c>
      <c r="B306" s="283">
        <f>$B$6</f>
        <v/>
      </c>
      <c r="C306" s="283">
        <f>B306-D306</f>
        <v/>
      </c>
      <c r="D306" s="283">
        <f>E305*$B$4/12</f>
        <v/>
      </c>
      <c r="E306" s="283">
        <f>E305-C306</f>
        <v/>
      </c>
    </row>
    <row r="307" ht="15" customHeight="1" s="160">
      <c r="A307" s="281" t="n">
        <v>299</v>
      </c>
      <c r="B307" s="195">
        <f>$B$6</f>
        <v/>
      </c>
      <c r="C307" s="195">
        <f>B307-D307</f>
        <v/>
      </c>
      <c r="D307" s="195">
        <f>E306*$B$4/12</f>
        <v/>
      </c>
      <c r="E307" s="195">
        <f>E306-C307</f>
        <v/>
      </c>
    </row>
    <row r="308" ht="15" customHeight="1" s="160">
      <c r="A308" s="282" t="n">
        <v>300</v>
      </c>
      <c r="B308" s="283">
        <f>$B$6</f>
        <v/>
      </c>
      <c r="C308" s="283">
        <f>B308-D308</f>
        <v/>
      </c>
      <c r="D308" s="283">
        <f>E307*$B$4/12</f>
        <v/>
      </c>
      <c r="E308" s="283">
        <f>E307-C308</f>
        <v/>
      </c>
    </row>
    <row r="309" ht="15" customHeight="1" s="160">
      <c r="A309" s="281" t="n">
        <v>301</v>
      </c>
      <c r="B309" s="195">
        <f>$B$6</f>
        <v/>
      </c>
      <c r="C309" s="195">
        <f>B309-D309</f>
        <v/>
      </c>
      <c r="D309" s="195">
        <f>E308*$B$4/12</f>
        <v/>
      </c>
      <c r="E309" s="195">
        <f>E308-C309</f>
        <v/>
      </c>
    </row>
    <row r="310" ht="15" customHeight="1" s="160">
      <c r="A310" s="282" t="n">
        <v>302</v>
      </c>
      <c r="B310" s="283">
        <f>$B$6</f>
        <v/>
      </c>
      <c r="C310" s="283">
        <f>B310-D310</f>
        <v/>
      </c>
      <c r="D310" s="283">
        <f>E309*$B$4/12</f>
        <v/>
      </c>
      <c r="E310" s="283">
        <f>E309-C310</f>
        <v/>
      </c>
    </row>
    <row r="311" ht="15" customHeight="1" s="160">
      <c r="A311" s="281" t="n">
        <v>303</v>
      </c>
      <c r="B311" s="195">
        <f>$B$6</f>
        <v/>
      </c>
      <c r="C311" s="195">
        <f>B311-D311</f>
        <v/>
      </c>
      <c r="D311" s="195">
        <f>E310*$B$4/12</f>
        <v/>
      </c>
      <c r="E311" s="195">
        <f>E310-C311</f>
        <v/>
      </c>
    </row>
    <row r="312" ht="15" customHeight="1" s="160">
      <c r="A312" s="282" t="n">
        <v>304</v>
      </c>
      <c r="B312" s="283">
        <f>$B$6</f>
        <v/>
      </c>
      <c r="C312" s="283">
        <f>B312-D312</f>
        <v/>
      </c>
      <c r="D312" s="283">
        <f>E311*$B$4/12</f>
        <v/>
      </c>
      <c r="E312" s="283">
        <f>E311-C312</f>
        <v/>
      </c>
    </row>
    <row r="313" ht="15" customHeight="1" s="160">
      <c r="A313" s="281" t="n">
        <v>305</v>
      </c>
      <c r="B313" s="195">
        <f>$B$6</f>
        <v/>
      </c>
      <c r="C313" s="195">
        <f>B313-D313</f>
        <v/>
      </c>
      <c r="D313" s="195">
        <f>E312*$B$4/12</f>
        <v/>
      </c>
      <c r="E313" s="195">
        <f>E312-C313</f>
        <v/>
      </c>
    </row>
    <row r="314" ht="15" customHeight="1" s="160">
      <c r="A314" s="282" t="n">
        <v>306</v>
      </c>
      <c r="B314" s="283">
        <f>$B$6</f>
        <v/>
      </c>
      <c r="C314" s="283">
        <f>B314-D314</f>
        <v/>
      </c>
      <c r="D314" s="283">
        <f>E313*$B$4/12</f>
        <v/>
      </c>
      <c r="E314" s="283">
        <f>E313-C314</f>
        <v/>
      </c>
    </row>
    <row r="315" ht="15" customHeight="1" s="160">
      <c r="A315" s="281" t="n">
        <v>307</v>
      </c>
      <c r="B315" s="195">
        <f>$B$6</f>
        <v/>
      </c>
      <c r="C315" s="195">
        <f>B315-D315</f>
        <v/>
      </c>
      <c r="D315" s="195">
        <f>E314*$B$4/12</f>
        <v/>
      </c>
      <c r="E315" s="195">
        <f>E314-C315</f>
        <v/>
      </c>
    </row>
    <row r="316" ht="15" customHeight="1" s="160">
      <c r="A316" s="282" t="n">
        <v>308</v>
      </c>
      <c r="B316" s="283">
        <f>$B$6</f>
        <v/>
      </c>
      <c r="C316" s="283">
        <f>B316-D316</f>
        <v/>
      </c>
      <c r="D316" s="283">
        <f>E315*$B$4/12</f>
        <v/>
      </c>
      <c r="E316" s="283">
        <f>E315-C316</f>
        <v/>
      </c>
    </row>
    <row r="317" ht="15" customHeight="1" s="160">
      <c r="A317" s="281" t="n">
        <v>309</v>
      </c>
      <c r="B317" s="195">
        <f>$B$6</f>
        <v/>
      </c>
      <c r="C317" s="195">
        <f>B317-D317</f>
        <v/>
      </c>
      <c r="D317" s="195">
        <f>E316*$B$4/12</f>
        <v/>
      </c>
      <c r="E317" s="195">
        <f>E316-C317</f>
        <v/>
      </c>
    </row>
    <row r="318" ht="15" customHeight="1" s="160">
      <c r="A318" s="282" t="n">
        <v>310</v>
      </c>
      <c r="B318" s="283">
        <f>$B$6</f>
        <v/>
      </c>
      <c r="C318" s="283">
        <f>B318-D318</f>
        <v/>
      </c>
      <c r="D318" s="283">
        <f>E317*$B$4/12</f>
        <v/>
      </c>
      <c r="E318" s="283">
        <f>E317-C318</f>
        <v/>
      </c>
    </row>
    <row r="319" ht="15" customHeight="1" s="160">
      <c r="A319" s="281" t="n">
        <v>311</v>
      </c>
      <c r="B319" s="195">
        <f>$B$6</f>
        <v/>
      </c>
      <c r="C319" s="195">
        <f>B319-D319</f>
        <v/>
      </c>
      <c r="D319" s="195">
        <f>E318*$B$4/12</f>
        <v/>
      </c>
      <c r="E319" s="195">
        <f>E318-C319</f>
        <v/>
      </c>
    </row>
    <row r="320" ht="15" customHeight="1" s="160">
      <c r="A320" s="282" t="n">
        <v>312</v>
      </c>
      <c r="B320" s="283">
        <f>$B$6</f>
        <v/>
      </c>
      <c r="C320" s="283">
        <f>B320-D320</f>
        <v/>
      </c>
      <c r="D320" s="283">
        <f>E319*$B$4/12</f>
        <v/>
      </c>
      <c r="E320" s="283">
        <f>E319-C320</f>
        <v/>
      </c>
    </row>
    <row r="321" ht="15" customHeight="1" s="160">
      <c r="A321" s="281" t="n">
        <v>313</v>
      </c>
      <c r="B321" s="195">
        <f>$B$6</f>
        <v/>
      </c>
      <c r="C321" s="195">
        <f>B321-D321</f>
        <v/>
      </c>
      <c r="D321" s="195">
        <f>E320*$B$4/12</f>
        <v/>
      </c>
      <c r="E321" s="195">
        <f>E320-C321</f>
        <v/>
      </c>
    </row>
    <row r="322" ht="15" customHeight="1" s="160">
      <c r="A322" s="282" t="n">
        <v>314</v>
      </c>
      <c r="B322" s="283">
        <f>$B$6</f>
        <v/>
      </c>
      <c r="C322" s="283">
        <f>B322-D322</f>
        <v/>
      </c>
      <c r="D322" s="283">
        <f>E321*$B$4/12</f>
        <v/>
      </c>
      <c r="E322" s="283">
        <f>E321-C322</f>
        <v/>
      </c>
    </row>
    <row r="323" ht="15" customHeight="1" s="160">
      <c r="A323" s="281" t="n">
        <v>315</v>
      </c>
      <c r="B323" s="195">
        <f>$B$6</f>
        <v/>
      </c>
      <c r="C323" s="195">
        <f>B323-D323</f>
        <v/>
      </c>
      <c r="D323" s="195">
        <f>E322*$B$4/12</f>
        <v/>
      </c>
      <c r="E323" s="195">
        <f>E322-C323</f>
        <v/>
      </c>
    </row>
    <row r="324" ht="15" customHeight="1" s="160">
      <c r="A324" s="282" t="n">
        <v>316</v>
      </c>
      <c r="B324" s="283">
        <f>$B$6</f>
        <v/>
      </c>
      <c r="C324" s="283">
        <f>B324-D324</f>
        <v/>
      </c>
      <c r="D324" s="283">
        <f>E323*$B$4/12</f>
        <v/>
      </c>
      <c r="E324" s="283">
        <f>E323-C324</f>
        <v/>
      </c>
    </row>
    <row r="325" ht="15" customHeight="1" s="160">
      <c r="A325" s="281" t="n">
        <v>317</v>
      </c>
      <c r="B325" s="195">
        <f>$B$6</f>
        <v/>
      </c>
      <c r="C325" s="195">
        <f>B325-D325</f>
        <v/>
      </c>
      <c r="D325" s="195">
        <f>E324*$B$4/12</f>
        <v/>
      </c>
      <c r="E325" s="195">
        <f>E324-C325</f>
        <v/>
      </c>
    </row>
    <row r="326" ht="15" customHeight="1" s="160">
      <c r="A326" s="282" t="n">
        <v>318</v>
      </c>
      <c r="B326" s="283">
        <f>$B$6</f>
        <v/>
      </c>
      <c r="C326" s="283">
        <f>B326-D326</f>
        <v/>
      </c>
      <c r="D326" s="283">
        <f>E325*$B$4/12</f>
        <v/>
      </c>
      <c r="E326" s="283">
        <f>E325-C326</f>
        <v/>
      </c>
    </row>
    <row r="327" ht="15" customHeight="1" s="160">
      <c r="A327" s="281" t="n">
        <v>319</v>
      </c>
      <c r="B327" s="195">
        <f>$B$6</f>
        <v/>
      </c>
      <c r="C327" s="195">
        <f>B327-D327</f>
        <v/>
      </c>
      <c r="D327" s="195">
        <f>E326*$B$4/12</f>
        <v/>
      </c>
      <c r="E327" s="195">
        <f>E326-C327</f>
        <v/>
      </c>
    </row>
    <row r="328" ht="15" customHeight="1" s="160">
      <c r="A328" s="282" t="n">
        <v>320</v>
      </c>
      <c r="B328" s="283">
        <f>$B$6</f>
        <v/>
      </c>
      <c r="C328" s="283">
        <f>B328-D328</f>
        <v/>
      </c>
      <c r="D328" s="283">
        <f>E327*$B$4/12</f>
        <v/>
      </c>
      <c r="E328" s="283">
        <f>E327-C328</f>
        <v/>
      </c>
    </row>
    <row r="329" ht="15" customHeight="1" s="160">
      <c r="A329" s="281" t="n">
        <v>321</v>
      </c>
      <c r="B329" s="195">
        <f>$B$6</f>
        <v/>
      </c>
      <c r="C329" s="195">
        <f>B329-D329</f>
        <v/>
      </c>
      <c r="D329" s="195">
        <f>E328*$B$4/12</f>
        <v/>
      </c>
      <c r="E329" s="195">
        <f>E328-C329</f>
        <v/>
      </c>
    </row>
    <row r="330" ht="15" customHeight="1" s="160">
      <c r="A330" s="282" t="n">
        <v>322</v>
      </c>
      <c r="B330" s="283">
        <f>$B$6</f>
        <v/>
      </c>
      <c r="C330" s="283">
        <f>B330-D330</f>
        <v/>
      </c>
      <c r="D330" s="283">
        <f>E329*$B$4/12</f>
        <v/>
      </c>
      <c r="E330" s="283">
        <f>E329-C330</f>
        <v/>
      </c>
    </row>
    <row r="331" ht="15" customHeight="1" s="160">
      <c r="A331" s="281" t="n">
        <v>323</v>
      </c>
      <c r="B331" s="195">
        <f>$B$6</f>
        <v/>
      </c>
      <c r="C331" s="195">
        <f>B331-D331</f>
        <v/>
      </c>
      <c r="D331" s="195">
        <f>E330*$B$4/12</f>
        <v/>
      </c>
      <c r="E331" s="195">
        <f>E330-C331</f>
        <v/>
      </c>
    </row>
    <row r="332" ht="15" customHeight="1" s="160">
      <c r="A332" s="282" t="n">
        <v>324</v>
      </c>
      <c r="B332" s="283">
        <f>$B$6</f>
        <v/>
      </c>
      <c r="C332" s="283">
        <f>B332-D332</f>
        <v/>
      </c>
      <c r="D332" s="283">
        <f>E331*$B$4/12</f>
        <v/>
      </c>
      <c r="E332" s="283">
        <f>E331-C332</f>
        <v/>
      </c>
    </row>
    <row r="333" ht="15" customHeight="1" s="160">
      <c r="A333" s="281" t="n">
        <v>325</v>
      </c>
      <c r="B333" s="195">
        <f>$B$6</f>
        <v/>
      </c>
      <c r="C333" s="195">
        <f>B333-D333</f>
        <v/>
      </c>
      <c r="D333" s="195">
        <f>E332*$B$4/12</f>
        <v/>
      </c>
      <c r="E333" s="195">
        <f>E332-C333</f>
        <v/>
      </c>
    </row>
    <row r="334" ht="15" customHeight="1" s="160">
      <c r="A334" s="282" t="n">
        <v>326</v>
      </c>
      <c r="B334" s="283">
        <f>$B$6</f>
        <v/>
      </c>
      <c r="C334" s="283">
        <f>B334-D334</f>
        <v/>
      </c>
      <c r="D334" s="283">
        <f>E333*$B$4/12</f>
        <v/>
      </c>
      <c r="E334" s="283">
        <f>E333-C334</f>
        <v/>
      </c>
    </row>
    <row r="335" ht="15" customHeight="1" s="160">
      <c r="A335" s="281" t="n">
        <v>327</v>
      </c>
      <c r="B335" s="195">
        <f>$B$6</f>
        <v/>
      </c>
      <c r="C335" s="195">
        <f>B335-D335</f>
        <v/>
      </c>
      <c r="D335" s="195">
        <f>E334*$B$4/12</f>
        <v/>
      </c>
      <c r="E335" s="195">
        <f>E334-C335</f>
        <v/>
      </c>
    </row>
    <row r="336" ht="15" customHeight="1" s="160">
      <c r="A336" s="282" t="n">
        <v>328</v>
      </c>
      <c r="B336" s="283">
        <f>$B$6</f>
        <v/>
      </c>
      <c r="C336" s="283">
        <f>B336-D336</f>
        <v/>
      </c>
      <c r="D336" s="283">
        <f>E335*$B$4/12</f>
        <v/>
      </c>
      <c r="E336" s="283">
        <f>E335-C336</f>
        <v/>
      </c>
    </row>
    <row r="337" ht="15" customHeight="1" s="160">
      <c r="A337" s="281" t="n">
        <v>329</v>
      </c>
      <c r="B337" s="195">
        <f>$B$6</f>
        <v/>
      </c>
      <c r="C337" s="195">
        <f>B337-D337</f>
        <v/>
      </c>
      <c r="D337" s="195">
        <f>E336*$B$4/12</f>
        <v/>
      </c>
      <c r="E337" s="195">
        <f>E336-C337</f>
        <v/>
      </c>
    </row>
    <row r="338" ht="15" customHeight="1" s="160">
      <c r="A338" s="282" t="n">
        <v>330</v>
      </c>
      <c r="B338" s="283">
        <f>$B$6</f>
        <v/>
      </c>
      <c r="C338" s="283">
        <f>B338-D338</f>
        <v/>
      </c>
      <c r="D338" s="283">
        <f>E337*$B$4/12</f>
        <v/>
      </c>
      <c r="E338" s="283">
        <f>E337-C338</f>
        <v/>
      </c>
    </row>
    <row r="339" ht="15" customHeight="1" s="160">
      <c r="A339" s="281" t="n">
        <v>331</v>
      </c>
      <c r="B339" s="195">
        <f>$B$6</f>
        <v/>
      </c>
      <c r="C339" s="195">
        <f>B339-D339</f>
        <v/>
      </c>
      <c r="D339" s="195">
        <f>E338*$B$4/12</f>
        <v/>
      </c>
      <c r="E339" s="195">
        <f>E338-C339</f>
        <v/>
      </c>
    </row>
    <row r="340" ht="15" customHeight="1" s="160">
      <c r="A340" s="282" t="n">
        <v>332</v>
      </c>
      <c r="B340" s="283">
        <f>$B$6</f>
        <v/>
      </c>
      <c r="C340" s="283">
        <f>B340-D340</f>
        <v/>
      </c>
      <c r="D340" s="283">
        <f>E339*$B$4/12</f>
        <v/>
      </c>
      <c r="E340" s="283">
        <f>E339-C340</f>
        <v/>
      </c>
    </row>
    <row r="341" ht="15" customHeight="1" s="160">
      <c r="A341" s="281" t="n">
        <v>333</v>
      </c>
      <c r="B341" s="195">
        <f>$B$6</f>
        <v/>
      </c>
      <c r="C341" s="195">
        <f>B341-D341</f>
        <v/>
      </c>
      <c r="D341" s="195">
        <f>E340*$B$4/12</f>
        <v/>
      </c>
      <c r="E341" s="195">
        <f>E340-C341</f>
        <v/>
      </c>
    </row>
    <row r="342" ht="15" customHeight="1" s="160">
      <c r="A342" s="282" t="n">
        <v>334</v>
      </c>
      <c r="B342" s="283">
        <f>$B$6</f>
        <v/>
      </c>
      <c r="C342" s="283">
        <f>B342-D342</f>
        <v/>
      </c>
      <c r="D342" s="283">
        <f>E341*$B$4/12</f>
        <v/>
      </c>
      <c r="E342" s="283">
        <f>E341-C342</f>
        <v/>
      </c>
    </row>
    <row r="343" ht="15" customHeight="1" s="160">
      <c r="A343" s="281" t="n">
        <v>335</v>
      </c>
      <c r="B343" s="195">
        <f>$B$6</f>
        <v/>
      </c>
      <c r="C343" s="195">
        <f>B343-D343</f>
        <v/>
      </c>
      <c r="D343" s="195">
        <f>E342*$B$4/12</f>
        <v/>
      </c>
      <c r="E343" s="195">
        <f>E342-C343</f>
        <v/>
      </c>
    </row>
    <row r="344" ht="15" customHeight="1" s="160">
      <c r="A344" s="282" t="n">
        <v>336</v>
      </c>
      <c r="B344" s="283">
        <f>$B$6</f>
        <v/>
      </c>
      <c r="C344" s="283">
        <f>B344-D344</f>
        <v/>
      </c>
      <c r="D344" s="283">
        <f>E343*$B$4/12</f>
        <v/>
      </c>
      <c r="E344" s="283">
        <f>E343-C344</f>
        <v/>
      </c>
    </row>
    <row r="345" ht="15" customHeight="1" s="160">
      <c r="A345" s="281" t="n">
        <v>337</v>
      </c>
      <c r="B345" s="195">
        <f>$B$6</f>
        <v/>
      </c>
      <c r="C345" s="195">
        <f>B345-D345</f>
        <v/>
      </c>
      <c r="D345" s="195">
        <f>E344*$B$4/12</f>
        <v/>
      </c>
      <c r="E345" s="195">
        <f>E344-C345</f>
        <v/>
      </c>
    </row>
    <row r="346" ht="15" customHeight="1" s="160">
      <c r="A346" s="282" t="n">
        <v>338</v>
      </c>
      <c r="B346" s="283">
        <f>$B$6</f>
        <v/>
      </c>
      <c r="C346" s="283">
        <f>B346-D346</f>
        <v/>
      </c>
      <c r="D346" s="283">
        <f>E345*$B$4/12</f>
        <v/>
      </c>
      <c r="E346" s="283">
        <f>E345-C346</f>
        <v/>
      </c>
    </row>
    <row r="347" ht="15" customHeight="1" s="160">
      <c r="A347" s="281" t="n">
        <v>339</v>
      </c>
      <c r="B347" s="195">
        <f>$B$6</f>
        <v/>
      </c>
      <c r="C347" s="195">
        <f>B347-D347</f>
        <v/>
      </c>
      <c r="D347" s="195">
        <f>E346*$B$4/12</f>
        <v/>
      </c>
      <c r="E347" s="195">
        <f>E346-C347</f>
        <v/>
      </c>
    </row>
    <row r="348" ht="15" customHeight="1" s="160">
      <c r="A348" s="282" t="n">
        <v>340</v>
      </c>
      <c r="B348" s="283">
        <f>$B$6</f>
        <v/>
      </c>
      <c r="C348" s="283">
        <f>B348-D348</f>
        <v/>
      </c>
      <c r="D348" s="283">
        <f>E347*$B$4/12</f>
        <v/>
      </c>
      <c r="E348" s="283">
        <f>E347-C348</f>
        <v/>
      </c>
    </row>
    <row r="349" ht="15" customHeight="1" s="160">
      <c r="A349" s="281" t="n">
        <v>341</v>
      </c>
      <c r="B349" s="195">
        <f>$B$6</f>
        <v/>
      </c>
      <c r="C349" s="195">
        <f>B349-D349</f>
        <v/>
      </c>
      <c r="D349" s="195">
        <f>E348*$B$4/12</f>
        <v/>
      </c>
      <c r="E349" s="195">
        <f>E348-C349</f>
        <v/>
      </c>
    </row>
    <row r="350" ht="15" customHeight="1" s="160">
      <c r="A350" s="282" t="n">
        <v>342</v>
      </c>
      <c r="B350" s="283">
        <f>$B$6</f>
        <v/>
      </c>
      <c r="C350" s="283">
        <f>B350-D350</f>
        <v/>
      </c>
      <c r="D350" s="283">
        <f>E349*$B$4/12</f>
        <v/>
      </c>
      <c r="E350" s="283">
        <f>E349-C350</f>
        <v/>
      </c>
    </row>
    <row r="351" ht="15" customHeight="1" s="160">
      <c r="A351" s="281" t="n">
        <v>343</v>
      </c>
      <c r="B351" s="195">
        <f>$B$6</f>
        <v/>
      </c>
      <c r="C351" s="195">
        <f>B351-D351</f>
        <v/>
      </c>
      <c r="D351" s="195">
        <f>E350*$B$4/12</f>
        <v/>
      </c>
      <c r="E351" s="195">
        <f>E350-C351</f>
        <v/>
      </c>
    </row>
    <row r="352" ht="15" customHeight="1" s="160">
      <c r="A352" s="282" t="n">
        <v>344</v>
      </c>
      <c r="B352" s="283">
        <f>$B$6</f>
        <v/>
      </c>
      <c r="C352" s="283">
        <f>B352-D352</f>
        <v/>
      </c>
      <c r="D352" s="283">
        <f>E351*$B$4/12</f>
        <v/>
      </c>
      <c r="E352" s="283">
        <f>E351-C352</f>
        <v/>
      </c>
    </row>
    <row r="353" ht="15" customHeight="1" s="160">
      <c r="A353" s="281" t="n">
        <v>345</v>
      </c>
      <c r="B353" s="195">
        <f>$B$6</f>
        <v/>
      </c>
      <c r="C353" s="195">
        <f>B353-D353</f>
        <v/>
      </c>
      <c r="D353" s="195">
        <f>E352*$B$4/12</f>
        <v/>
      </c>
      <c r="E353" s="195">
        <f>E352-C353</f>
        <v/>
      </c>
    </row>
    <row r="354" ht="15" customHeight="1" s="160">
      <c r="A354" s="282" t="n">
        <v>346</v>
      </c>
      <c r="B354" s="283">
        <f>$B$6</f>
        <v/>
      </c>
      <c r="C354" s="283">
        <f>B354-D354</f>
        <v/>
      </c>
      <c r="D354" s="283">
        <f>E353*$B$4/12</f>
        <v/>
      </c>
      <c r="E354" s="283">
        <f>E353-C354</f>
        <v/>
      </c>
    </row>
    <row r="355" ht="15" customHeight="1" s="160">
      <c r="A355" s="281" t="n">
        <v>347</v>
      </c>
      <c r="B355" s="195">
        <f>$B$6</f>
        <v/>
      </c>
      <c r="C355" s="195">
        <f>B355-D355</f>
        <v/>
      </c>
      <c r="D355" s="195">
        <f>E354*$B$4/12</f>
        <v/>
      </c>
      <c r="E355" s="195">
        <f>E354-C355</f>
        <v/>
      </c>
    </row>
    <row r="356" ht="15" customHeight="1" s="160">
      <c r="A356" s="282" t="n">
        <v>348</v>
      </c>
      <c r="B356" s="283">
        <f>$B$6</f>
        <v/>
      </c>
      <c r="C356" s="283">
        <f>B356-D356</f>
        <v/>
      </c>
      <c r="D356" s="283">
        <f>E355*$B$4/12</f>
        <v/>
      </c>
      <c r="E356" s="283">
        <f>E355-C356</f>
        <v/>
      </c>
    </row>
    <row r="357" ht="15" customHeight="1" s="160">
      <c r="A357" s="281" t="n">
        <v>349</v>
      </c>
      <c r="B357" s="195">
        <f>$B$6</f>
        <v/>
      </c>
      <c r="C357" s="195">
        <f>B357-D357</f>
        <v/>
      </c>
      <c r="D357" s="195">
        <f>E356*$B$4/12</f>
        <v/>
      </c>
      <c r="E357" s="195">
        <f>E356-C357</f>
        <v/>
      </c>
    </row>
    <row r="358" ht="15" customHeight="1" s="160">
      <c r="A358" s="282" t="n">
        <v>350</v>
      </c>
      <c r="B358" s="283">
        <f>$B$6</f>
        <v/>
      </c>
      <c r="C358" s="283">
        <f>B358-D358</f>
        <v/>
      </c>
      <c r="D358" s="283">
        <f>E357*$B$4/12</f>
        <v/>
      </c>
      <c r="E358" s="283">
        <f>E357-C358</f>
        <v/>
      </c>
    </row>
    <row r="359" ht="15" customHeight="1" s="160">
      <c r="A359" s="281" t="n">
        <v>351</v>
      </c>
      <c r="B359" s="195">
        <f>$B$6</f>
        <v/>
      </c>
      <c r="C359" s="195">
        <f>B359-D359</f>
        <v/>
      </c>
      <c r="D359" s="195">
        <f>E358*$B$4/12</f>
        <v/>
      </c>
      <c r="E359" s="195">
        <f>E358-C359</f>
        <v/>
      </c>
    </row>
    <row r="360" ht="15" customHeight="1" s="160">
      <c r="A360" s="282" t="n">
        <v>352</v>
      </c>
      <c r="B360" s="283">
        <f>$B$6</f>
        <v/>
      </c>
      <c r="C360" s="283">
        <f>B360-D360</f>
        <v/>
      </c>
      <c r="D360" s="283">
        <f>E359*$B$4/12</f>
        <v/>
      </c>
      <c r="E360" s="283">
        <f>E359-C360</f>
        <v/>
      </c>
    </row>
    <row r="361" ht="15" customHeight="1" s="160">
      <c r="A361" s="281" t="n">
        <v>353</v>
      </c>
      <c r="B361" s="195">
        <f>$B$6</f>
        <v/>
      </c>
      <c r="C361" s="195">
        <f>B361-D361</f>
        <v/>
      </c>
      <c r="D361" s="195">
        <f>E360*$B$4/12</f>
        <v/>
      </c>
      <c r="E361" s="195">
        <f>E360-C361</f>
        <v/>
      </c>
    </row>
    <row r="362" ht="15" customHeight="1" s="160">
      <c r="A362" s="282" t="n">
        <v>354</v>
      </c>
      <c r="B362" s="283">
        <f>$B$6</f>
        <v/>
      </c>
      <c r="C362" s="283">
        <f>B362-D362</f>
        <v/>
      </c>
      <c r="D362" s="283">
        <f>E361*$B$4/12</f>
        <v/>
      </c>
      <c r="E362" s="283">
        <f>E361-C362</f>
        <v/>
      </c>
    </row>
    <row r="363" ht="15" customHeight="1" s="160">
      <c r="A363" s="281" t="n">
        <v>355</v>
      </c>
      <c r="B363" s="195">
        <f>$B$6</f>
        <v/>
      </c>
      <c r="C363" s="195">
        <f>B363-D363</f>
        <v/>
      </c>
      <c r="D363" s="195">
        <f>E362*$B$4/12</f>
        <v/>
      </c>
      <c r="E363" s="195">
        <f>E362-C363</f>
        <v/>
      </c>
    </row>
    <row r="364" ht="15" customHeight="1" s="160">
      <c r="A364" s="282" t="n">
        <v>356</v>
      </c>
      <c r="B364" s="283">
        <f>$B$6</f>
        <v/>
      </c>
      <c r="C364" s="283">
        <f>B364-D364</f>
        <v/>
      </c>
      <c r="D364" s="283">
        <f>E363*$B$4/12</f>
        <v/>
      </c>
      <c r="E364" s="283">
        <f>E363-C364</f>
        <v/>
      </c>
    </row>
    <row r="365" ht="15" customHeight="1" s="160">
      <c r="A365" s="281" t="n">
        <v>357</v>
      </c>
      <c r="B365" s="195">
        <f>$B$6</f>
        <v/>
      </c>
      <c r="C365" s="195">
        <f>B365-D365</f>
        <v/>
      </c>
      <c r="D365" s="195">
        <f>E364*$B$4/12</f>
        <v/>
      </c>
      <c r="E365" s="195">
        <f>E364-C365</f>
        <v/>
      </c>
    </row>
    <row r="366" ht="15" customHeight="1" s="160">
      <c r="A366" s="282" t="n">
        <v>358</v>
      </c>
      <c r="B366" s="283">
        <f>$B$6</f>
        <v/>
      </c>
      <c r="C366" s="283">
        <f>B366-D366</f>
        <v/>
      </c>
      <c r="D366" s="283">
        <f>E365*$B$4/12</f>
        <v/>
      </c>
      <c r="E366" s="283">
        <f>E365-C366</f>
        <v/>
      </c>
    </row>
    <row r="367" ht="15" customHeight="1" s="160">
      <c r="A367" s="281" t="n">
        <v>359</v>
      </c>
      <c r="B367" s="195">
        <f>$B$6</f>
        <v/>
      </c>
      <c r="C367" s="195">
        <f>B367-D367</f>
        <v/>
      </c>
      <c r="D367" s="195">
        <f>E366*$B$4/12</f>
        <v/>
      </c>
      <c r="E367" s="195">
        <f>E366-C367</f>
        <v/>
      </c>
    </row>
    <row r="368" ht="15" customHeight="1" s="160">
      <c r="A368" s="282" t="n">
        <v>360</v>
      </c>
      <c r="B368" s="283">
        <f>$B$6</f>
        <v/>
      </c>
      <c r="C368" s="283">
        <f>B368-D368</f>
        <v/>
      </c>
      <c r="D368" s="283">
        <f>E367*$B$4/12</f>
        <v/>
      </c>
      <c r="E368" s="283">
        <f>E367-C368</f>
        <v/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B8962E"/>
    <outlinePr summaryBelow="1" summaryRight="1"/>
    <pageSetUpPr fitToPage="0"/>
  </sheetPr>
  <dimension ref="A1:E36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59" min="1" max="1"/>
    <col width="16" customWidth="1" style="159" min="2" max="4"/>
    <col width="18" customWidth="1" style="159" min="5" max="5"/>
  </cols>
  <sheetData>
    <row r="1" ht="19.5" customHeight="1" s="160">
      <c r="A1" s="218" t="inlineStr">
        <is>
          <t>AMORT - REFI 2</t>
        </is>
      </c>
    </row>
    <row r="2" ht="15" customHeight="1" s="160">
      <c r="A2" s="179" t="inlineStr">
        <is>
          <t>Blank until Refi 2 activated.</t>
        </is>
      </c>
    </row>
    <row r="3" ht="15" customHeight="1" s="160">
      <c r="A3" s="166" t="inlineStr">
        <is>
          <t>Loan Amount</t>
        </is>
      </c>
      <c r="B3" s="278">
        <f>Assumptions!C112</f>
        <v/>
      </c>
      <c r="C3" s="161" t="n"/>
      <c r="D3" s="161" t="n"/>
      <c r="E3" s="161" t="n"/>
    </row>
    <row r="4" ht="15" customHeight="1" s="160">
      <c r="A4" s="166" t="inlineStr">
        <is>
          <t>Annual Rate</t>
        </is>
      </c>
      <c r="B4" s="279">
        <f>Assumptions!C113</f>
        <v/>
      </c>
      <c r="C4" s="161" t="n"/>
      <c r="D4" s="161" t="n"/>
      <c r="E4" s="161" t="n"/>
    </row>
    <row r="5" ht="15" customHeight="1" s="160">
      <c r="A5" s="166" t="inlineStr">
        <is>
          <t>Amort (Years)</t>
        </is>
      </c>
      <c r="B5" s="168">
        <f>Assumptions!C114</f>
        <v/>
      </c>
      <c r="C5" s="161" t="n"/>
      <c r="D5" s="161" t="n"/>
      <c r="E5" s="161" t="n"/>
    </row>
    <row r="6" ht="15" customHeight="1" s="160">
      <c r="A6" s="258" t="inlineStr">
        <is>
          <t>Monthly Payment</t>
        </is>
      </c>
      <c r="B6" s="280">
        <f>IF(B5&gt;0,PMT(B4/12,B5*12,-B3),0)</f>
        <v/>
      </c>
      <c r="C6" s="161" t="n"/>
      <c r="D6" s="161" t="n"/>
      <c r="E6" s="161" t="n"/>
    </row>
    <row r="7" ht="15" customHeight="1" s="160">
      <c r="A7" s="161" t="n"/>
      <c r="B7" s="161" t="n"/>
      <c r="C7" s="161" t="n"/>
      <c r="D7" s="161" t="n"/>
      <c r="E7" s="161" t="n"/>
    </row>
    <row r="8" ht="15" customHeight="1" s="160">
      <c r="A8" s="219" t="inlineStr">
        <is>
          <t>Month</t>
        </is>
      </c>
      <c r="B8" s="219" t="inlineStr">
        <is>
          <t>Payment</t>
        </is>
      </c>
      <c r="C8" s="219" t="inlineStr">
        <is>
          <t>Principal</t>
        </is>
      </c>
      <c r="D8" s="219" t="inlineStr">
        <is>
          <t>Interest</t>
        </is>
      </c>
      <c r="E8" s="219" t="inlineStr">
        <is>
          <t>Balance</t>
        </is>
      </c>
    </row>
    <row r="9" ht="15" customHeight="1" s="160">
      <c r="A9" s="281" t="n">
        <v>1</v>
      </c>
      <c r="B9" s="195">
        <f>$B$6</f>
        <v/>
      </c>
      <c r="C9" s="195">
        <f>B9-D9</f>
        <v/>
      </c>
      <c r="D9" s="195">
        <f>$B$3*$B$4/12</f>
        <v/>
      </c>
      <c r="E9" s="195">
        <f>$B$3-C9</f>
        <v/>
      </c>
    </row>
    <row r="10" ht="15" customHeight="1" s="160">
      <c r="A10" s="282" t="n">
        <v>2</v>
      </c>
      <c r="B10" s="283">
        <f>$B$6</f>
        <v/>
      </c>
      <c r="C10" s="283">
        <f>B10-D10</f>
        <v/>
      </c>
      <c r="D10" s="283">
        <f>E9*$B$4/12</f>
        <v/>
      </c>
      <c r="E10" s="283">
        <f>E9-C10</f>
        <v/>
      </c>
    </row>
    <row r="11" ht="15" customHeight="1" s="160">
      <c r="A11" s="281" t="n">
        <v>3</v>
      </c>
      <c r="B11" s="195">
        <f>$B$6</f>
        <v/>
      </c>
      <c r="C11" s="195">
        <f>B11-D11</f>
        <v/>
      </c>
      <c r="D11" s="195">
        <f>E10*$B$4/12</f>
        <v/>
      </c>
      <c r="E11" s="195">
        <f>E10-C11</f>
        <v/>
      </c>
    </row>
    <row r="12" ht="15" customHeight="1" s="160">
      <c r="A12" s="282" t="n">
        <v>4</v>
      </c>
      <c r="B12" s="283">
        <f>$B$6</f>
        <v/>
      </c>
      <c r="C12" s="283">
        <f>B12-D12</f>
        <v/>
      </c>
      <c r="D12" s="283">
        <f>E11*$B$4/12</f>
        <v/>
      </c>
      <c r="E12" s="283">
        <f>E11-C12</f>
        <v/>
      </c>
    </row>
    <row r="13" ht="15" customHeight="1" s="160">
      <c r="A13" s="281" t="n">
        <v>5</v>
      </c>
      <c r="B13" s="195">
        <f>$B$6</f>
        <v/>
      </c>
      <c r="C13" s="195">
        <f>B13-D13</f>
        <v/>
      </c>
      <c r="D13" s="195">
        <f>E12*$B$4/12</f>
        <v/>
      </c>
      <c r="E13" s="195">
        <f>E12-C13</f>
        <v/>
      </c>
    </row>
    <row r="14" ht="15" customHeight="1" s="160">
      <c r="A14" s="282" t="n">
        <v>6</v>
      </c>
      <c r="B14" s="283">
        <f>$B$6</f>
        <v/>
      </c>
      <c r="C14" s="283">
        <f>B14-D14</f>
        <v/>
      </c>
      <c r="D14" s="283">
        <f>E13*$B$4/12</f>
        <v/>
      </c>
      <c r="E14" s="283">
        <f>E13-C14</f>
        <v/>
      </c>
    </row>
    <row r="15" ht="15" customHeight="1" s="160">
      <c r="A15" s="281" t="n">
        <v>7</v>
      </c>
      <c r="B15" s="195">
        <f>$B$6</f>
        <v/>
      </c>
      <c r="C15" s="195">
        <f>B15-D15</f>
        <v/>
      </c>
      <c r="D15" s="195">
        <f>E14*$B$4/12</f>
        <v/>
      </c>
      <c r="E15" s="195">
        <f>E14-C15</f>
        <v/>
      </c>
    </row>
    <row r="16" ht="15" customHeight="1" s="160">
      <c r="A16" s="282" t="n">
        <v>8</v>
      </c>
      <c r="B16" s="283">
        <f>$B$6</f>
        <v/>
      </c>
      <c r="C16" s="283">
        <f>B16-D16</f>
        <v/>
      </c>
      <c r="D16" s="283">
        <f>E15*$B$4/12</f>
        <v/>
      </c>
      <c r="E16" s="283">
        <f>E15-C16</f>
        <v/>
      </c>
    </row>
    <row r="17" ht="15" customHeight="1" s="160">
      <c r="A17" s="281" t="n">
        <v>9</v>
      </c>
      <c r="B17" s="195">
        <f>$B$6</f>
        <v/>
      </c>
      <c r="C17" s="195">
        <f>B17-D17</f>
        <v/>
      </c>
      <c r="D17" s="195">
        <f>E16*$B$4/12</f>
        <v/>
      </c>
      <c r="E17" s="195">
        <f>E16-C17</f>
        <v/>
      </c>
    </row>
    <row r="18" ht="15" customHeight="1" s="160">
      <c r="A18" s="282" t="n">
        <v>10</v>
      </c>
      <c r="B18" s="283">
        <f>$B$6</f>
        <v/>
      </c>
      <c r="C18" s="283">
        <f>B18-D18</f>
        <v/>
      </c>
      <c r="D18" s="283">
        <f>E17*$B$4/12</f>
        <v/>
      </c>
      <c r="E18" s="283">
        <f>E17-C18</f>
        <v/>
      </c>
    </row>
    <row r="19" ht="15" customHeight="1" s="160">
      <c r="A19" s="281" t="n">
        <v>11</v>
      </c>
      <c r="B19" s="195">
        <f>$B$6</f>
        <v/>
      </c>
      <c r="C19" s="195">
        <f>B19-D19</f>
        <v/>
      </c>
      <c r="D19" s="195">
        <f>E18*$B$4/12</f>
        <v/>
      </c>
      <c r="E19" s="195">
        <f>E18-C19</f>
        <v/>
      </c>
    </row>
    <row r="20" ht="15" customHeight="1" s="160">
      <c r="A20" s="282" t="n">
        <v>12</v>
      </c>
      <c r="B20" s="283">
        <f>$B$6</f>
        <v/>
      </c>
      <c r="C20" s="283">
        <f>B20-D20</f>
        <v/>
      </c>
      <c r="D20" s="283">
        <f>E19*$B$4/12</f>
        <v/>
      </c>
      <c r="E20" s="283">
        <f>E19-C20</f>
        <v/>
      </c>
    </row>
    <row r="21" ht="15" customHeight="1" s="160">
      <c r="A21" s="281" t="n">
        <v>13</v>
      </c>
      <c r="B21" s="195">
        <f>$B$6</f>
        <v/>
      </c>
      <c r="C21" s="195">
        <f>B21-D21</f>
        <v/>
      </c>
      <c r="D21" s="195">
        <f>E20*$B$4/12</f>
        <v/>
      </c>
      <c r="E21" s="195">
        <f>E20-C21</f>
        <v/>
      </c>
    </row>
    <row r="22" ht="15" customHeight="1" s="160">
      <c r="A22" s="282" t="n">
        <v>14</v>
      </c>
      <c r="B22" s="283">
        <f>$B$6</f>
        <v/>
      </c>
      <c r="C22" s="283">
        <f>B22-D22</f>
        <v/>
      </c>
      <c r="D22" s="283">
        <f>E21*$B$4/12</f>
        <v/>
      </c>
      <c r="E22" s="283">
        <f>E21-C22</f>
        <v/>
      </c>
    </row>
    <row r="23" ht="15" customHeight="1" s="160">
      <c r="A23" s="281" t="n">
        <v>15</v>
      </c>
      <c r="B23" s="195">
        <f>$B$6</f>
        <v/>
      </c>
      <c r="C23" s="195">
        <f>B23-D23</f>
        <v/>
      </c>
      <c r="D23" s="195">
        <f>E22*$B$4/12</f>
        <v/>
      </c>
      <c r="E23" s="195">
        <f>E22-C23</f>
        <v/>
      </c>
    </row>
    <row r="24" ht="15" customHeight="1" s="160">
      <c r="A24" s="282" t="n">
        <v>16</v>
      </c>
      <c r="B24" s="283">
        <f>$B$6</f>
        <v/>
      </c>
      <c r="C24" s="283">
        <f>B24-D24</f>
        <v/>
      </c>
      <c r="D24" s="283">
        <f>E23*$B$4/12</f>
        <v/>
      </c>
      <c r="E24" s="283">
        <f>E23-C24</f>
        <v/>
      </c>
    </row>
    <row r="25" ht="15" customHeight="1" s="160">
      <c r="A25" s="281" t="n">
        <v>17</v>
      </c>
      <c r="B25" s="195">
        <f>$B$6</f>
        <v/>
      </c>
      <c r="C25" s="195">
        <f>B25-D25</f>
        <v/>
      </c>
      <c r="D25" s="195">
        <f>E24*$B$4/12</f>
        <v/>
      </c>
      <c r="E25" s="195">
        <f>E24-C25</f>
        <v/>
      </c>
    </row>
    <row r="26" ht="15" customHeight="1" s="160">
      <c r="A26" s="282" t="n">
        <v>18</v>
      </c>
      <c r="B26" s="283">
        <f>$B$6</f>
        <v/>
      </c>
      <c r="C26" s="283">
        <f>B26-D26</f>
        <v/>
      </c>
      <c r="D26" s="283">
        <f>E25*$B$4/12</f>
        <v/>
      </c>
      <c r="E26" s="283">
        <f>E25-C26</f>
        <v/>
      </c>
    </row>
    <row r="27" ht="15" customHeight="1" s="160">
      <c r="A27" s="281" t="n">
        <v>19</v>
      </c>
      <c r="B27" s="195">
        <f>$B$6</f>
        <v/>
      </c>
      <c r="C27" s="195">
        <f>B27-D27</f>
        <v/>
      </c>
      <c r="D27" s="195">
        <f>E26*$B$4/12</f>
        <v/>
      </c>
      <c r="E27" s="195">
        <f>E26-C27</f>
        <v/>
      </c>
    </row>
    <row r="28" ht="15" customHeight="1" s="160">
      <c r="A28" s="282" t="n">
        <v>20</v>
      </c>
      <c r="B28" s="283">
        <f>$B$6</f>
        <v/>
      </c>
      <c r="C28" s="283">
        <f>B28-D28</f>
        <v/>
      </c>
      <c r="D28" s="283">
        <f>E27*$B$4/12</f>
        <v/>
      </c>
      <c r="E28" s="283">
        <f>E27-C28</f>
        <v/>
      </c>
    </row>
    <row r="29" ht="15" customHeight="1" s="160">
      <c r="A29" s="281" t="n">
        <v>21</v>
      </c>
      <c r="B29" s="195">
        <f>$B$6</f>
        <v/>
      </c>
      <c r="C29" s="195">
        <f>B29-D29</f>
        <v/>
      </c>
      <c r="D29" s="195">
        <f>E28*$B$4/12</f>
        <v/>
      </c>
      <c r="E29" s="195">
        <f>E28-C29</f>
        <v/>
      </c>
    </row>
    <row r="30" ht="15" customHeight="1" s="160">
      <c r="A30" s="282" t="n">
        <v>22</v>
      </c>
      <c r="B30" s="283">
        <f>$B$6</f>
        <v/>
      </c>
      <c r="C30" s="283">
        <f>B30-D30</f>
        <v/>
      </c>
      <c r="D30" s="283">
        <f>E29*$B$4/12</f>
        <v/>
      </c>
      <c r="E30" s="283">
        <f>E29-C30</f>
        <v/>
      </c>
    </row>
    <row r="31" ht="15" customHeight="1" s="160">
      <c r="A31" s="281" t="n">
        <v>23</v>
      </c>
      <c r="B31" s="195">
        <f>$B$6</f>
        <v/>
      </c>
      <c r="C31" s="195">
        <f>B31-D31</f>
        <v/>
      </c>
      <c r="D31" s="195">
        <f>E30*$B$4/12</f>
        <v/>
      </c>
      <c r="E31" s="195">
        <f>E30-C31</f>
        <v/>
      </c>
    </row>
    <row r="32" ht="15" customHeight="1" s="160">
      <c r="A32" s="282" t="n">
        <v>24</v>
      </c>
      <c r="B32" s="283">
        <f>$B$6</f>
        <v/>
      </c>
      <c r="C32" s="283">
        <f>B32-D32</f>
        <v/>
      </c>
      <c r="D32" s="283">
        <f>E31*$B$4/12</f>
        <v/>
      </c>
      <c r="E32" s="283">
        <f>E31-C32</f>
        <v/>
      </c>
    </row>
    <row r="33" ht="15" customHeight="1" s="160">
      <c r="A33" s="281" t="n">
        <v>25</v>
      </c>
      <c r="B33" s="195">
        <f>$B$6</f>
        <v/>
      </c>
      <c r="C33" s="195">
        <f>B33-D33</f>
        <v/>
      </c>
      <c r="D33" s="195">
        <f>E32*$B$4/12</f>
        <v/>
      </c>
      <c r="E33" s="195">
        <f>E32-C33</f>
        <v/>
      </c>
    </row>
    <row r="34" ht="15" customHeight="1" s="160">
      <c r="A34" s="282" t="n">
        <v>26</v>
      </c>
      <c r="B34" s="283">
        <f>$B$6</f>
        <v/>
      </c>
      <c r="C34" s="283">
        <f>B34-D34</f>
        <v/>
      </c>
      <c r="D34" s="283">
        <f>E33*$B$4/12</f>
        <v/>
      </c>
      <c r="E34" s="283">
        <f>E33-C34</f>
        <v/>
      </c>
    </row>
    <row r="35" ht="15" customHeight="1" s="160">
      <c r="A35" s="281" t="n">
        <v>27</v>
      </c>
      <c r="B35" s="195">
        <f>$B$6</f>
        <v/>
      </c>
      <c r="C35" s="195">
        <f>B35-D35</f>
        <v/>
      </c>
      <c r="D35" s="195">
        <f>E34*$B$4/12</f>
        <v/>
      </c>
      <c r="E35" s="195">
        <f>E34-C35</f>
        <v/>
      </c>
    </row>
    <row r="36" ht="15" customHeight="1" s="160">
      <c r="A36" s="282" t="n">
        <v>28</v>
      </c>
      <c r="B36" s="283">
        <f>$B$6</f>
        <v/>
      </c>
      <c r="C36" s="283">
        <f>B36-D36</f>
        <v/>
      </c>
      <c r="D36" s="283">
        <f>E35*$B$4/12</f>
        <v/>
      </c>
      <c r="E36" s="283">
        <f>E35-C36</f>
        <v/>
      </c>
    </row>
    <row r="37" ht="15" customHeight="1" s="160">
      <c r="A37" s="281" t="n">
        <v>29</v>
      </c>
      <c r="B37" s="195">
        <f>$B$6</f>
        <v/>
      </c>
      <c r="C37" s="195">
        <f>B37-D37</f>
        <v/>
      </c>
      <c r="D37" s="195">
        <f>E36*$B$4/12</f>
        <v/>
      </c>
      <c r="E37" s="195">
        <f>E36-C37</f>
        <v/>
      </c>
    </row>
    <row r="38" ht="15" customHeight="1" s="160">
      <c r="A38" s="282" t="n">
        <v>30</v>
      </c>
      <c r="B38" s="283">
        <f>$B$6</f>
        <v/>
      </c>
      <c r="C38" s="283">
        <f>B38-D38</f>
        <v/>
      </c>
      <c r="D38" s="283">
        <f>E37*$B$4/12</f>
        <v/>
      </c>
      <c r="E38" s="283">
        <f>E37-C38</f>
        <v/>
      </c>
    </row>
    <row r="39" ht="15" customHeight="1" s="160">
      <c r="A39" s="281" t="n">
        <v>31</v>
      </c>
      <c r="B39" s="195">
        <f>$B$6</f>
        <v/>
      </c>
      <c r="C39" s="195">
        <f>B39-D39</f>
        <v/>
      </c>
      <c r="D39" s="195">
        <f>E38*$B$4/12</f>
        <v/>
      </c>
      <c r="E39" s="195">
        <f>E38-C39</f>
        <v/>
      </c>
    </row>
    <row r="40" ht="15" customHeight="1" s="160">
      <c r="A40" s="282" t="n">
        <v>32</v>
      </c>
      <c r="B40" s="283">
        <f>$B$6</f>
        <v/>
      </c>
      <c r="C40" s="283">
        <f>B40-D40</f>
        <v/>
      </c>
      <c r="D40" s="283">
        <f>E39*$B$4/12</f>
        <v/>
      </c>
      <c r="E40" s="283">
        <f>E39-C40</f>
        <v/>
      </c>
    </row>
    <row r="41" ht="15" customHeight="1" s="160">
      <c r="A41" s="281" t="n">
        <v>33</v>
      </c>
      <c r="B41" s="195">
        <f>$B$6</f>
        <v/>
      </c>
      <c r="C41" s="195">
        <f>B41-D41</f>
        <v/>
      </c>
      <c r="D41" s="195">
        <f>E40*$B$4/12</f>
        <v/>
      </c>
      <c r="E41" s="195">
        <f>E40-C41</f>
        <v/>
      </c>
    </row>
    <row r="42" ht="15" customHeight="1" s="160">
      <c r="A42" s="282" t="n">
        <v>34</v>
      </c>
      <c r="B42" s="283">
        <f>$B$6</f>
        <v/>
      </c>
      <c r="C42" s="283">
        <f>B42-D42</f>
        <v/>
      </c>
      <c r="D42" s="283">
        <f>E41*$B$4/12</f>
        <v/>
      </c>
      <c r="E42" s="283">
        <f>E41-C42</f>
        <v/>
      </c>
    </row>
    <row r="43" ht="15" customHeight="1" s="160">
      <c r="A43" s="281" t="n">
        <v>35</v>
      </c>
      <c r="B43" s="195">
        <f>$B$6</f>
        <v/>
      </c>
      <c r="C43" s="195">
        <f>B43-D43</f>
        <v/>
      </c>
      <c r="D43" s="195">
        <f>E42*$B$4/12</f>
        <v/>
      </c>
      <c r="E43" s="195">
        <f>E42-C43</f>
        <v/>
      </c>
    </row>
    <row r="44" ht="15" customHeight="1" s="160">
      <c r="A44" s="282" t="n">
        <v>36</v>
      </c>
      <c r="B44" s="283">
        <f>$B$6</f>
        <v/>
      </c>
      <c r="C44" s="283">
        <f>B44-D44</f>
        <v/>
      </c>
      <c r="D44" s="283">
        <f>E43*$B$4/12</f>
        <v/>
      </c>
      <c r="E44" s="283">
        <f>E43-C44</f>
        <v/>
      </c>
    </row>
    <row r="45" ht="15" customHeight="1" s="160">
      <c r="A45" s="281" t="n">
        <v>37</v>
      </c>
      <c r="B45" s="195">
        <f>$B$6</f>
        <v/>
      </c>
      <c r="C45" s="195">
        <f>B45-D45</f>
        <v/>
      </c>
      <c r="D45" s="195">
        <f>E44*$B$4/12</f>
        <v/>
      </c>
      <c r="E45" s="195">
        <f>E44-C45</f>
        <v/>
      </c>
    </row>
    <row r="46" ht="15" customHeight="1" s="160">
      <c r="A46" s="282" t="n">
        <v>38</v>
      </c>
      <c r="B46" s="283">
        <f>$B$6</f>
        <v/>
      </c>
      <c r="C46" s="283">
        <f>B46-D46</f>
        <v/>
      </c>
      <c r="D46" s="283">
        <f>E45*$B$4/12</f>
        <v/>
      </c>
      <c r="E46" s="283">
        <f>E45-C46</f>
        <v/>
      </c>
    </row>
    <row r="47" ht="15" customHeight="1" s="160">
      <c r="A47" s="281" t="n">
        <v>39</v>
      </c>
      <c r="B47" s="195">
        <f>$B$6</f>
        <v/>
      </c>
      <c r="C47" s="195">
        <f>B47-D47</f>
        <v/>
      </c>
      <c r="D47" s="195">
        <f>E46*$B$4/12</f>
        <v/>
      </c>
      <c r="E47" s="195">
        <f>E46-C47</f>
        <v/>
      </c>
    </row>
    <row r="48" ht="15" customHeight="1" s="160">
      <c r="A48" s="282" t="n">
        <v>40</v>
      </c>
      <c r="B48" s="283">
        <f>$B$6</f>
        <v/>
      </c>
      <c r="C48" s="283">
        <f>B48-D48</f>
        <v/>
      </c>
      <c r="D48" s="283">
        <f>E47*$B$4/12</f>
        <v/>
      </c>
      <c r="E48" s="283">
        <f>E47-C48</f>
        <v/>
      </c>
    </row>
    <row r="49" ht="15" customHeight="1" s="160">
      <c r="A49" s="281" t="n">
        <v>41</v>
      </c>
      <c r="B49" s="195">
        <f>$B$6</f>
        <v/>
      </c>
      <c r="C49" s="195">
        <f>B49-D49</f>
        <v/>
      </c>
      <c r="D49" s="195">
        <f>E48*$B$4/12</f>
        <v/>
      </c>
      <c r="E49" s="195">
        <f>E48-C49</f>
        <v/>
      </c>
    </row>
    <row r="50" ht="15" customHeight="1" s="160">
      <c r="A50" s="282" t="n">
        <v>42</v>
      </c>
      <c r="B50" s="283">
        <f>$B$6</f>
        <v/>
      </c>
      <c r="C50" s="283">
        <f>B50-D50</f>
        <v/>
      </c>
      <c r="D50" s="283">
        <f>E49*$B$4/12</f>
        <v/>
      </c>
      <c r="E50" s="283">
        <f>E49-C50</f>
        <v/>
      </c>
    </row>
    <row r="51" ht="15" customHeight="1" s="160">
      <c r="A51" s="281" t="n">
        <v>43</v>
      </c>
      <c r="B51" s="195">
        <f>$B$6</f>
        <v/>
      </c>
      <c r="C51" s="195">
        <f>B51-D51</f>
        <v/>
      </c>
      <c r="D51" s="195">
        <f>E50*$B$4/12</f>
        <v/>
      </c>
      <c r="E51" s="195">
        <f>E50-C51</f>
        <v/>
      </c>
    </row>
    <row r="52" ht="15" customHeight="1" s="160">
      <c r="A52" s="282" t="n">
        <v>44</v>
      </c>
      <c r="B52" s="283">
        <f>$B$6</f>
        <v/>
      </c>
      <c r="C52" s="283">
        <f>B52-D52</f>
        <v/>
      </c>
      <c r="D52" s="283">
        <f>E51*$B$4/12</f>
        <v/>
      </c>
      <c r="E52" s="283">
        <f>E51-C52</f>
        <v/>
      </c>
    </row>
    <row r="53" ht="15" customHeight="1" s="160">
      <c r="A53" s="281" t="n">
        <v>45</v>
      </c>
      <c r="B53" s="195">
        <f>$B$6</f>
        <v/>
      </c>
      <c r="C53" s="195">
        <f>B53-D53</f>
        <v/>
      </c>
      <c r="D53" s="195">
        <f>E52*$B$4/12</f>
        <v/>
      </c>
      <c r="E53" s="195">
        <f>E52-C53</f>
        <v/>
      </c>
    </row>
    <row r="54" ht="15" customHeight="1" s="160">
      <c r="A54" s="282" t="n">
        <v>46</v>
      </c>
      <c r="B54" s="283">
        <f>$B$6</f>
        <v/>
      </c>
      <c r="C54" s="283">
        <f>B54-D54</f>
        <v/>
      </c>
      <c r="D54" s="283">
        <f>E53*$B$4/12</f>
        <v/>
      </c>
      <c r="E54" s="283">
        <f>E53-C54</f>
        <v/>
      </c>
    </row>
    <row r="55" ht="15" customHeight="1" s="160">
      <c r="A55" s="281" t="n">
        <v>47</v>
      </c>
      <c r="B55" s="195">
        <f>$B$6</f>
        <v/>
      </c>
      <c r="C55" s="195">
        <f>B55-D55</f>
        <v/>
      </c>
      <c r="D55" s="195">
        <f>E54*$B$4/12</f>
        <v/>
      </c>
      <c r="E55" s="195">
        <f>E54-C55</f>
        <v/>
      </c>
    </row>
    <row r="56" ht="15" customHeight="1" s="160">
      <c r="A56" s="282" t="n">
        <v>48</v>
      </c>
      <c r="B56" s="283">
        <f>$B$6</f>
        <v/>
      </c>
      <c r="C56" s="283">
        <f>B56-D56</f>
        <v/>
      </c>
      <c r="D56" s="283">
        <f>E55*$B$4/12</f>
        <v/>
      </c>
      <c r="E56" s="283">
        <f>E55-C56</f>
        <v/>
      </c>
    </row>
    <row r="57" ht="15" customHeight="1" s="160">
      <c r="A57" s="281" t="n">
        <v>49</v>
      </c>
      <c r="B57" s="195">
        <f>$B$6</f>
        <v/>
      </c>
      <c r="C57" s="195">
        <f>B57-D57</f>
        <v/>
      </c>
      <c r="D57" s="195">
        <f>E56*$B$4/12</f>
        <v/>
      </c>
      <c r="E57" s="195">
        <f>E56-C57</f>
        <v/>
      </c>
    </row>
    <row r="58" ht="15" customHeight="1" s="160">
      <c r="A58" s="282" t="n">
        <v>50</v>
      </c>
      <c r="B58" s="283">
        <f>$B$6</f>
        <v/>
      </c>
      <c r="C58" s="283">
        <f>B58-D58</f>
        <v/>
      </c>
      <c r="D58" s="283">
        <f>E57*$B$4/12</f>
        <v/>
      </c>
      <c r="E58" s="283">
        <f>E57-C58</f>
        <v/>
      </c>
    </row>
    <row r="59" ht="15" customHeight="1" s="160">
      <c r="A59" s="281" t="n">
        <v>51</v>
      </c>
      <c r="B59" s="195">
        <f>$B$6</f>
        <v/>
      </c>
      <c r="C59" s="195">
        <f>B59-D59</f>
        <v/>
      </c>
      <c r="D59" s="195">
        <f>E58*$B$4/12</f>
        <v/>
      </c>
      <c r="E59" s="195">
        <f>E58-C59</f>
        <v/>
      </c>
    </row>
    <row r="60" ht="15" customHeight="1" s="160">
      <c r="A60" s="282" t="n">
        <v>52</v>
      </c>
      <c r="B60" s="283">
        <f>$B$6</f>
        <v/>
      </c>
      <c r="C60" s="283">
        <f>B60-D60</f>
        <v/>
      </c>
      <c r="D60" s="283">
        <f>E59*$B$4/12</f>
        <v/>
      </c>
      <c r="E60" s="283">
        <f>E59-C60</f>
        <v/>
      </c>
    </row>
    <row r="61" ht="15" customHeight="1" s="160">
      <c r="A61" s="281" t="n">
        <v>53</v>
      </c>
      <c r="B61" s="195">
        <f>$B$6</f>
        <v/>
      </c>
      <c r="C61" s="195">
        <f>B61-D61</f>
        <v/>
      </c>
      <c r="D61" s="195">
        <f>E60*$B$4/12</f>
        <v/>
      </c>
      <c r="E61" s="195">
        <f>E60-C61</f>
        <v/>
      </c>
    </row>
    <row r="62" ht="15" customHeight="1" s="160">
      <c r="A62" s="282" t="n">
        <v>54</v>
      </c>
      <c r="B62" s="283">
        <f>$B$6</f>
        <v/>
      </c>
      <c r="C62" s="283">
        <f>B62-D62</f>
        <v/>
      </c>
      <c r="D62" s="283">
        <f>E61*$B$4/12</f>
        <v/>
      </c>
      <c r="E62" s="283">
        <f>E61-C62</f>
        <v/>
      </c>
    </row>
    <row r="63" ht="15" customHeight="1" s="160">
      <c r="A63" s="281" t="n">
        <v>55</v>
      </c>
      <c r="B63" s="195">
        <f>$B$6</f>
        <v/>
      </c>
      <c r="C63" s="195">
        <f>B63-D63</f>
        <v/>
      </c>
      <c r="D63" s="195">
        <f>E62*$B$4/12</f>
        <v/>
      </c>
      <c r="E63" s="195">
        <f>E62-C63</f>
        <v/>
      </c>
    </row>
    <row r="64" ht="15" customHeight="1" s="160">
      <c r="A64" s="282" t="n">
        <v>56</v>
      </c>
      <c r="B64" s="283">
        <f>$B$6</f>
        <v/>
      </c>
      <c r="C64" s="283">
        <f>B64-D64</f>
        <v/>
      </c>
      <c r="D64" s="283">
        <f>E63*$B$4/12</f>
        <v/>
      </c>
      <c r="E64" s="283">
        <f>E63-C64</f>
        <v/>
      </c>
    </row>
    <row r="65" ht="15" customHeight="1" s="160">
      <c r="A65" s="281" t="n">
        <v>57</v>
      </c>
      <c r="B65" s="195">
        <f>$B$6</f>
        <v/>
      </c>
      <c r="C65" s="195">
        <f>B65-D65</f>
        <v/>
      </c>
      <c r="D65" s="195">
        <f>E64*$B$4/12</f>
        <v/>
      </c>
      <c r="E65" s="195">
        <f>E64-C65</f>
        <v/>
      </c>
    </row>
    <row r="66" ht="15" customHeight="1" s="160">
      <c r="A66" s="282" t="n">
        <v>58</v>
      </c>
      <c r="B66" s="283">
        <f>$B$6</f>
        <v/>
      </c>
      <c r="C66" s="283">
        <f>B66-D66</f>
        <v/>
      </c>
      <c r="D66" s="283">
        <f>E65*$B$4/12</f>
        <v/>
      </c>
      <c r="E66" s="283">
        <f>E65-C66</f>
        <v/>
      </c>
    </row>
    <row r="67" ht="15" customHeight="1" s="160">
      <c r="A67" s="281" t="n">
        <v>59</v>
      </c>
      <c r="B67" s="195">
        <f>$B$6</f>
        <v/>
      </c>
      <c r="C67" s="195">
        <f>B67-D67</f>
        <v/>
      </c>
      <c r="D67" s="195">
        <f>E66*$B$4/12</f>
        <v/>
      </c>
      <c r="E67" s="195">
        <f>E66-C67</f>
        <v/>
      </c>
    </row>
    <row r="68" ht="15" customHeight="1" s="160">
      <c r="A68" s="282" t="n">
        <v>60</v>
      </c>
      <c r="B68" s="283">
        <f>$B$6</f>
        <v/>
      </c>
      <c r="C68" s="283">
        <f>B68-D68</f>
        <v/>
      </c>
      <c r="D68" s="283">
        <f>E67*$B$4/12</f>
        <v/>
      </c>
      <c r="E68" s="283">
        <f>E67-C68</f>
        <v/>
      </c>
    </row>
    <row r="69" ht="15" customHeight="1" s="160">
      <c r="A69" s="281" t="n">
        <v>61</v>
      </c>
      <c r="B69" s="195">
        <f>$B$6</f>
        <v/>
      </c>
      <c r="C69" s="195">
        <f>B69-D69</f>
        <v/>
      </c>
      <c r="D69" s="195">
        <f>E68*$B$4/12</f>
        <v/>
      </c>
      <c r="E69" s="195">
        <f>E68-C69</f>
        <v/>
      </c>
    </row>
    <row r="70" ht="15" customHeight="1" s="160">
      <c r="A70" s="282" t="n">
        <v>62</v>
      </c>
      <c r="B70" s="283">
        <f>$B$6</f>
        <v/>
      </c>
      <c r="C70" s="283">
        <f>B70-D70</f>
        <v/>
      </c>
      <c r="D70" s="283">
        <f>E69*$B$4/12</f>
        <v/>
      </c>
      <c r="E70" s="283">
        <f>E69-C70</f>
        <v/>
      </c>
    </row>
    <row r="71" ht="15" customHeight="1" s="160">
      <c r="A71" s="281" t="n">
        <v>63</v>
      </c>
      <c r="B71" s="195">
        <f>$B$6</f>
        <v/>
      </c>
      <c r="C71" s="195">
        <f>B71-D71</f>
        <v/>
      </c>
      <c r="D71" s="195">
        <f>E70*$B$4/12</f>
        <v/>
      </c>
      <c r="E71" s="195">
        <f>E70-C71</f>
        <v/>
      </c>
    </row>
    <row r="72" ht="15" customHeight="1" s="160">
      <c r="A72" s="282" t="n">
        <v>64</v>
      </c>
      <c r="B72" s="283">
        <f>$B$6</f>
        <v/>
      </c>
      <c r="C72" s="283">
        <f>B72-D72</f>
        <v/>
      </c>
      <c r="D72" s="283">
        <f>E71*$B$4/12</f>
        <v/>
      </c>
      <c r="E72" s="283">
        <f>E71-C72</f>
        <v/>
      </c>
    </row>
    <row r="73" ht="15" customHeight="1" s="160">
      <c r="A73" s="281" t="n">
        <v>65</v>
      </c>
      <c r="B73" s="195">
        <f>$B$6</f>
        <v/>
      </c>
      <c r="C73" s="195">
        <f>B73-D73</f>
        <v/>
      </c>
      <c r="D73" s="195">
        <f>E72*$B$4/12</f>
        <v/>
      </c>
      <c r="E73" s="195">
        <f>E72-C73</f>
        <v/>
      </c>
    </row>
    <row r="74" ht="15" customHeight="1" s="160">
      <c r="A74" s="282" t="n">
        <v>66</v>
      </c>
      <c r="B74" s="283">
        <f>$B$6</f>
        <v/>
      </c>
      <c r="C74" s="283">
        <f>B74-D74</f>
        <v/>
      </c>
      <c r="D74" s="283">
        <f>E73*$B$4/12</f>
        <v/>
      </c>
      <c r="E74" s="283">
        <f>E73-C74</f>
        <v/>
      </c>
    </row>
    <row r="75" ht="15" customHeight="1" s="160">
      <c r="A75" s="281" t="n">
        <v>67</v>
      </c>
      <c r="B75" s="195">
        <f>$B$6</f>
        <v/>
      </c>
      <c r="C75" s="195">
        <f>B75-D75</f>
        <v/>
      </c>
      <c r="D75" s="195">
        <f>E74*$B$4/12</f>
        <v/>
      </c>
      <c r="E75" s="195">
        <f>E74-C75</f>
        <v/>
      </c>
    </row>
    <row r="76" ht="15" customHeight="1" s="160">
      <c r="A76" s="282" t="n">
        <v>68</v>
      </c>
      <c r="B76" s="283">
        <f>$B$6</f>
        <v/>
      </c>
      <c r="C76" s="283">
        <f>B76-D76</f>
        <v/>
      </c>
      <c r="D76" s="283">
        <f>E75*$B$4/12</f>
        <v/>
      </c>
      <c r="E76" s="283">
        <f>E75-C76</f>
        <v/>
      </c>
    </row>
    <row r="77" ht="15" customHeight="1" s="160">
      <c r="A77" s="281" t="n">
        <v>69</v>
      </c>
      <c r="B77" s="195">
        <f>$B$6</f>
        <v/>
      </c>
      <c r="C77" s="195">
        <f>B77-D77</f>
        <v/>
      </c>
      <c r="D77" s="195">
        <f>E76*$B$4/12</f>
        <v/>
      </c>
      <c r="E77" s="195">
        <f>E76-C77</f>
        <v/>
      </c>
    </row>
    <row r="78" ht="15" customHeight="1" s="160">
      <c r="A78" s="282" t="n">
        <v>70</v>
      </c>
      <c r="B78" s="283">
        <f>$B$6</f>
        <v/>
      </c>
      <c r="C78" s="283">
        <f>B78-D78</f>
        <v/>
      </c>
      <c r="D78" s="283">
        <f>E77*$B$4/12</f>
        <v/>
      </c>
      <c r="E78" s="283">
        <f>E77-C78</f>
        <v/>
      </c>
    </row>
    <row r="79" ht="15" customHeight="1" s="160">
      <c r="A79" s="281" t="n">
        <v>71</v>
      </c>
      <c r="B79" s="195">
        <f>$B$6</f>
        <v/>
      </c>
      <c r="C79" s="195">
        <f>B79-D79</f>
        <v/>
      </c>
      <c r="D79" s="195">
        <f>E78*$B$4/12</f>
        <v/>
      </c>
      <c r="E79" s="195">
        <f>E78-C79</f>
        <v/>
      </c>
    </row>
    <row r="80" ht="15" customHeight="1" s="160">
      <c r="A80" s="282" t="n">
        <v>72</v>
      </c>
      <c r="B80" s="283">
        <f>$B$6</f>
        <v/>
      </c>
      <c r="C80" s="283">
        <f>B80-D80</f>
        <v/>
      </c>
      <c r="D80" s="283">
        <f>E79*$B$4/12</f>
        <v/>
      </c>
      <c r="E80" s="283">
        <f>E79-C80</f>
        <v/>
      </c>
    </row>
    <row r="81" ht="15" customHeight="1" s="160">
      <c r="A81" s="281" t="n">
        <v>73</v>
      </c>
      <c r="B81" s="195">
        <f>$B$6</f>
        <v/>
      </c>
      <c r="C81" s="195">
        <f>B81-D81</f>
        <v/>
      </c>
      <c r="D81" s="195">
        <f>E80*$B$4/12</f>
        <v/>
      </c>
      <c r="E81" s="195">
        <f>E80-C81</f>
        <v/>
      </c>
    </row>
    <row r="82" ht="15" customHeight="1" s="160">
      <c r="A82" s="282" t="n">
        <v>74</v>
      </c>
      <c r="B82" s="283">
        <f>$B$6</f>
        <v/>
      </c>
      <c r="C82" s="283">
        <f>B82-D82</f>
        <v/>
      </c>
      <c r="D82" s="283">
        <f>E81*$B$4/12</f>
        <v/>
      </c>
      <c r="E82" s="283">
        <f>E81-C82</f>
        <v/>
      </c>
    </row>
    <row r="83" ht="15" customHeight="1" s="160">
      <c r="A83" s="281" t="n">
        <v>75</v>
      </c>
      <c r="B83" s="195">
        <f>$B$6</f>
        <v/>
      </c>
      <c r="C83" s="195">
        <f>B83-D83</f>
        <v/>
      </c>
      <c r="D83" s="195">
        <f>E82*$B$4/12</f>
        <v/>
      </c>
      <c r="E83" s="195">
        <f>E82-C83</f>
        <v/>
      </c>
    </row>
    <row r="84" ht="15" customHeight="1" s="160">
      <c r="A84" s="282" t="n">
        <v>76</v>
      </c>
      <c r="B84" s="283">
        <f>$B$6</f>
        <v/>
      </c>
      <c r="C84" s="283">
        <f>B84-D84</f>
        <v/>
      </c>
      <c r="D84" s="283">
        <f>E83*$B$4/12</f>
        <v/>
      </c>
      <c r="E84" s="283">
        <f>E83-C84</f>
        <v/>
      </c>
    </row>
    <row r="85" ht="15" customHeight="1" s="160">
      <c r="A85" s="281" t="n">
        <v>77</v>
      </c>
      <c r="B85" s="195">
        <f>$B$6</f>
        <v/>
      </c>
      <c r="C85" s="195">
        <f>B85-D85</f>
        <v/>
      </c>
      <c r="D85" s="195">
        <f>E84*$B$4/12</f>
        <v/>
      </c>
      <c r="E85" s="195">
        <f>E84-C85</f>
        <v/>
      </c>
    </row>
    <row r="86" ht="15" customHeight="1" s="160">
      <c r="A86" s="282" t="n">
        <v>78</v>
      </c>
      <c r="B86" s="283">
        <f>$B$6</f>
        <v/>
      </c>
      <c r="C86" s="283">
        <f>B86-D86</f>
        <v/>
      </c>
      <c r="D86" s="283">
        <f>E85*$B$4/12</f>
        <v/>
      </c>
      <c r="E86" s="283">
        <f>E85-C86</f>
        <v/>
      </c>
    </row>
    <row r="87" ht="15" customHeight="1" s="160">
      <c r="A87" s="281" t="n">
        <v>79</v>
      </c>
      <c r="B87" s="195">
        <f>$B$6</f>
        <v/>
      </c>
      <c r="C87" s="195">
        <f>B87-D87</f>
        <v/>
      </c>
      <c r="D87" s="195">
        <f>E86*$B$4/12</f>
        <v/>
      </c>
      <c r="E87" s="195">
        <f>E86-C87</f>
        <v/>
      </c>
    </row>
    <row r="88" ht="15" customHeight="1" s="160">
      <c r="A88" s="282" t="n">
        <v>80</v>
      </c>
      <c r="B88" s="283">
        <f>$B$6</f>
        <v/>
      </c>
      <c r="C88" s="283">
        <f>B88-D88</f>
        <v/>
      </c>
      <c r="D88" s="283">
        <f>E87*$B$4/12</f>
        <v/>
      </c>
      <c r="E88" s="283">
        <f>E87-C88</f>
        <v/>
      </c>
    </row>
    <row r="89" ht="15" customHeight="1" s="160">
      <c r="A89" s="281" t="n">
        <v>81</v>
      </c>
      <c r="B89" s="195">
        <f>$B$6</f>
        <v/>
      </c>
      <c r="C89" s="195">
        <f>B89-D89</f>
        <v/>
      </c>
      <c r="D89" s="195">
        <f>E88*$B$4/12</f>
        <v/>
      </c>
      <c r="E89" s="195">
        <f>E88-C89</f>
        <v/>
      </c>
    </row>
    <row r="90" ht="15" customHeight="1" s="160">
      <c r="A90" s="282" t="n">
        <v>82</v>
      </c>
      <c r="B90" s="283">
        <f>$B$6</f>
        <v/>
      </c>
      <c r="C90" s="283">
        <f>B90-D90</f>
        <v/>
      </c>
      <c r="D90" s="283">
        <f>E89*$B$4/12</f>
        <v/>
      </c>
      <c r="E90" s="283">
        <f>E89-C90</f>
        <v/>
      </c>
    </row>
    <row r="91" ht="15" customHeight="1" s="160">
      <c r="A91" s="281" t="n">
        <v>83</v>
      </c>
      <c r="B91" s="195">
        <f>$B$6</f>
        <v/>
      </c>
      <c r="C91" s="195">
        <f>B91-D91</f>
        <v/>
      </c>
      <c r="D91" s="195">
        <f>E90*$B$4/12</f>
        <v/>
      </c>
      <c r="E91" s="195">
        <f>E90-C91</f>
        <v/>
      </c>
    </row>
    <row r="92" ht="15" customHeight="1" s="160">
      <c r="A92" s="282" t="n">
        <v>84</v>
      </c>
      <c r="B92" s="283">
        <f>$B$6</f>
        <v/>
      </c>
      <c r="C92" s="283">
        <f>B92-D92</f>
        <v/>
      </c>
      <c r="D92" s="283">
        <f>E91*$B$4/12</f>
        <v/>
      </c>
      <c r="E92" s="283">
        <f>E91-C92</f>
        <v/>
      </c>
    </row>
    <row r="93" ht="15" customHeight="1" s="160">
      <c r="A93" s="281" t="n">
        <v>85</v>
      </c>
      <c r="B93" s="195">
        <f>$B$6</f>
        <v/>
      </c>
      <c r="C93" s="195">
        <f>B93-D93</f>
        <v/>
      </c>
      <c r="D93" s="195">
        <f>E92*$B$4/12</f>
        <v/>
      </c>
      <c r="E93" s="195">
        <f>E92-C93</f>
        <v/>
      </c>
    </row>
    <row r="94" ht="15" customHeight="1" s="160">
      <c r="A94" s="282" t="n">
        <v>86</v>
      </c>
      <c r="B94" s="283">
        <f>$B$6</f>
        <v/>
      </c>
      <c r="C94" s="283">
        <f>B94-D94</f>
        <v/>
      </c>
      <c r="D94" s="283">
        <f>E93*$B$4/12</f>
        <v/>
      </c>
      <c r="E94" s="283">
        <f>E93-C94</f>
        <v/>
      </c>
    </row>
    <row r="95" ht="15" customHeight="1" s="160">
      <c r="A95" s="281" t="n">
        <v>87</v>
      </c>
      <c r="B95" s="195">
        <f>$B$6</f>
        <v/>
      </c>
      <c r="C95" s="195">
        <f>B95-D95</f>
        <v/>
      </c>
      <c r="D95" s="195">
        <f>E94*$B$4/12</f>
        <v/>
      </c>
      <c r="E95" s="195">
        <f>E94-C95</f>
        <v/>
      </c>
    </row>
    <row r="96" ht="15" customHeight="1" s="160">
      <c r="A96" s="282" t="n">
        <v>88</v>
      </c>
      <c r="B96" s="283">
        <f>$B$6</f>
        <v/>
      </c>
      <c r="C96" s="283">
        <f>B96-D96</f>
        <v/>
      </c>
      <c r="D96" s="283">
        <f>E95*$B$4/12</f>
        <v/>
      </c>
      <c r="E96" s="283">
        <f>E95-C96</f>
        <v/>
      </c>
    </row>
    <row r="97" ht="15" customHeight="1" s="160">
      <c r="A97" s="281" t="n">
        <v>89</v>
      </c>
      <c r="B97" s="195">
        <f>$B$6</f>
        <v/>
      </c>
      <c r="C97" s="195">
        <f>B97-D97</f>
        <v/>
      </c>
      <c r="D97" s="195">
        <f>E96*$B$4/12</f>
        <v/>
      </c>
      <c r="E97" s="195">
        <f>E96-C97</f>
        <v/>
      </c>
    </row>
    <row r="98" ht="15" customHeight="1" s="160">
      <c r="A98" s="282" t="n">
        <v>90</v>
      </c>
      <c r="B98" s="283">
        <f>$B$6</f>
        <v/>
      </c>
      <c r="C98" s="283">
        <f>B98-D98</f>
        <v/>
      </c>
      <c r="D98" s="283">
        <f>E97*$B$4/12</f>
        <v/>
      </c>
      <c r="E98" s="283">
        <f>E97-C98</f>
        <v/>
      </c>
    </row>
    <row r="99" ht="15" customHeight="1" s="160">
      <c r="A99" s="281" t="n">
        <v>91</v>
      </c>
      <c r="B99" s="195">
        <f>$B$6</f>
        <v/>
      </c>
      <c r="C99" s="195">
        <f>B99-D99</f>
        <v/>
      </c>
      <c r="D99" s="195">
        <f>E98*$B$4/12</f>
        <v/>
      </c>
      <c r="E99" s="195">
        <f>E98-C99</f>
        <v/>
      </c>
    </row>
    <row r="100" ht="15" customHeight="1" s="160">
      <c r="A100" s="282" t="n">
        <v>92</v>
      </c>
      <c r="B100" s="283">
        <f>$B$6</f>
        <v/>
      </c>
      <c r="C100" s="283">
        <f>B100-D100</f>
        <v/>
      </c>
      <c r="D100" s="283">
        <f>E99*$B$4/12</f>
        <v/>
      </c>
      <c r="E100" s="283">
        <f>E99-C100</f>
        <v/>
      </c>
    </row>
    <row r="101" ht="15" customHeight="1" s="160">
      <c r="A101" s="281" t="n">
        <v>93</v>
      </c>
      <c r="B101" s="195">
        <f>$B$6</f>
        <v/>
      </c>
      <c r="C101" s="195">
        <f>B101-D101</f>
        <v/>
      </c>
      <c r="D101" s="195">
        <f>E100*$B$4/12</f>
        <v/>
      </c>
      <c r="E101" s="195">
        <f>E100-C101</f>
        <v/>
      </c>
    </row>
    <row r="102" ht="15" customHeight="1" s="160">
      <c r="A102" s="282" t="n">
        <v>94</v>
      </c>
      <c r="B102" s="283">
        <f>$B$6</f>
        <v/>
      </c>
      <c r="C102" s="283">
        <f>B102-D102</f>
        <v/>
      </c>
      <c r="D102" s="283">
        <f>E101*$B$4/12</f>
        <v/>
      </c>
      <c r="E102" s="283">
        <f>E101-C102</f>
        <v/>
      </c>
    </row>
    <row r="103" ht="15" customHeight="1" s="160">
      <c r="A103" s="281" t="n">
        <v>95</v>
      </c>
      <c r="B103" s="195">
        <f>$B$6</f>
        <v/>
      </c>
      <c r="C103" s="195">
        <f>B103-D103</f>
        <v/>
      </c>
      <c r="D103" s="195">
        <f>E102*$B$4/12</f>
        <v/>
      </c>
      <c r="E103" s="195">
        <f>E102-C103</f>
        <v/>
      </c>
    </row>
    <row r="104" ht="15" customHeight="1" s="160">
      <c r="A104" s="282" t="n">
        <v>96</v>
      </c>
      <c r="B104" s="283">
        <f>$B$6</f>
        <v/>
      </c>
      <c r="C104" s="283">
        <f>B104-D104</f>
        <v/>
      </c>
      <c r="D104" s="283">
        <f>E103*$B$4/12</f>
        <v/>
      </c>
      <c r="E104" s="283">
        <f>E103-C104</f>
        <v/>
      </c>
    </row>
    <row r="105" ht="15" customHeight="1" s="160">
      <c r="A105" s="281" t="n">
        <v>97</v>
      </c>
      <c r="B105" s="195">
        <f>$B$6</f>
        <v/>
      </c>
      <c r="C105" s="195">
        <f>B105-D105</f>
        <v/>
      </c>
      <c r="D105" s="195">
        <f>E104*$B$4/12</f>
        <v/>
      </c>
      <c r="E105" s="195">
        <f>E104-C105</f>
        <v/>
      </c>
    </row>
    <row r="106" ht="15" customHeight="1" s="160">
      <c r="A106" s="282" t="n">
        <v>98</v>
      </c>
      <c r="B106" s="283">
        <f>$B$6</f>
        <v/>
      </c>
      <c r="C106" s="283">
        <f>B106-D106</f>
        <v/>
      </c>
      <c r="D106" s="283">
        <f>E105*$B$4/12</f>
        <v/>
      </c>
      <c r="E106" s="283">
        <f>E105-C106</f>
        <v/>
      </c>
    </row>
    <row r="107" ht="15" customHeight="1" s="160">
      <c r="A107" s="281" t="n">
        <v>99</v>
      </c>
      <c r="B107" s="195">
        <f>$B$6</f>
        <v/>
      </c>
      <c r="C107" s="195">
        <f>B107-D107</f>
        <v/>
      </c>
      <c r="D107" s="195">
        <f>E106*$B$4/12</f>
        <v/>
      </c>
      <c r="E107" s="195">
        <f>E106-C107</f>
        <v/>
      </c>
    </row>
    <row r="108" ht="15" customHeight="1" s="160">
      <c r="A108" s="282" t="n">
        <v>100</v>
      </c>
      <c r="B108" s="283">
        <f>$B$6</f>
        <v/>
      </c>
      <c r="C108" s="283">
        <f>B108-D108</f>
        <v/>
      </c>
      <c r="D108" s="283">
        <f>E107*$B$4/12</f>
        <v/>
      </c>
      <c r="E108" s="283">
        <f>E107-C108</f>
        <v/>
      </c>
    </row>
    <row r="109" ht="15" customHeight="1" s="160">
      <c r="A109" s="281" t="n">
        <v>101</v>
      </c>
      <c r="B109" s="195">
        <f>$B$6</f>
        <v/>
      </c>
      <c r="C109" s="195">
        <f>B109-D109</f>
        <v/>
      </c>
      <c r="D109" s="195">
        <f>E108*$B$4/12</f>
        <v/>
      </c>
      <c r="E109" s="195">
        <f>E108-C109</f>
        <v/>
      </c>
    </row>
    <row r="110" ht="15" customHeight="1" s="160">
      <c r="A110" s="282" t="n">
        <v>102</v>
      </c>
      <c r="B110" s="283">
        <f>$B$6</f>
        <v/>
      </c>
      <c r="C110" s="283">
        <f>B110-D110</f>
        <v/>
      </c>
      <c r="D110" s="283">
        <f>E109*$B$4/12</f>
        <v/>
      </c>
      <c r="E110" s="283">
        <f>E109-C110</f>
        <v/>
      </c>
    </row>
    <row r="111" ht="15" customHeight="1" s="160">
      <c r="A111" s="281" t="n">
        <v>103</v>
      </c>
      <c r="B111" s="195">
        <f>$B$6</f>
        <v/>
      </c>
      <c r="C111" s="195">
        <f>B111-D111</f>
        <v/>
      </c>
      <c r="D111" s="195">
        <f>E110*$B$4/12</f>
        <v/>
      </c>
      <c r="E111" s="195">
        <f>E110-C111</f>
        <v/>
      </c>
    </row>
    <row r="112" ht="15" customHeight="1" s="160">
      <c r="A112" s="282" t="n">
        <v>104</v>
      </c>
      <c r="B112" s="283">
        <f>$B$6</f>
        <v/>
      </c>
      <c r="C112" s="283">
        <f>B112-D112</f>
        <v/>
      </c>
      <c r="D112" s="283">
        <f>E111*$B$4/12</f>
        <v/>
      </c>
      <c r="E112" s="283">
        <f>E111-C112</f>
        <v/>
      </c>
    </row>
    <row r="113" ht="15" customHeight="1" s="160">
      <c r="A113" s="281" t="n">
        <v>105</v>
      </c>
      <c r="B113" s="195">
        <f>$B$6</f>
        <v/>
      </c>
      <c r="C113" s="195">
        <f>B113-D113</f>
        <v/>
      </c>
      <c r="D113" s="195">
        <f>E112*$B$4/12</f>
        <v/>
      </c>
      <c r="E113" s="195">
        <f>E112-C113</f>
        <v/>
      </c>
    </row>
    <row r="114" ht="15" customHeight="1" s="160">
      <c r="A114" s="282" t="n">
        <v>106</v>
      </c>
      <c r="B114" s="283">
        <f>$B$6</f>
        <v/>
      </c>
      <c r="C114" s="283">
        <f>B114-D114</f>
        <v/>
      </c>
      <c r="D114" s="283">
        <f>E113*$B$4/12</f>
        <v/>
      </c>
      <c r="E114" s="283">
        <f>E113-C114</f>
        <v/>
      </c>
    </row>
    <row r="115" ht="15" customHeight="1" s="160">
      <c r="A115" s="281" t="n">
        <v>107</v>
      </c>
      <c r="B115" s="195">
        <f>$B$6</f>
        <v/>
      </c>
      <c r="C115" s="195">
        <f>B115-D115</f>
        <v/>
      </c>
      <c r="D115" s="195">
        <f>E114*$B$4/12</f>
        <v/>
      </c>
      <c r="E115" s="195">
        <f>E114-C115</f>
        <v/>
      </c>
    </row>
    <row r="116" ht="15" customHeight="1" s="160">
      <c r="A116" s="282" t="n">
        <v>108</v>
      </c>
      <c r="B116" s="283">
        <f>$B$6</f>
        <v/>
      </c>
      <c r="C116" s="283">
        <f>B116-D116</f>
        <v/>
      </c>
      <c r="D116" s="283">
        <f>E115*$B$4/12</f>
        <v/>
      </c>
      <c r="E116" s="283">
        <f>E115-C116</f>
        <v/>
      </c>
    </row>
    <row r="117" ht="15" customHeight="1" s="160">
      <c r="A117" s="281" t="n">
        <v>109</v>
      </c>
      <c r="B117" s="195">
        <f>$B$6</f>
        <v/>
      </c>
      <c r="C117" s="195">
        <f>B117-D117</f>
        <v/>
      </c>
      <c r="D117" s="195">
        <f>E116*$B$4/12</f>
        <v/>
      </c>
      <c r="E117" s="195">
        <f>E116-C117</f>
        <v/>
      </c>
    </row>
    <row r="118" ht="15" customHeight="1" s="160">
      <c r="A118" s="282" t="n">
        <v>110</v>
      </c>
      <c r="B118" s="283">
        <f>$B$6</f>
        <v/>
      </c>
      <c r="C118" s="283">
        <f>B118-D118</f>
        <v/>
      </c>
      <c r="D118" s="283">
        <f>E117*$B$4/12</f>
        <v/>
      </c>
      <c r="E118" s="283">
        <f>E117-C118</f>
        <v/>
      </c>
    </row>
    <row r="119" ht="15" customHeight="1" s="160">
      <c r="A119" s="281" t="n">
        <v>111</v>
      </c>
      <c r="B119" s="195">
        <f>$B$6</f>
        <v/>
      </c>
      <c r="C119" s="195">
        <f>B119-D119</f>
        <v/>
      </c>
      <c r="D119" s="195">
        <f>E118*$B$4/12</f>
        <v/>
      </c>
      <c r="E119" s="195">
        <f>E118-C119</f>
        <v/>
      </c>
    </row>
    <row r="120" ht="15" customHeight="1" s="160">
      <c r="A120" s="282" t="n">
        <v>112</v>
      </c>
      <c r="B120" s="283">
        <f>$B$6</f>
        <v/>
      </c>
      <c r="C120" s="283">
        <f>B120-D120</f>
        <v/>
      </c>
      <c r="D120" s="283">
        <f>E119*$B$4/12</f>
        <v/>
      </c>
      <c r="E120" s="283">
        <f>E119-C120</f>
        <v/>
      </c>
    </row>
    <row r="121" ht="15" customHeight="1" s="160">
      <c r="A121" s="281" t="n">
        <v>113</v>
      </c>
      <c r="B121" s="195">
        <f>$B$6</f>
        <v/>
      </c>
      <c r="C121" s="195">
        <f>B121-D121</f>
        <v/>
      </c>
      <c r="D121" s="195">
        <f>E120*$B$4/12</f>
        <v/>
      </c>
      <c r="E121" s="195">
        <f>E120-C121</f>
        <v/>
      </c>
    </row>
    <row r="122" ht="15" customHeight="1" s="160">
      <c r="A122" s="282" t="n">
        <v>114</v>
      </c>
      <c r="B122" s="283">
        <f>$B$6</f>
        <v/>
      </c>
      <c r="C122" s="283">
        <f>B122-D122</f>
        <v/>
      </c>
      <c r="D122" s="283">
        <f>E121*$B$4/12</f>
        <v/>
      </c>
      <c r="E122" s="283">
        <f>E121-C122</f>
        <v/>
      </c>
    </row>
    <row r="123" ht="15" customHeight="1" s="160">
      <c r="A123" s="281" t="n">
        <v>115</v>
      </c>
      <c r="B123" s="195">
        <f>$B$6</f>
        <v/>
      </c>
      <c r="C123" s="195">
        <f>B123-D123</f>
        <v/>
      </c>
      <c r="D123" s="195">
        <f>E122*$B$4/12</f>
        <v/>
      </c>
      <c r="E123" s="195">
        <f>E122-C123</f>
        <v/>
      </c>
    </row>
    <row r="124" ht="15" customHeight="1" s="160">
      <c r="A124" s="282" t="n">
        <v>116</v>
      </c>
      <c r="B124" s="283">
        <f>$B$6</f>
        <v/>
      </c>
      <c r="C124" s="283">
        <f>B124-D124</f>
        <v/>
      </c>
      <c r="D124" s="283">
        <f>E123*$B$4/12</f>
        <v/>
      </c>
      <c r="E124" s="283">
        <f>E123-C124</f>
        <v/>
      </c>
    </row>
    <row r="125" ht="15" customHeight="1" s="160">
      <c r="A125" s="281" t="n">
        <v>117</v>
      </c>
      <c r="B125" s="195">
        <f>$B$6</f>
        <v/>
      </c>
      <c r="C125" s="195">
        <f>B125-D125</f>
        <v/>
      </c>
      <c r="D125" s="195">
        <f>E124*$B$4/12</f>
        <v/>
      </c>
      <c r="E125" s="195">
        <f>E124-C125</f>
        <v/>
      </c>
    </row>
    <row r="126" ht="15" customHeight="1" s="160">
      <c r="A126" s="282" t="n">
        <v>118</v>
      </c>
      <c r="B126" s="283">
        <f>$B$6</f>
        <v/>
      </c>
      <c r="C126" s="283">
        <f>B126-D126</f>
        <v/>
      </c>
      <c r="D126" s="283">
        <f>E125*$B$4/12</f>
        <v/>
      </c>
      <c r="E126" s="283">
        <f>E125-C126</f>
        <v/>
      </c>
    </row>
    <row r="127" ht="15" customHeight="1" s="160">
      <c r="A127" s="281" t="n">
        <v>119</v>
      </c>
      <c r="B127" s="195">
        <f>$B$6</f>
        <v/>
      </c>
      <c r="C127" s="195">
        <f>B127-D127</f>
        <v/>
      </c>
      <c r="D127" s="195">
        <f>E126*$B$4/12</f>
        <v/>
      </c>
      <c r="E127" s="195">
        <f>E126-C127</f>
        <v/>
      </c>
    </row>
    <row r="128" ht="15" customHeight="1" s="160">
      <c r="A128" s="282" t="n">
        <v>120</v>
      </c>
      <c r="B128" s="283">
        <f>$B$6</f>
        <v/>
      </c>
      <c r="C128" s="283">
        <f>B128-D128</f>
        <v/>
      </c>
      <c r="D128" s="283">
        <f>E127*$B$4/12</f>
        <v/>
      </c>
      <c r="E128" s="283">
        <f>E127-C128</f>
        <v/>
      </c>
    </row>
    <row r="129" ht="15" customHeight="1" s="160">
      <c r="A129" s="281" t="n">
        <v>121</v>
      </c>
      <c r="B129" s="195">
        <f>$B$6</f>
        <v/>
      </c>
      <c r="C129" s="195">
        <f>B129-D129</f>
        <v/>
      </c>
      <c r="D129" s="195">
        <f>E128*$B$4/12</f>
        <v/>
      </c>
      <c r="E129" s="195">
        <f>E128-C129</f>
        <v/>
      </c>
    </row>
    <row r="130" ht="15" customHeight="1" s="160">
      <c r="A130" s="282" t="n">
        <v>122</v>
      </c>
      <c r="B130" s="283">
        <f>$B$6</f>
        <v/>
      </c>
      <c r="C130" s="283">
        <f>B130-D130</f>
        <v/>
      </c>
      <c r="D130" s="283">
        <f>E129*$B$4/12</f>
        <v/>
      </c>
      <c r="E130" s="283">
        <f>E129-C130</f>
        <v/>
      </c>
    </row>
    <row r="131" ht="15" customHeight="1" s="160">
      <c r="A131" s="281" t="n">
        <v>123</v>
      </c>
      <c r="B131" s="195">
        <f>$B$6</f>
        <v/>
      </c>
      <c r="C131" s="195">
        <f>B131-D131</f>
        <v/>
      </c>
      <c r="D131" s="195">
        <f>E130*$B$4/12</f>
        <v/>
      </c>
      <c r="E131" s="195">
        <f>E130-C131</f>
        <v/>
      </c>
    </row>
    <row r="132" ht="15" customHeight="1" s="160">
      <c r="A132" s="282" t="n">
        <v>124</v>
      </c>
      <c r="B132" s="283">
        <f>$B$6</f>
        <v/>
      </c>
      <c r="C132" s="283">
        <f>B132-D132</f>
        <v/>
      </c>
      <c r="D132" s="283">
        <f>E131*$B$4/12</f>
        <v/>
      </c>
      <c r="E132" s="283">
        <f>E131-C132</f>
        <v/>
      </c>
    </row>
    <row r="133" ht="15" customHeight="1" s="160">
      <c r="A133" s="281" t="n">
        <v>125</v>
      </c>
      <c r="B133" s="195">
        <f>$B$6</f>
        <v/>
      </c>
      <c r="C133" s="195">
        <f>B133-D133</f>
        <v/>
      </c>
      <c r="D133" s="195">
        <f>E132*$B$4/12</f>
        <v/>
      </c>
      <c r="E133" s="195">
        <f>E132-C133</f>
        <v/>
      </c>
    </row>
    <row r="134" ht="15" customHeight="1" s="160">
      <c r="A134" s="282" t="n">
        <v>126</v>
      </c>
      <c r="B134" s="283">
        <f>$B$6</f>
        <v/>
      </c>
      <c r="C134" s="283">
        <f>B134-D134</f>
        <v/>
      </c>
      <c r="D134" s="283">
        <f>E133*$B$4/12</f>
        <v/>
      </c>
      <c r="E134" s="283">
        <f>E133-C134</f>
        <v/>
      </c>
    </row>
    <row r="135" ht="15" customHeight="1" s="160">
      <c r="A135" s="281" t="n">
        <v>127</v>
      </c>
      <c r="B135" s="195">
        <f>$B$6</f>
        <v/>
      </c>
      <c r="C135" s="195">
        <f>B135-D135</f>
        <v/>
      </c>
      <c r="D135" s="195">
        <f>E134*$B$4/12</f>
        <v/>
      </c>
      <c r="E135" s="195">
        <f>E134-C135</f>
        <v/>
      </c>
    </row>
    <row r="136" ht="15" customHeight="1" s="160">
      <c r="A136" s="282" t="n">
        <v>128</v>
      </c>
      <c r="B136" s="283">
        <f>$B$6</f>
        <v/>
      </c>
      <c r="C136" s="283">
        <f>B136-D136</f>
        <v/>
      </c>
      <c r="D136" s="283">
        <f>E135*$B$4/12</f>
        <v/>
      </c>
      <c r="E136" s="283">
        <f>E135-C136</f>
        <v/>
      </c>
    </row>
    <row r="137" ht="15" customHeight="1" s="160">
      <c r="A137" s="281" t="n">
        <v>129</v>
      </c>
      <c r="B137" s="195">
        <f>$B$6</f>
        <v/>
      </c>
      <c r="C137" s="195">
        <f>B137-D137</f>
        <v/>
      </c>
      <c r="D137" s="195">
        <f>E136*$B$4/12</f>
        <v/>
      </c>
      <c r="E137" s="195">
        <f>E136-C137</f>
        <v/>
      </c>
    </row>
    <row r="138" ht="15" customHeight="1" s="160">
      <c r="A138" s="282" t="n">
        <v>130</v>
      </c>
      <c r="B138" s="283">
        <f>$B$6</f>
        <v/>
      </c>
      <c r="C138" s="283">
        <f>B138-D138</f>
        <v/>
      </c>
      <c r="D138" s="283">
        <f>E137*$B$4/12</f>
        <v/>
      </c>
      <c r="E138" s="283">
        <f>E137-C138</f>
        <v/>
      </c>
    </row>
    <row r="139" ht="15" customHeight="1" s="160">
      <c r="A139" s="281" t="n">
        <v>131</v>
      </c>
      <c r="B139" s="195">
        <f>$B$6</f>
        <v/>
      </c>
      <c r="C139" s="195">
        <f>B139-D139</f>
        <v/>
      </c>
      <c r="D139" s="195">
        <f>E138*$B$4/12</f>
        <v/>
      </c>
      <c r="E139" s="195">
        <f>E138-C139</f>
        <v/>
      </c>
    </row>
    <row r="140" ht="15" customHeight="1" s="160">
      <c r="A140" s="282" t="n">
        <v>132</v>
      </c>
      <c r="B140" s="283">
        <f>$B$6</f>
        <v/>
      </c>
      <c r="C140" s="283">
        <f>B140-D140</f>
        <v/>
      </c>
      <c r="D140" s="283">
        <f>E139*$B$4/12</f>
        <v/>
      </c>
      <c r="E140" s="283">
        <f>E139-C140</f>
        <v/>
      </c>
    </row>
    <row r="141" ht="15" customHeight="1" s="160">
      <c r="A141" s="281" t="n">
        <v>133</v>
      </c>
      <c r="B141" s="195">
        <f>$B$6</f>
        <v/>
      </c>
      <c r="C141" s="195">
        <f>B141-D141</f>
        <v/>
      </c>
      <c r="D141" s="195">
        <f>E140*$B$4/12</f>
        <v/>
      </c>
      <c r="E141" s="195">
        <f>E140-C141</f>
        <v/>
      </c>
    </row>
    <row r="142" ht="15" customHeight="1" s="160">
      <c r="A142" s="282" t="n">
        <v>134</v>
      </c>
      <c r="B142" s="283">
        <f>$B$6</f>
        <v/>
      </c>
      <c r="C142" s="283">
        <f>B142-D142</f>
        <v/>
      </c>
      <c r="D142" s="283">
        <f>E141*$B$4/12</f>
        <v/>
      </c>
      <c r="E142" s="283">
        <f>E141-C142</f>
        <v/>
      </c>
    </row>
    <row r="143" ht="15" customHeight="1" s="160">
      <c r="A143" s="281" t="n">
        <v>135</v>
      </c>
      <c r="B143" s="195">
        <f>$B$6</f>
        <v/>
      </c>
      <c r="C143" s="195">
        <f>B143-D143</f>
        <v/>
      </c>
      <c r="D143" s="195">
        <f>E142*$B$4/12</f>
        <v/>
      </c>
      <c r="E143" s="195">
        <f>E142-C143</f>
        <v/>
      </c>
    </row>
    <row r="144" ht="15" customHeight="1" s="160">
      <c r="A144" s="282" t="n">
        <v>136</v>
      </c>
      <c r="B144" s="283">
        <f>$B$6</f>
        <v/>
      </c>
      <c r="C144" s="283">
        <f>B144-D144</f>
        <v/>
      </c>
      <c r="D144" s="283">
        <f>E143*$B$4/12</f>
        <v/>
      </c>
      <c r="E144" s="283">
        <f>E143-C144</f>
        <v/>
      </c>
    </row>
    <row r="145" ht="15" customHeight="1" s="160">
      <c r="A145" s="281" t="n">
        <v>137</v>
      </c>
      <c r="B145" s="195">
        <f>$B$6</f>
        <v/>
      </c>
      <c r="C145" s="195">
        <f>B145-D145</f>
        <v/>
      </c>
      <c r="D145" s="195">
        <f>E144*$B$4/12</f>
        <v/>
      </c>
      <c r="E145" s="195">
        <f>E144-C145</f>
        <v/>
      </c>
    </row>
    <row r="146" ht="15" customHeight="1" s="160">
      <c r="A146" s="282" t="n">
        <v>138</v>
      </c>
      <c r="B146" s="283">
        <f>$B$6</f>
        <v/>
      </c>
      <c r="C146" s="283">
        <f>B146-D146</f>
        <v/>
      </c>
      <c r="D146" s="283">
        <f>E145*$B$4/12</f>
        <v/>
      </c>
      <c r="E146" s="283">
        <f>E145-C146</f>
        <v/>
      </c>
    </row>
    <row r="147" ht="15" customHeight="1" s="160">
      <c r="A147" s="281" t="n">
        <v>139</v>
      </c>
      <c r="B147" s="195">
        <f>$B$6</f>
        <v/>
      </c>
      <c r="C147" s="195">
        <f>B147-D147</f>
        <v/>
      </c>
      <c r="D147" s="195">
        <f>E146*$B$4/12</f>
        <v/>
      </c>
      <c r="E147" s="195">
        <f>E146-C147</f>
        <v/>
      </c>
    </row>
    <row r="148" ht="15" customHeight="1" s="160">
      <c r="A148" s="282" t="n">
        <v>140</v>
      </c>
      <c r="B148" s="283">
        <f>$B$6</f>
        <v/>
      </c>
      <c r="C148" s="283">
        <f>B148-D148</f>
        <v/>
      </c>
      <c r="D148" s="283">
        <f>E147*$B$4/12</f>
        <v/>
      </c>
      <c r="E148" s="283">
        <f>E147-C148</f>
        <v/>
      </c>
    </row>
    <row r="149" ht="15" customHeight="1" s="160">
      <c r="A149" s="281" t="n">
        <v>141</v>
      </c>
      <c r="B149" s="195">
        <f>$B$6</f>
        <v/>
      </c>
      <c r="C149" s="195">
        <f>B149-D149</f>
        <v/>
      </c>
      <c r="D149" s="195">
        <f>E148*$B$4/12</f>
        <v/>
      </c>
      <c r="E149" s="195">
        <f>E148-C149</f>
        <v/>
      </c>
    </row>
    <row r="150" ht="15" customHeight="1" s="160">
      <c r="A150" s="282" t="n">
        <v>142</v>
      </c>
      <c r="B150" s="283">
        <f>$B$6</f>
        <v/>
      </c>
      <c r="C150" s="283">
        <f>B150-D150</f>
        <v/>
      </c>
      <c r="D150" s="283">
        <f>E149*$B$4/12</f>
        <v/>
      </c>
      <c r="E150" s="283">
        <f>E149-C150</f>
        <v/>
      </c>
    </row>
    <row r="151" ht="15" customHeight="1" s="160">
      <c r="A151" s="281" t="n">
        <v>143</v>
      </c>
      <c r="B151" s="195">
        <f>$B$6</f>
        <v/>
      </c>
      <c r="C151" s="195">
        <f>B151-D151</f>
        <v/>
      </c>
      <c r="D151" s="195">
        <f>E150*$B$4/12</f>
        <v/>
      </c>
      <c r="E151" s="195">
        <f>E150-C151</f>
        <v/>
      </c>
    </row>
    <row r="152" ht="15" customHeight="1" s="160">
      <c r="A152" s="282" t="n">
        <v>144</v>
      </c>
      <c r="B152" s="283">
        <f>$B$6</f>
        <v/>
      </c>
      <c r="C152" s="283">
        <f>B152-D152</f>
        <v/>
      </c>
      <c r="D152" s="283">
        <f>E151*$B$4/12</f>
        <v/>
      </c>
      <c r="E152" s="283">
        <f>E151-C152</f>
        <v/>
      </c>
    </row>
    <row r="153" ht="15" customHeight="1" s="160">
      <c r="A153" s="281" t="n">
        <v>145</v>
      </c>
      <c r="B153" s="195">
        <f>$B$6</f>
        <v/>
      </c>
      <c r="C153" s="195">
        <f>B153-D153</f>
        <v/>
      </c>
      <c r="D153" s="195">
        <f>E152*$B$4/12</f>
        <v/>
      </c>
      <c r="E153" s="195">
        <f>E152-C153</f>
        <v/>
      </c>
    </row>
    <row r="154" ht="15" customHeight="1" s="160">
      <c r="A154" s="282" t="n">
        <v>146</v>
      </c>
      <c r="B154" s="283">
        <f>$B$6</f>
        <v/>
      </c>
      <c r="C154" s="283">
        <f>B154-D154</f>
        <v/>
      </c>
      <c r="D154" s="283">
        <f>E153*$B$4/12</f>
        <v/>
      </c>
      <c r="E154" s="283">
        <f>E153-C154</f>
        <v/>
      </c>
    </row>
    <row r="155" ht="15" customHeight="1" s="160">
      <c r="A155" s="281" t="n">
        <v>147</v>
      </c>
      <c r="B155" s="195">
        <f>$B$6</f>
        <v/>
      </c>
      <c r="C155" s="195">
        <f>B155-D155</f>
        <v/>
      </c>
      <c r="D155" s="195">
        <f>E154*$B$4/12</f>
        <v/>
      </c>
      <c r="E155" s="195">
        <f>E154-C155</f>
        <v/>
      </c>
    </row>
    <row r="156" ht="15" customHeight="1" s="160">
      <c r="A156" s="282" t="n">
        <v>148</v>
      </c>
      <c r="B156" s="283">
        <f>$B$6</f>
        <v/>
      </c>
      <c r="C156" s="283">
        <f>B156-D156</f>
        <v/>
      </c>
      <c r="D156" s="283">
        <f>E155*$B$4/12</f>
        <v/>
      </c>
      <c r="E156" s="283">
        <f>E155-C156</f>
        <v/>
      </c>
    </row>
    <row r="157" ht="15" customHeight="1" s="160">
      <c r="A157" s="281" t="n">
        <v>149</v>
      </c>
      <c r="B157" s="195">
        <f>$B$6</f>
        <v/>
      </c>
      <c r="C157" s="195">
        <f>B157-D157</f>
        <v/>
      </c>
      <c r="D157" s="195">
        <f>E156*$B$4/12</f>
        <v/>
      </c>
      <c r="E157" s="195">
        <f>E156-C157</f>
        <v/>
      </c>
    </row>
    <row r="158" ht="15" customHeight="1" s="160">
      <c r="A158" s="282" t="n">
        <v>150</v>
      </c>
      <c r="B158" s="283">
        <f>$B$6</f>
        <v/>
      </c>
      <c r="C158" s="283">
        <f>B158-D158</f>
        <v/>
      </c>
      <c r="D158" s="283">
        <f>E157*$B$4/12</f>
        <v/>
      </c>
      <c r="E158" s="283">
        <f>E157-C158</f>
        <v/>
      </c>
    </row>
    <row r="159" ht="15" customHeight="1" s="160">
      <c r="A159" s="281" t="n">
        <v>151</v>
      </c>
      <c r="B159" s="195">
        <f>$B$6</f>
        <v/>
      </c>
      <c r="C159" s="195">
        <f>B159-D159</f>
        <v/>
      </c>
      <c r="D159" s="195">
        <f>E158*$B$4/12</f>
        <v/>
      </c>
      <c r="E159" s="195">
        <f>E158-C159</f>
        <v/>
      </c>
    </row>
    <row r="160" ht="15" customHeight="1" s="160">
      <c r="A160" s="282" t="n">
        <v>152</v>
      </c>
      <c r="B160" s="283">
        <f>$B$6</f>
        <v/>
      </c>
      <c r="C160" s="283">
        <f>B160-D160</f>
        <v/>
      </c>
      <c r="D160" s="283">
        <f>E159*$B$4/12</f>
        <v/>
      </c>
      <c r="E160" s="283">
        <f>E159-C160</f>
        <v/>
      </c>
    </row>
    <row r="161" ht="15" customHeight="1" s="160">
      <c r="A161" s="281" t="n">
        <v>153</v>
      </c>
      <c r="B161" s="195">
        <f>$B$6</f>
        <v/>
      </c>
      <c r="C161" s="195">
        <f>B161-D161</f>
        <v/>
      </c>
      <c r="D161" s="195">
        <f>E160*$B$4/12</f>
        <v/>
      </c>
      <c r="E161" s="195">
        <f>E160-C161</f>
        <v/>
      </c>
    </row>
    <row r="162" ht="15" customHeight="1" s="160">
      <c r="A162" s="282" t="n">
        <v>154</v>
      </c>
      <c r="B162" s="283">
        <f>$B$6</f>
        <v/>
      </c>
      <c r="C162" s="283">
        <f>B162-D162</f>
        <v/>
      </c>
      <c r="D162" s="283">
        <f>E161*$B$4/12</f>
        <v/>
      </c>
      <c r="E162" s="283">
        <f>E161-C162</f>
        <v/>
      </c>
    </row>
    <row r="163" ht="15" customHeight="1" s="160">
      <c r="A163" s="281" t="n">
        <v>155</v>
      </c>
      <c r="B163" s="195">
        <f>$B$6</f>
        <v/>
      </c>
      <c r="C163" s="195">
        <f>B163-D163</f>
        <v/>
      </c>
      <c r="D163" s="195">
        <f>E162*$B$4/12</f>
        <v/>
      </c>
      <c r="E163" s="195">
        <f>E162-C163</f>
        <v/>
      </c>
    </row>
    <row r="164" ht="15" customHeight="1" s="160">
      <c r="A164" s="282" t="n">
        <v>156</v>
      </c>
      <c r="B164" s="283">
        <f>$B$6</f>
        <v/>
      </c>
      <c r="C164" s="283">
        <f>B164-D164</f>
        <v/>
      </c>
      <c r="D164" s="283">
        <f>E163*$B$4/12</f>
        <v/>
      </c>
      <c r="E164" s="283">
        <f>E163-C164</f>
        <v/>
      </c>
    </row>
    <row r="165" ht="15" customHeight="1" s="160">
      <c r="A165" s="281" t="n">
        <v>157</v>
      </c>
      <c r="B165" s="195">
        <f>$B$6</f>
        <v/>
      </c>
      <c r="C165" s="195">
        <f>B165-D165</f>
        <v/>
      </c>
      <c r="D165" s="195">
        <f>E164*$B$4/12</f>
        <v/>
      </c>
      <c r="E165" s="195">
        <f>E164-C165</f>
        <v/>
      </c>
    </row>
    <row r="166" ht="15" customHeight="1" s="160">
      <c r="A166" s="282" t="n">
        <v>158</v>
      </c>
      <c r="B166" s="283">
        <f>$B$6</f>
        <v/>
      </c>
      <c r="C166" s="283">
        <f>B166-D166</f>
        <v/>
      </c>
      <c r="D166" s="283">
        <f>E165*$B$4/12</f>
        <v/>
      </c>
      <c r="E166" s="283">
        <f>E165-C166</f>
        <v/>
      </c>
    </row>
    <row r="167" ht="15" customHeight="1" s="160">
      <c r="A167" s="281" t="n">
        <v>159</v>
      </c>
      <c r="B167" s="195">
        <f>$B$6</f>
        <v/>
      </c>
      <c r="C167" s="195">
        <f>B167-D167</f>
        <v/>
      </c>
      <c r="D167" s="195">
        <f>E166*$B$4/12</f>
        <v/>
      </c>
      <c r="E167" s="195">
        <f>E166-C167</f>
        <v/>
      </c>
    </row>
    <row r="168" ht="15" customHeight="1" s="160">
      <c r="A168" s="282" t="n">
        <v>160</v>
      </c>
      <c r="B168" s="283">
        <f>$B$6</f>
        <v/>
      </c>
      <c r="C168" s="283">
        <f>B168-D168</f>
        <v/>
      </c>
      <c r="D168" s="283">
        <f>E167*$B$4/12</f>
        <v/>
      </c>
      <c r="E168" s="283">
        <f>E167-C168</f>
        <v/>
      </c>
    </row>
    <row r="169" ht="15" customHeight="1" s="160">
      <c r="A169" s="281" t="n">
        <v>161</v>
      </c>
      <c r="B169" s="195">
        <f>$B$6</f>
        <v/>
      </c>
      <c r="C169" s="195">
        <f>B169-D169</f>
        <v/>
      </c>
      <c r="D169" s="195">
        <f>E168*$B$4/12</f>
        <v/>
      </c>
      <c r="E169" s="195">
        <f>E168-C169</f>
        <v/>
      </c>
    </row>
    <row r="170" ht="15" customHeight="1" s="160">
      <c r="A170" s="282" t="n">
        <v>162</v>
      </c>
      <c r="B170" s="283">
        <f>$B$6</f>
        <v/>
      </c>
      <c r="C170" s="283">
        <f>B170-D170</f>
        <v/>
      </c>
      <c r="D170" s="283">
        <f>E169*$B$4/12</f>
        <v/>
      </c>
      <c r="E170" s="283">
        <f>E169-C170</f>
        <v/>
      </c>
    </row>
    <row r="171" ht="15" customHeight="1" s="160">
      <c r="A171" s="281" t="n">
        <v>163</v>
      </c>
      <c r="B171" s="195">
        <f>$B$6</f>
        <v/>
      </c>
      <c r="C171" s="195">
        <f>B171-D171</f>
        <v/>
      </c>
      <c r="D171" s="195">
        <f>E170*$B$4/12</f>
        <v/>
      </c>
      <c r="E171" s="195">
        <f>E170-C171</f>
        <v/>
      </c>
    </row>
    <row r="172" ht="15" customHeight="1" s="160">
      <c r="A172" s="282" t="n">
        <v>164</v>
      </c>
      <c r="B172" s="283">
        <f>$B$6</f>
        <v/>
      </c>
      <c r="C172" s="283">
        <f>B172-D172</f>
        <v/>
      </c>
      <c r="D172" s="283">
        <f>E171*$B$4/12</f>
        <v/>
      </c>
      <c r="E172" s="283">
        <f>E171-C172</f>
        <v/>
      </c>
    </row>
    <row r="173" ht="15" customHeight="1" s="160">
      <c r="A173" s="281" t="n">
        <v>165</v>
      </c>
      <c r="B173" s="195">
        <f>$B$6</f>
        <v/>
      </c>
      <c r="C173" s="195">
        <f>B173-D173</f>
        <v/>
      </c>
      <c r="D173" s="195">
        <f>E172*$B$4/12</f>
        <v/>
      </c>
      <c r="E173" s="195">
        <f>E172-C173</f>
        <v/>
      </c>
    </row>
    <row r="174" ht="15" customHeight="1" s="160">
      <c r="A174" s="282" t="n">
        <v>166</v>
      </c>
      <c r="B174" s="283">
        <f>$B$6</f>
        <v/>
      </c>
      <c r="C174" s="283">
        <f>B174-D174</f>
        <v/>
      </c>
      <c r="D174" s="283">
        <f>E173*$B$4/12</f>
        <v/>
      </c>
      <c r="E174" s="283">
        <f>E173-C174</f>
        <v/>
      </c>
    </row>
    <row r="175" ht="15" customHeight="1" s="160">
      <c r="A175" s="281" t="n">
        <v>167</v>
      </c>
      <c r="B175" s="195">
        <f>$B$6</f>
        <v/>
      </c>
      <c r="C175" s="195">
        <f>B175-D175</f>
        <v/>
      </c>
      <c r="D175" s="195">
        <f>E174*$B$4/12</f>
        <v/>
      </c>
      <c r="E175" s="195">
        <f>E174-C175</f>
        <v/>
      </c>
    </row>
    <row r="176" ht="15" customHeight="1" s="160">
      <c r="A176" s="282" t="n">
        <v>168</v>
      </c>
      <c r="B176" s="283">
        <f>$B$6</f>
        <v/>
      </c>
      <c r="C176" s="283">
        <f>B176-D176</f>
        <v/>
      </c>
      <c r="D176" s="283">
        <f>E175*$B$4/12</f>
        <v/>
      </c>
      <c r="E176" s="283">
        <f>E175-C176</f>
        <v/>
      </c>
    </row>
    <row r="177" ht="15" customHeight="1" s="160">
      <c r="A177" s="281" t="n">
        <v>169</v>
      </c>
      <c r="B177" s="195">
        <f>$B$6</f>
        <v/>
      </c>
      <c r="C177" s="195">
        <f>B177-D177</f>
        <v/>
      </c>
      <c r="D177" s="195">
        <f>E176*$B$4/12</f>
        <v/>
      </c>
      <c r="E177" s="195">
        <f>E176-C177</f>
        <v/>
      </c>
    </row>
    <row r="178" ht="15" customHeight="1" s="160">
      <c r="A178" s="282" t="n">
        <v>170</v>
      </c>
      <c r="B178" s="283">
        <f>$B$6</f>
        <v/>
      </c>
      <c r="C178" s="283">
        <f>B178-D178</f>
        <v/>
      </c>
      <c r="D178" s="283">
        <f>E177*$B$4/12</f>
        <v/>
      </c>
      <c r="E178" s="283">
        <f>E177-C178</f>
        <v/>
      </c>
    </row>
    <row r="179" ht="15" customHeight="1" s="160">
      <c r="A179" s="281" t="n">
        <v>171</v>
      </c>
      <c r="B179" s="195">
        <f>$B$6</f>
        <v/>
      </c>
      <c r="C179" s="195">
        <f>B179-D179</f>
        <v/>
      </c>
      <c r="D179" s="195">
        <f>E178*$B$4/12</f>
        <v/>
      </c>
      <c r="E179" s="195">
        <f>E178-C179</f>
        <v/>
      </c>
    </row>
    <row r="180" ht="15" customHeight="1" s="160">
      <c r="A180" s="282" t="n">
        <v>172</v>
      </c>
      <c r="B180" s="283">
        <f>$B$6</f>
        <v/>
      </c>
      <c r="C180" s="283">
        <f>B180-D180</f>
        <v/>
      </c>
      <c r="D180" s="283">
        <f>E179*$B$4/12</f>
        <v/>
      </c>
      <c r="E180" s="283">
        <f>E179-C180</f>
        <v/>
      </c>
    </row>
    <row r="181" ht="15" customHeight="1" s="160">
      <c r="A181" s="281" t="n">
        <v>173</v>
      </c>
      <c r="B181" s="195">
        <f>$B$6</f>
        <v/>
      </c>
      <c r="C181" s="195">
        <f>B181-D181</f>
        <v/>
      </c>
      <c r="D181" s="195">
        <f>E180*$B$4/12</f>
        <v/>
      </c>
      <c r="E181" s="195">
        <f>E180-C181</f>
        <v/>
      </c>
    </row>
    <row r="182" ht="15" customHeight="1" s="160">
      <c r="A182" s="282" t="n">
        <v>174</v>
      </c>
      <c r="B182" s="283">
        <f>$B$6</f>
        <v/>
      </c>
      <c r="C182" s="283">
        <f>B182-D182</f>
        <v/>
      </c>
      <c r="D182" s="283">
        <f>E181*$B$4/12</f>
        <v/>
      </c>
      <c r="E182" s="283">
        <f>E181-C182</f>
        <v/>
      </c>
    </row>
    <row r="183" ht="15" customHeight="1" s="160">
      <c r="A183" s="281" t="n">
        <v>175</v>
      </c>
      <c r="B183" s="195">
        <f>$B$6</f>
        <v/>
      </c>
      <c r="C183" s="195">
        <f>B183-D183</f>
        <v/>
      </c>
      <c r="D183" s="195">
        <f>E182*$B$4/12</f>
        <v/>
      </c>
      <c r="E183" s="195">
        <f>E182-C183</f>
        <v/>
      </c>
    </row>
    <row r="184" ht="15" customHeight="1" s="160">
      <c r="A184" s="282" t="n">
        <v>176</v>
      </c>
      <c r="B184" s="283">
        <f>$B$6</f>
        <v/>
      </c>
      <c r="C184" s="283">
        <f>B184-D184</f>
        <v/>
      </c>
      <c r="D184" s="283">
        <f>E183*$B$4/12</f>
        <v/>
      </c>
      <c r="E184" s="283">
        <f>E183-C184</f>
        <v/>
      </c>
    </row>
    <row r="185" ht="15" customHeight="1" s="160">
      <c r="A185" s="281" t="n">
        <v>177</v>
      </c>
      <c r="B185" s="195">
        <f>$B$6</f>
        <v/>
      </c>
      <c r="C185" s="195">
        <f>B185-D185</f>
        <v/>
      </c>
      <c r="D185" s="195">
        <f>E184*$B$4/12</f>
        <v/>
      </c>
      <c r="E185" s="195">
        <f>E184-C185</f>
        <v/>
      </c>
    </row>
    <row r="186" ht="15" customHeight="1" s="160">
      <c r="A186" s="282" t="n">
        <v>178</v>
      </c>
      <c r="B186" s="283">
        <f>$B$6</f>
        <v/>
      </c>
      <c r="C186" s="283">
        <f>B186-D186</f>
        <v/>
      </c>
      <c r="D186" s="283">
        <f>E185*$B$4/12</f>
        <v/>
      </c>
      <c r="E186" s="283">
        <f>E185-C186</f>
        <v/>
      </c>
    </row>
    <row r="187" ht="15" customHeight="1" s="160">
      <c r="A187" s="281" t="n">
        <v>179</v>
      </c>
      <c r="B187" s="195">
        <f>$B$6</f>
        <v/>
      </c>
      <c r="C187" s="195">
        <f>B187-D187</f>
        <v/>
      </c>
      <c r="D187" s="195">
        <f>E186*$B$4/12</f>
        <v/>
      </c>
      <c r="E187" s="195">
        <f>E186-C187</f>
        <v/>
      </c>
    </row>
    <row r="188" ht="15" customHeight="1" s="160">
      <c r="A188" s="282" t="n">
        <v>180</v>
      </c>
      <c r="B188" s="283">
        <f>$B$6</f>
        <v/>
      </c>
      <c r="C188" s="283">
        <f>B188-D188</f>
        <v/>
      </c>
      <c r="D188" s="283">
        <f>E187*$B$4/12</f>
        <v/>
      </c>
      <c r="E188" s="283">
        <f>E187-C188</f>
        <v/>
      </c>
    </row>
    <row r="189" ht="15" customHeight="1" s="160">
      <c r="A189" s="281" t="n">
        <v>181</v>
      </c>
      <c r="B189" s="195">
        <f>$B$6</f>
        <v/>
      </c>
      <c r="C189" s="195">
        <f>B189-D189</f>
        <v/>
      </c>
      <c r="D189" s="195">
        <f>E188*$B$4/12</f>
        <v/>
      </c>
      <c r="E189" s="195">
        <f>E188-C189</f>
        <v/>
      </c>
    </row>
    <row r="190" ht="15" customHeight="1" s="160">
      <c r="A190" s="282" t="n">
        <v>182</v>
      </c>
      <c r="B190" s="283">
        <f>$B$6</f>
        <v/>
      </c>
      <c r="C190" s="283">
        <f>B190-D190</f>
        <v/>
      </c>
      <c r="D190" s="283">
        <f>E189*$B$4/12</f>
        <v/>
      </c>
      <c r="E190" s="283">
        <f>E189-C190</f>
        <v/>
      </c>
    </row>
    <row r="191" ht="15" customHeight="1" s="160">
      <c r="A191" s="281" t="n">
        <v>183</v>
      </c>
      <c r="B191" s="195">
        <f>$B$6</f>
        <v/>
      </c>
      <c r="C191" s="195">
        <f>B191-D191</f>
        <v/>
      </c>
      <c r="D191" s="195">
        <f>E190*$B$4/12</f>
        <v/>
      </c>
      <c r="E191" s="195">
        <f>E190-C191</f>
        <v/>
      </c>
    </row>
    <row r="192" ht="15" customHeight="1" s="160">
      <c r="A192" s="282" t="n">
        <v>184</v>
      </c>
      <c r="B192" s="283">
        <f>$B$6</f>
        <v/>
      </c>
      <c r="C192" s="283">
        <f>B192-D192</f>
        <v/>
      </c>
      <c r="D192" s="283">
        <f>E191*$B$4/12</f>
        <v/>
      </c>
      <c r="E192" s="283">
        <f>E191-C192</f>
        <v/>
      </c>
    </row>
    <row r="193" ht="15" customHeight="1" s="160">
      <c r="A193" s="281" t="n">
        <v>185</v>
      </c>
      <c r="B193" s="195">
        <f>$B$6</f>
        <v/>
      </c>
      <c r="C193" s="195">
        <f>B193-D193</f>
        <v/>
      </c>
      <c r="D193" s="195">
        <f>E192*$B$4/12</f>
        <v/>
      </c>
      <c r="E193" s="195">
        <f>E192-C193</f>
        <v/>
      </c>
    </row>
    <row r="194" ht="15" customHeight="1" s="160">
      <c r="A194" s="282" t="n">
        <v>186</v>
      </c>
      <c r="B194" s="283">
        <f>$B$6</f>
        <v/>
      </c>
      <c r="C194" s="283">
        <f>B194-D194</f>
        <v/>
      </c>
      <c r="D194" s="283">
        <f>E193*$B$4/12</f>
        <v/>
      </c>
      <c r="E194" s="283">
        <f>E193-C194</f>
        <v/>
      </c>
    </row>
    <row r="195" ht="15" customHeight="1" s="160">
      <c r="A195" s="281" t="n">
        <v>187</v>
      </c>
      <c r="B195" s="195">
        <f>$B$6</f>
        <v/>
      </c>
      <c r="C195" s="195">
        <f>B195-D195</f>
        <v/>
      </c>
      <c r="D195" s="195">
        <f>E194*$B$4/12</f>
        <v/>
      </c>
      <c r="E195" s="195">
        <f>E194-C195</f>
        <v/>
      </c>
    </row>
    <row r="196" ht="15" customHeight="1" s="160">
      <c r="A196" s="282" t="n">
        <v>188</v>
      </c>
      <c r="B196" s="283">
        <f>$B$6</f>
        <v/>
      </c>
      <c r="C196" s="283">
        <f>B196-D196</f>
        <v/>
      </c>
      <c r="D196" s="283">
        <f>E195*$B$4/12</f>
        <v/>
      </c>
      <c r="E196" s="283">
        <f>E195-C196</f>
        <v/>
      </c>
    </row>
    <row r="197" ht="15" customHeight="1" s="160">
      <c r="A197" s="281" t="n">
        <v>189</v>
      </c>
      <c r="B197" s="195">
        <f>$B$6</f>
        <v/>
      </c>
      <c r="C197" s="195">
        <f>B197-D197</f>
        <v/>
      </c>
      <c r="D197" s="195">
        <f>E196*$B$4/12</f>
        <v/>
      </c>
      <c r="E197" s="195">
        <f>E196-C197</f>
        <v/>
      </c>
    </row>
    <row r="198" ht="15" customHeight="1" s="160">
      <c r="A198" s="282" t="n">
        <v>190</v>
      </c>
      <c r="B198" s="283">
        <f>$B$6</f>
        <v/>
      </c>
      <c r="C198" s="283">
        <f>B198-D198</f>
        <v/>
      </c>
      <c r="D198" s="283">
        <f>E197*$B$4/12</f>
        <v/>
      </c>
      <c r="E198" s="283">
        <f>E197-C198</f>
        <v/>
      </c>
    </row>
    <row r="199" ht="15" customHeight="1" s="160">
      <c r="A199" s="281" t="n">
        <v>191</v>
      </c>
      <c r="B199" s="195">
        <f>$B$6</f>
        <v/>
      </c>
      <c r="C199" s="195">
        <f>B199-D199</f>
        <v/>
      </c>
      <c r="D199" s="195">
        <f>E198*$B$4/12</f>
        <v/>
      </c>
      <c r="E199" s="195">
        <f>E198-C199</f>
        <v/>
      </c>
    </row>
    <row r="200" ht="15" customHeight="1" s="160">
      <c r="A200" s="282" t="n">
        <v>192</v>
      </c>
      <c r="B200" s="283">
        <f>$B$6</f>
        <v/>
      </c>
      <c r="C200" s="283">
        <f>B200-D200</f>
        <v/>
      </c>
      <c r="D200" s="283">
        <f>E199*$B$4/12</f>
        <v/>
      </c>
      <c r="E200" s="283">
        <f>E199-C200</f>
        <v/>
      </c>
    </row>
    <row r="201" ht="15" customHeight="1" s="160">
      <c r="A201" s="281" t="n">
        <v>193</v>
      </c>
      <c r="B201" s="195">
        <f>$B$6</f>
        <v/>
      </c>
      <c r="C201" s="195">
        <f>B201-D201</f>
        <v/>
      </c>
      <c r="D201" s="195">
        <f>E200*$B$4/12</f>
        <v/>
      </c>
      <c r="E201" s="195">
        <f>E200-C201</f>
        <v/>
      </c>
    </row>
    <row r="202" ht="15" customHeight="1" s="160">
      <c r="A202" s="282" t="n">
        <v>194</v>
      </c>
      <c r="B202" s="283">
        <f>$B$6</f>
        <v/>
      </c>
      <c r="C202" s="283">
        <f>B202-D202</f>
        <v/>
      </c>
      <c r="D202" s="283">
        <f>E201*$B$4/12</f>
        <v/>
      </c>
      <c r="E202" s="283">
        <f>E201-C202</f>
        <v/>
      </c>
    </row>
    <row r="203" ht="15" customHeight="1" s="160">
      <c r="A203" s="281" t="n">
        <v>195</v>
      </c>
      <c r="B203" s="195">
        <f>$B$6</f>
        <v/>
      </c>
      <c r="C203" s="195">
        <f>B203-D203</f>
        <v/>
      </c>
      <c r="D203" s="195">
        <f>E202*$B$4/12</f>
        <v/>
      </c>
      <c r="E203" s="195">
        <f>E202-C203</f>
        <v/>
      </c>
    </row>
    <row r="204" ht="15" customHeight="1" s="160">
      <c r="A204" s="282" t="n">
        <v>196</v>
      </c>
      <c r="B204" s="283">
        <f>$B$6</f>
        <v/>
      </c>
      <c r="C204" s="283">
        <f>B204-D204</f>
        <v/>
      </c>
      <c r="D204" s="283">
        <f>E203*$B$4/12</f>
        <v/>
      </c>
      <c r="E204" s="283">
        <f>E203-C204</f>
        <v/>
      </c>
    </row>
    <row r="205" ht="15" customHeight="1" s="160">
      <c r="A205" s="281" t="n">
        <v>197</v>
      </c>
      <c r="B205" s="195">
        <f>$B$6</f>
        <v/>
      </c>
      <c r="C205" s="195">
        <f>B205-D205</f>
        <v/>
      </c>
      <c r="D205" s="195">
        <f>E204*$B$4/12</f>
        <v/>
      </c>
      <c r="E205" s="195">
        <f>E204-C205</f>
        <v/>
      </c>
    </row>
    <row r="206" ht="15" customHeight="1" s="160">
      <c r="A206" s="282" t="n">
        <v>198</v>
      </c>
      <c r="B206" s="283">
        <f>$B$6</f>
        <v/>
      </c>
      <c r="C206" s="283">
        <f>B206-D206</f>
        <v/>
      </c>
      <c r="D206" s="283">
        <f>E205*$B$4/12</f>
        <v/>
      </c>
      <c r="E206" s="283">
        <f>E205-C206</f>
        <v/>
      </c>
    </row>
    <row r="207" ht="15" customHeight="1" s="160">
      <c r="A207" s="281" t="n">
        <v>199</v>
      </c>
      <c r="B207" s="195">
        <f>$B$6</f>
        <v/>
      </c>
      <c r="C207" s="195">
        <f>B207-D207</f>
        <v/>
      </c>
      <c r="D207" s="195">
        <f>E206*$B$4/12</f>
        <v/>
      </c>
      <c r="E207" s="195">
        <f>E206-C207</f>
        <v/>
      </c>
    </row>
    <row r="208" ht="15" customHeight="1" s="160">
      <c r="A208" s="282" t="n">
        <v>200</v>
      </c>
      <c r="B208" s="283">
        <f>$B$6</f>
        <v/>
      </c>
      <c r="C208" s="283">
        <f>B208-D208</f>
        <v/>
      </c>
      <c r="D208" s="283">
        <f>E207*$B$4/12</f>
        <v/>
      </c>
      <c r="E208" s="283">
        <f>E207-C208</f>
        <v/>
      </c>
    </row>
    <row r="209" ht="15" customHeight="1" s="160">
      <c r="A209" s="281" t="n">
        <v>201</v>
      </c>
      <c r="B209" s="195">
        <f>$B$6</f>
        <v/>
      </c>
      <c r="C209" s="195">
        <f>B209-D209</f>
        <v/>
      </c>
      <c r="D209" s="195">
        <f>E208*$B$4/12</f>
        <v/>
      </c>
      <c r="E209" s="195">
        <f>E208-C209</f>
        <v/>
      </c>
    </row>
    <row r="210" ht="15" customHeight="1" s="160">
      <c r="A210" s="282" t="n">
        <v>202</v>
      </c>
      <c r="B210" s="283">
        <f>$B$6</f>
        <v/>
      </c>
      <c r="C210" s="283">
        <f>B210-D210</f>
        <v/>
      </c>
      <c r="D210" s="283">
        <f>E209*$B$4/12</f>
        <v/>
      </c>
      <c r="E210" s="283">
        <f>E209-C210</f>
        <v/>
      </c>
    </row>
    <row r="211" ht="15" customHeight="1" s="160">
      <c r="A211" s="281" t="n">
        <v>203</v>
      </c>
      <c r="B211" s="195">
        <f>$B$6</f>
        <v/>
      </c>
      <c r="C211" s="195">
        <f>B211-D211</f>
        <v/>
      </c>
      <c r="D211" s="195">
        <f>E210*$B$4/12</f>
        <v/>
      </c>
      <c r="E211" s="195">
        <f>E210-C211</f>
        <v/>
      </c>
    </row>
    <row r="212" ht="15" customHeight="1" s="160">
      <c r="A212" s="282" t="n">
        <v>204</v>
      </c>
      <c r="B212" s="283">
        <f>$B$6</f>
        <v/>
      </c>
      <c r="C212" s="283">
        <f>B212-D212</f>
        <v/>
      </c>
      <c r="D212" s="283">
        <f>E211*$B$4/12</f>
        <v/>
      </c>
      <c r="E212" s="283">
        <f>E211-C212</f>
        <v/>
      </c>
    </row>
    <row r="213" ht="15" customHeight="1" s="160">
      <c r="A213" s="281" t="n">
        <v>205</v>
      </c>
      <c r="B213" s="195">
        <f>$B$6</f>
        <v/>
      </c>
      <c r="C213" s="195">
        <f>B213-D213</f>
        <v/>
      </c>
      <c r="D213" s="195">
        <f>E212*$B$4/12</f>
        <v/>
      </c>
      <c r="E213" s="195">
        <f>E212-C213</f>
        <v/>
      </c>
    </row>
    <row r="214" ht="15" customHeight="1" s="160">
      <c r="A214" s="282" t="n">
        <v>206</v>
      </c>
      <c r="B214" s="283">
        <f>$B$6</f>
        <v/>
      </c>
      <c r="C214" s="283">
        <f>B214-D214</f>
        <v/>
      </c>
      <c r="D214" s="283">
        <f>E213*$B$4/12</f>
        <v/>
      </c>
      <c r="E214" s="283">
        <f>E213-C214</f>
        <v/>
      </c>
    </row>
    <row r="215" ht="15" customHeight="1" s="160">
      <c r="A215" s="281" t="n">
        <v>207</v>
      </c>
      <c r="B215" s="195">
        <f>$B$6</f>
        <v/>
      </c>
      <c r="C215" s="195">
        <f>B215-D215</f>
        <v/>
      </c>
      <c r="D215" s="195">
        <f>E214*$B$4/12</f>
        <v/>
      </c>
      <c r="E215" s="195">
        <f>E214-C215</f>
        <v/>
      </c>
    </row>
    <row r="216" ht="15" customHeight="1" s="160">
      <c r="A216" s="282" t="n">
        <v>208</v>
      </c>
      <c r="B216" s="283">
        <f>$B$6</f>
        <v/>
      </c>
      <c r="C216" s="283">
        <f>B216-D216</f>
        <v/>
      </c>
      <c r="D216" s="283">
        <f>E215*$B$4/12</f>
        <v/>
      </c>
      <c r="E216" s="283">
        <f>E215-C216</f>
        <v/>
      </c>
    </row>
    <row r="217" ht="15" customHeight="1" s="160">
      <c r="A217" s="281" t="n">
        <v>209</v>
      </c>
      <c r="B217" s="195">
        <f>$B$6</f>
        <v/>
      </c>
      <c r="C217" s="195">
        <f>B217-D217</f>
        <v/>
      </c>
      <c r="D217" s="195">
        <f>E216*$B$4/12</f>
        <v/>
      </c>
      <c r="E217" s="195">
        <f>E216-C217</f>
        <v/>
      </c>
    </row>
    <row r="218" ht="15" customHeight="1" s="160">
      <c r="A218" s="282" t="n">
        <v>210</v>
      </c>
      <c r="B218" s="283">
        <f>$B$6</f>
        <v/>
      </c>
      <c r="C218" s="283">
        <f>B218-D218</f>
        <v/>
      </c>
      <c r="D218" s="283">
        <f>E217*$B$4/12</f>
        <v/>
      </c>
      <c r="E218" s="283">
        <f>E217-C218</f>
        <v/>
      </c>
    </row>
    <row r="219" ht="15" customHeight="1" s="160">
      <c r="A219" s="281" t="n">
        <v>211</v>
      </c>
      <c r="B219" s="195">
        <f>$B$6</f>
        <v/>
      </c>
      <c r="C219" s="195">
        <f>B219-D219</f>
        <v/>
      </c>
      <c r="D219" s="195">
        <f>E218*$B$4/12</f>
        <v/>
      </c>
      <c r="E219" s="195">
        <f>E218-C219</f>
        <v/>
      </c>
    </row>
    <row r="220" ht="15" customHeight="1" s="160">
      <c r="A220" s="282" t="n">
        <v>212</v>
      </c>
      <c r="B220" s="283">
        <f>$B$6</f>
        <v/>
      </c>
      <c r="C220" s="283">
        <f>B220-D220</f>
        <v/>
      </c>
      <c r="D220" s="283">
        <f>E219*$B$4/12</f>
        <v/>
      </c>
      <c r="E220" s="283">
        <f>E219-C220</f>
        <v/>
      </c>
    </row>
    <row r="221" ht="15" customHeight="1" s="160">
      <c r="A221" s="281" t="n">
        <v>213</v>
      </c>
      <c r="B221" s="195">
        <f>$B$6</f>
        <v/>
      </c>
      <c r="C221" s="195">
        <f>B221-D221</f>
        <v/>
      </c>
      <c r="D221" s="195">
        <f>E220*$B$4/12</f>
        <v/>
      </c>
      <c r="E221" s="195">
        <f>E220-C221</f>
        <v/>
      </c>
    </row>
    <row r="222" ht="15" customHeight="1" s="160">
      <c r="A222" s="282" t="n">
        <v>214</v>
      </c>
      <c r="B222" s="283">
        <f>$B$6</f>
        <v/>
      </c>
      <c r="C222" s="283">
        <f>B222-D222</f>
        <v/>
      </c>
      <c r="D222" s="283">
        <f>E221*$B$4/12</f>
        <v/>
      </c>
      <c r="E222" s="283">
        <f>E221-C222</f>
        <v/>
      </c>
    </row>
    <row r="223" ht="15" customHeight="1" s="160">
      <c r="A223" s="281" t="n">
        <v>215</v>
      </c>
      <c r="B223" s="195">
        <f>$B$6</f>
        <v/>
      </c>
      <c r="C223" s="195">
        <f>B223-D223</f>
        <v/>
      </c>
      <c r="D223" s="195">
        <f>E222*$B$4/12</f>
        <v/>
      </c>
      <c r="E223" s="195">
        <f>E222-C223</f>
        <v/>
      </c>
    </row>
    <row r="224" ht="15" customHeight="1" s="160">
      <c r="A224" s="282" t="n">
        <v>216</v>
      </c>
      <c r="B224" s="283">
        <f>$B$6</f>
        <v/>
      </c>
      <c r="C224" s="283">
        <f>B224-D224</f>
        <v/>
      </c>
      <c r="D224" s="283">
        <f>E223*$B$4/12</f>
        <v/>
      </c>
      <c r="E224" s="283">
        <f>E223-C224</f>
        <v/>
      </c>
    </row>
    <row r="225" ht="15" customHeight="1" s="160">
      <c r="A225" s="281" t="n">
        <v>217</v>
      </c>
      <c r="B225" s="195">
        <f>$B$6</f>
        <v/>
      </c>
      <c r="C225" s="195">
        <f>B225-D225</f>
        <v/>
      </c>
      <c r="D225" s="195">
        <f>E224*$B$4/12</f>
        <v/>
      </c>
      <c r="E225" s="195">
        <f>E224-C225</f>
        <v/>
      </c>
    </row>
    <row r="226" ht="15" customHeight="1" s="160">
      <c r="A226" s="282" t="n">
        <v>218</v>
      </c>
      <c r="B226" s="283">
        <f>$B$6</f>
        <v/>
      </c>
      <c r="C226" s="283">
        <f>B226-D226</f>
        <v/>
      </c>
      <c r="D226" s="283">
        <f>E225*$B$4/12</f>
        <v/>
      </c>
      <c r="E226" s="283">
        <f>E225-C226</f>
        <v/>
      </c>
    </row>
    <row r="227" ht="15" customHeight="1" s="160">
      <c r="A227" s="281" t="n">
        <v>219</v>
      </c>
      <c r="B227" s="195">
        <f>$B$6</f>
        <v/>
      </c>
      <c r="C227" s="195">
        <f>B227-D227</f>
        <v/>
      </c>
      <c r="D227" s="195">
        <f>E226*$B$4/12</f>
        <v/>
      </c>
      <c r="E227" s="195">
        <f>E226-C227</f>
        <v/>
      </c>
    </row>
    <row r="228" ht="15" customHeight="1" s="160">
      <c r="A228" s="282" t="n">
        <v>220</v>
      </c>
      <c r="B228" s="283">
        <f>$B$6</f>
        <v/>
      </c>
      <c r="C228" s="283">
        <f>B228-D228</f>
        <v/>
      </c>
      <c r="D228" s="283">
        <f>E227*$B$4/12</f>
        <v/>
      </c>
      <c r="E228" s="283">
        <f>E227-C228</f>
        <v/>
      </c>
    </row>
    <row r="229" ht="15" customHeight="1" s="160">
      <c r="A229" s="281" t="n">
        <v>221</v>
      </c>
      <c r="B229" s="195">
        <f>$B$6</f>
        <v/>
      </c>
      <c r="C229" s="195">
        <f>B229-D229</f>
        <v/>
      </c>
      <c r="D229" s="195">
        <f>E228*$B$4/12</f>
        <v/>
      </c>
      <c r="E229" s="195">
        <f>E228-C229</f>
        <v/>
      </c>
    </row>
    <row r="230" ht="15" customHeight="1" s="160">
      <c r="A230" s="282" t="n">
        <v>222</v>
      </c>
      <c r="B230" s="283">
        <f>$B$6</f>
        <v/>
      </c>
      <c r="C230" s="283">
        <f>B230-D230</f>
        <v/>
      </c>
      <c r="D230" s="283">
        <f>E229*$B$4/12</f>
        <v/>
      </c>
      <c r="E230" s="283">
        <f>E229-C230</f>
        <v/>
      </c>
    </row>
    <row r="231" ht="15" customHeight="1" s="160">
      <c r="A231" s="281" t="n">
        <v>223</v>
      </c>
      <c r="B231" s="195">
        <f>$B$6</f>
        <v/>
      </c>
      <c r="C231" s="195">
        <f>B231-D231</f>
        <v/>
      </c>
      <c r="D231" s="195">
        <f>E230*$B$4/12</f>
        <v/>
      </c>
      <c r="E231" s="195">
        <f>E230-C231</f>
        <v/>
      </c>
    </row>
    <row r="232" ht="15" customHeight="1" s="160">
      <c r="A232" s="282" t="n">
        <v>224</v>
      </c>
      <c r="B232" s="283">
        <f>$B$6</f>
        <v/>
      </c>
      <c r="C232" s="283">
        <f>B232-D232</f>
        <v/>
      </c>
      <c r="D232" s="283">
        <f>E231*$B$4/12</f>
        <v/>
      </c>
      <c r="E232" s="283">
        <f>E231-C232</f>
        <v/>
      </c>
    </row>
    <row r="233" ht="15" customHeight="1" s="160">
      <c r="A233" s="281" t="n">
        <v>225</v>
      </c>
      <c r="B233" s="195">
        <f>$B$6</f>
        <v/>
      </c>
      <c r="C233" s="195">
        <f>B233-D233</f>
        <v/>
      </c>
      <c r="D233" s="195">
        <f>E232*$B$4/12</f>
        <v/>
      </c>
      <c r="E233" s="195">
        <f>E232-C233</f>
        <v/>
      </c>
    </row>
    <row r="234" ht="15" customHeight="1" s="160">
      <c r="A234" s="282" t="n">
        <v>226</v>
      </c>
      <c r="B234" s="283">
        <f>$B$6</f>
        <v/>
      </c>
      <c r="C234" s="283">
        <f>B234-D234</f>
        <v/>
      </c>
      <c r="D234" s="283">
        <f>E233*$B$4/12</f>
        <v/>
      </c>
      <c r="E234" s="283">
        <f>E233-C234</f>
        <v/>
      </c>
    </row>
    <row r="235" ht="15" customHeight="1" s="160">
      <c r="A235" s="281" t="n">
        <v>227</v>
      </c>
      <c r="B235" s="195">
        <f>$B$6</f>
        <v/>
      </c>
      <c r="C235" s="195">
        <f>B235-D235</f>
        <v/>
      </c>
      <c r="D235" s="195">
        <f>E234*$B$4/12</f>
        <v/>
      </c>
      <c r="E235" s="195">
        <f>E234-C235</f>
        <v/>
      </c>
    </row>
    <row r="236" ht="15" customHeight="1" s="160">
      <c r="A236" s="282" t="n">
        <v>228</v>
      </c>
      <c r="B236" s="283">
        <f>$B$6</f>
        <v/>
      </c>
      <c r="C236" s="283">
        <f>B236-D236</f>
        <v/>
      </c>
      <c r="D236" s="283">
        <f>E235*$B$4/12</f>
        <v/>
      </c>
      <c r="E236" s="283">
        <f>E235-C236</f>
        <v/>
      </c>
    </row>
    <row r="237" ht="15" customHeight="1" s="160">
      <c r="A237" s="281" t="n">
        <v>229</v>
      </c>
      <c r="B237" s="195">
        <f>$B$6</f>
        <v/>
      </c>
      <c r="C237" s="195">
        <f>B237-D237</f>
        <v/>
      </c>
      <c r="D237" s="195">
        <f>E236*$B$4/12</f>
        <v/>
      </c>
      <c r="E237" s="195">
        <f>E236-C237</f>
        <v/>
      </c>
    </row>
    <row r="238" ht="15" customHeight="1" s="160">
      <c r="A238" s="282" t="n">
        <v>230</v>
      </c>
      <c r="B238" s="283">
        <f>$B$6</f>
        <v/>
      </c>
      <c r="C238" s="283">
        <f>B238-D238</f>
        <v/>
      </c>
      <c r="D238" s="283">
        <f>E237*$B$4/12</f>
        <v/>
      </c>
      <c r="E238" s="283">
        <f>E237-C238</f>
        <v/>
      </c>
    </row>
    <row r="239" ht="15" customHeight="1" s="160">
      <c r="A239" s="281" t="n">
        <v>231</v>
      </c>
      <c r="B239" s="195">
        <f>$B$6</f>
        <v/>
      </c>
      <c r="C239" s="195">
        <f>B239-D239</f>
        <v/>
      </c>
      <c r="D239" s="195">
        <f>E238*$B$4/12</f>
        <v/>
      </c>
      <c r="E239" s="195">
        <f>E238-C239</f>
        <v/>
      </c>
    </row>
    <row r="240" ht="15" customHeight="1" s="160">
      <c r="A240" s="282" t="n">
        <v>232</v>
      </c>
      <c r="B240" s="283">
        <f>$B$6</f>
        <v/>
      </c>
      <c r="C240" s="283">
        <f>B240-D240</f>
        <v/>
      </c>
      <c r="D240" s="283">
        <f>E239*$B$4/12</f>
        <v/>
      </c>
      <c r="E240" s="283">
        <f>E239-C240</f>
        <v/>
      </c>
    </row>
    <row r="241" ht="15" customHeight="1" s="160">
      <c r="A241" s="281" t="n">
        <v>233</v>
      </c>
      <c r="B241" s="195">
        <f>$B$6</f>
        <v/>
      </c>
      <c r="C241" s="195">
        <f>B241-D241</f>
        <v/>
      </c>
      <c r="D241" s="195">
        <f>E240*$B$4/12</f>
        <v/>
      </c>
      <c r="E241" s="195">
        <f>E240-C241</f>
        <v/>
      </c>
    </row>
    <row r="242" ht="15" customHeight="1" s="160">
      <c r="A242" s="282" t="n">
        <v>234</v>
      </c>
      <c r="B242" s="283">
        <f>$B$6</f>
        <v/>
      </c>
      <c r="C242" s="283">
        <f>B242-D242</f>
        <v/>
      </c>
      <c r="D242" s="283">
        <f>E241*$B$4/12</f>
        <v/>
      </c>
      <c r="E242" s="283">
        <f>E241-C242</f>
        <v/>
      </c>
    </row>
    <row r="243" ht="15" customHeight="1" s="160">
      <c r="A243" s="281" t="n">
        <v>235</v>
      </c>
      <c r="B243" s="195">
        <f>$B$6</f>
        <v/>
      </c>
      <c r="C243" s="195">
        <f>B243-D243</f>
        <v/>
      </c>
      <c r="D243" s="195">
        <f>E242*$B$4/12</f>
        <v/>
      </c>
      <c r="E243" s="195">
        <f>E242-C243</f>
        <v/>
      </c>
    </row>
    <row r="244" ht="15" customHeight="1" s="160">
      <c r="A244" s="282" t="n">
        <v>236</v>
      </c>
      <c r="B244" s="283">
        <f>$B$6</f>
        <v/>
      </c>
      <c r="C244" s="283">
        <f>B244-D244</f>
        <v/>
      </c>
      <c r="D244" s="283">
        <f>E243*$B$4/12</f>
        <v/>
      </c>
      <c r="E244" s="283">
        <f>E243-C244</f>
        <v/>
      </c>
    </row>
    <row r="245" ht="15" customHeight="1" s="160">
      <c r="A245" s="281" t="n">
        <v>237</v>
      </c>
      <c r="B245" s="195">
        <f>$B$6</f>
        <v/>
      </c>
      <c r="C245" s="195">
        <f>B245-D245</f>
        <v/>
      </c>
      <c r="D245" s="195">
        <f>E244*$B$4/12</f>
        <v/>
      </c>
      <c r="E245" s="195">
        <f>E244-C245</f>
        <v/>
      </c>
    </row>
    <row r="246" ht="15" customHeight="1" s="160">
      <c r="A246" s="282" t="n">
        <v>238</v>
      </c>
      <c r="B246" s="283">
        <f>$B$6</f>
        <v/>
      </c>
      <c r="C246" s="283">
        <f>B246-D246</f>
        <v/>
      </c>
      <c r="D246" s="283">
        <f>E245*$B$4/12</f>
        <v/>
      </c>
      <c r="E246" s="283">
        <f>E245-C246</f>
        <v/>
      </c>
    </row>
    <row r="247" ht="15" customHeight="1" s="160">
      <c r="A247" s="281" t="n">
        <v>239</v>
      </c>
      <c r="B247" s="195">
        <f>$B$6</f>
        <v/>
      </c>
      <c r="C247" s="195">
        <f>B247-D247</f>
        <v/>
      </c>
      <c r="D247" s="195">
        <f>E246*$B$4/12</f>
        <v/>
      </c>
      <c r="E247" s="195">
        <f>E246-C247</f>
        <v/>
      </c>
    </row>
    <row r="248" ht="15" customHeight="1" s="160">
      <c r="A248" s="282" t="n">
        <v>240</v>
      </c>
      <c r="B248" s="283">
        <f>$B$6</f>
        <v/>
      </c>
      <c r="C248" s="283">
        <f>B248-D248</f>
        <v/>
      </c>
      <c r="D248" s="283">
        <f>E247*$B$4/12</f>
        <v/>
      </c>
      <c r="E248" s="283">
        <f>E247-C248</f>
        <v/>
      </c>
    </row>
    <row r="249" ht="15" customHeight="1" s="160">
      <c r="A249" s="281" t="n">
        <v>241</v>
      </c>
      <c r="B249" s="195">
        <f>$B$6</f>
        <v/>
      </c>
      <c r="C249" s="195">
        <f>B249-D249</f>
        <v/>
      </c>
      <c r="D249" s="195">
        <f>E248*$B$4/12</f>
        <v/>
      </c>
      <c r="E249" s="195">
        <f>E248-C249</f>
        <v/>
      </c>
    </row>
    <row r="250" ht="15" customHeight="1" s="160">
      <c r="A250" s="282" t="n">
        <v>242</v>
      </c>
      <c r="B250" s="283">
        <f>$B$6</f>
        <v/>
      </c>
      <c r="C250" s="283">
        <f>B250-D250</f>
        <v/>
      </c>
      <c r="D250" s="283">
        <f>E249*$B$4/12</f>
        <v/>
      </c>
      <c r="E250" s="283">
        <f>E249-C250</f>
        <v/>
      </c>
    </row>
    <row r="251" ht="15" customHeight="1" s="160">
      <c r="A251" s="281" t="n">
        <v>243</v>
      </c>
      <c r="B251" s="195">
        <f>$B$6</f>
        <v/>
      </c>
      <c r="C251" s="195">
        <f>B251-D251</f>
        <v/>
      </c>
      <c r="D251" s="195">
        <f>E250*$B$4/12</f>
        <v/>
      </c>
      <c r="E251" s="195">
        <f>E250-C251</f>
        <v/>
      </c>
    </row>
    <row r="252" ht="15" customHeight="1" s="160">
      <c r="A252" s="282" t="n">
        <v>244</v>
      </c>
      <c r="B252" s="283">
        <f>$B$6</f>
        <v/>
      </c>
      <c r="C252" s="283">
        <f>B252-D252</f>
        <v/>
      </c>
      <c r="D252" s="283">
        <f>E251*$B$4/12</f>
        <v/>
      </c>
      <c r="E252" s="283">
        <f>E251-C252</f>
        <v/>
      </c>
    </row>
    <row r="253" ht="15" customHeight="1" s="160">
      <c r="A253" s="281" t="n">
        <v>245</v>
      </c>
      <c r="B253" s="195">
        <f>$B$6</f>
        <v/>
      </c>
      <c r="C253" s="195">
        <f>B253-D253</f>
        <v/>
      </c>
      <c r="D253" s="195">
        <f>E252*$B$4/12</f>
        <v/>
      </c>
      <c r="E253" s="195">
        <f>E252-C253</f>
        <v/>
      </c>
    </row>
    <row r="254" ht="15" customHeight="1" s="160">
      <c r="A254" s="282" t="n">
        <v>246</v>
      </c>
      <c r="B254" s="283">
        <f>$B$6</f>
        <v/>
      </c>
      <c r="C254" s="283">
        <f>B254-D254</f>
        <v/>
      </c>
      <c r="D254" s="283">
        <f>E253*$B$4/12</f>
        <v/>
      </c>
      <c r="E254" s="283">
        <f>E253-C254</f>
        <v/>
      </c>
    </row>
    <row r="255" ht="15" customHeight="1" s="160">
      <c r="A255" s="281" t="n">
        <v>247</v>
      </c>
      <c r="B255" s="195">
        <f>$B$6</f>
        <v/>
      </c>
      <c r="C255" s="195">
        <f>B255-D255</f>
        <v/>
      </c>
      <c r="D255" s="195">
        <f>E254*$B$4/12</f>
        <v/>
      </c>
      <c r="E255" s="195">
        <f>E254-C255</f>
        <v/>
      </c>
    </row>
    <row r="256" ht="15" customHeight="1" s="160">
      <c r="A256" s="282" t="n">
        <v>248</v>
      </c>
      <c r="B256" s="283">
        <f>$B$6</f>
        <v/>
      </c>
      <c r="C256" s="283">
        <f>B256-D256</f>
        <v/>
      </c>
      <c r="D256" s="283">
        <f>E255*$B$4/12</f>
        <v/>
      </c>
      <c r="E256" s="283">
        <f>E255-C256</f>
        <v/>
      </c>
    </row>
    <row r="257" ht="15" customHeight="1" s="160">
      <c r="A257" s="281" t="n">
        <v>249</v>
      </c>
      <c r="B257" s="195">
        <f>$B$6</f>
        <v/>
      </c>
      <c r="C257" s="195">
        <f>B257-D257</f>
        <v/>
      </c>
      <c r="D257" s="195">
        <f>E256*$B$4/12</f>
        <v/>
      </c>
      <c r="E257" s="195">
        <f>E256-C257</f>
        <v/>
      </c>
    </row>
    <row r="258" ht="15" customHeight="1" s="160">
      <c r="A258" s="282" t="n">
        <v>250</v>
      </c>
      <c r="B258" s="283">
        <f>$B$6</f>
        <v/>
      </c>
      <c r="C258" s="283">
        <f>B258-D258</f>
        <v/>
      </c>
      <c r="D258" s="283">
        <f>E257*$B$4/12</f>
        <v/>
      </c>
      <c r="E258" s="283">
        <f>E257-C258</f>
        <v/>
      </c>
    </row>
    <row r="259" ht="15" customHeight="1" s="160">
      <c r="A259" s="281" t="n">
        <v>251</v>
      </c>
      <c r="B259" s="195">
        <f>$B$6</f>
        <v/>
      </c>
      <c r="C259" s="195">
        <f>B259-D259</f>
        <v/>
      </c>
      <c r="D259" s="195">
        <f>E258*$B$4/12</f>
        <v/>
      </c>
      <c r="E259" s="195">
        <f>E258-C259</f>
        <v/>
      </c>
    </row>
    <row r="260" ht="15" customHeight="1" s="160">
      <c r="A260" s="282" t="n">
        <v>252</v>
      </c>
      <c r="B260" s="283">
        <f>$B$6</f>
        <v/>
      </c>
      <c r="C260" s="283">
        <f>B260-D260</f>
        <v/>
      </c>
      <c r="D260" s="283">
        <f>E259*$B$4/12</f>
        <v/>
      </c>
      <c r="E260" s="283">
        <f>E259-C260</f>
        <v/>
      </c>
    </row>
    <row r="261" ht="15" customHeight="1" s="160">
      <c r="A261" s="281" t="n">
        <v>253</v>
      </c>
      <c r="B261" s="195">
        <f>$B$6</f>
        <v/>
      </c>
      <c r="C261" s="195">
        <f>B261-D261</f>
        <v/>
      </c>
      <c r="D261" s="195">
        <f>E260*$B$4/12</f>
        <v/>
      </c>
      <c r="E261" s="195">
        <f>E260-C261</f>
        <v/>
      </c>
    </row>
    <row r="262" ht="15" customHeight="1" s="160">
      <c r="A262" s="282" t="n">
        <v>254</v>
      </c>
      <c r="B262" s="283">
        <f>$B$6</f>
        <v/>
      </c>
      <c r="C262" s="283">
        <f>B262-D262</f>
        <v/>
      </c>
      <c r="D262" s="283">
        <f>E261*$B$4/12</f>
        <v/>
      </c>
      <c r="E262" s="283">
        <f>E261-C262</f>
        <v/>
      </c>
    </row>
    <row r="263" ht="15" customHeight="1" s="160">
      <c r="A263" s="281" t="n">
        <v>255</v>
      </c>
      <c r="B263" s="195">
        <f>$B$6</f>
        <v/>
      </c>
      <c r="C263" s="195">
        <f>B263-D263</f>
        <v/>
      </c>
      <c r="D263" s="195">
        <f>E262*$B$4/12</f>
        <v/>
      </c>
      <c r="E263" s="195">
        <f>E262-C263</f>
        <v/>
      </c>
    </row>
    <row r="264" ht="15" customHeight="1" s="160">
      <c r="A264" s="282" t="n">
        <v>256</v>
      </c>
      <c r="B264" s="283">
        <f>$B$6</f>
        <v/>
      </c>
      <c r="C264" s="283">
        <f>B264-D264</f>
        <v/>
      </c>
      <c r="D264" s="283">
        <f>E263*$B$4/12</f>
        <v/>
      </c>
      <c r="E264" s="283">
        <f>E263-C264</f>
        <v/>
      </c>
    </row>
    <row r="265" ht="15" customHeight="1" s="160">
      <c r="A265" s="281" t="n">
        <v>257</v>
      </c>
      <c r="B265" s="195">
        <f>$B$6</f>
        <v/>
      </c>
      <c r="C265" s="195">
        <f>B265-D265</f>
        <v/>
      </c>
      <c r="D265" s="195">
        <f>E264*$B$4/12</f>
        <v/>
      </c>
      <c r="E265" s="195">
        <f>E264-C265</f>
        <v/>
      </c>
    </row>
    <row r="266" ht="15" customHeight="1" s="160">
      <c r="A266" s="282" t="n">
        <v>258</v>
      </c>
      <c r="B266" s="283">
        <f>$B$6</f>
        <v/>
      </c>
      <c r="C266" s="283">
        <f>B266-D266</f>
        <v/>
      </c>
      <c r="D266" s="283">
        <f>E265*$B$4/12</f>
        <v/>
      </c>
      <c r="E266" s="283">
        <f>E265-C266</f>
        <v/>
      </c>
    </row>
    <row r="267" ht="15" customHeight="1" s="160">
      <c r="A267" s="281" t="n">
        <v>259</v>
      </c>
      <c r="B267" s="195">
        <f>$B$6</f>
        <v/>
      </c>
      <c r="C267" s="195">
        <f>B267-D267</f>
        <v/>
      </c>
      <c r="D267" s="195">
        <f>E266*$B$4/12</f>
        <v/>
      </c>
      <c r="E267" s="195">
        <f>E266-C267</f>
        <v/>
      </c>
    </row>
    <row r="268" ht="15" customHeight="1" s="160">
      <c r="A268" s="282" t="n">
        <v>260</v>
      </c>
      <c r="B268" s="283">
        <f>$B$6</f>
        <v/>
      </c>
      <c r="C268" s="283">
        <f>B268-D268</f>
        <v/>
      </c>
      <c r="D268" s="283">
        <f>E267*$B$4/12</f>
        <v/>
      </c>
      <c r="E268" s="283">
        <f>E267-C268</f>
        <v/>
      </c>
    </row>
    <row r="269" ht="15" customHeight="1" s="160">
      <c r="A269" s="281" t="n">
        <v>261</v>
      </c>
      <c r="B269" s="195">
        <f>$B$6</f>
        <v/>
      </c>
      <c r="C269" s="195">
        <f>B269-D269</f>
        <v/>
      </c>
      <c r="D269" s="195">
        <f>E268*$B$4/12</f>
        <v/>
      </c>
      <c r="E269" s="195">
        <f>E268-C269</f>
        <v/>
      </c>
    </row>
    <row r="270" ht="15" customHeight="1" s="160">
      <c r="A270" s="282" t="n">
        <v>262</v>
      </c>
      <c r="B270" s="283">
        <f>$B$6</f>
        <v/>
      </c>
      <c r="C270" s="283">
        <f>B270-D270</f>
        <v/>
      </c>
      <c r="D270" s="283">
        <f>E269*$B$4/12</f>
        <v/>
      </c>
      <c r="E270" s="283">
        <f>E269-C270</f>
        <v/>
      </c>
    </row>
    <row r="271" ht="15" customHeight="1" s="160">
      <c r="A271" s="281" t="n">
        <v>263</v>
      </c>
      <c r="B271" s="195">
        <f>$B$6</f>
        <v/>
      </c>
      <c r="C271" s="195">
        <f>B271-D271</f>
        <v/>
      </c>
      <c r="D271" s="195">
        <f>E270*$B$4/12</f>
        <v/>
      </c>
      <c r="E271" s="195">
        <f>E270-C271</f>
        <v/>
      </c>
    </row>
    <row r="272" ht="15" customHeight="1" s="160">
      <c r="A272" s="282" t="n">
        <v>264</v>
      </c>
      <c r="B272" s="283">
        <f>$B$6</f>
        <v/>
      </c>
      <c r="C272" s="283">
        <f>B272-D272</f>
        <v/>
      </c>
      <c r="D272" s="283">
        <f>E271*$B$4/12</f>
        <v/>
      </c>
      <c r="E272" s="283">
        <f>E271-C272</f>
        <v/>
      </c>
    </row>
    <row r="273" ht="15" customHeight="1" s="160">
      <c r="A273" s="281" t="n">
        <v>265</v>
      </c>
      <c r="B273" s="195">
        <f>$B$6</f>
        <v/>
      </c>
      <c r="C273" s="195">
        <f>B273-D273</f>
        <v/>
      </c>
      <c r="D273" s="195">
        <f>E272*$B$4/12</f>
        <v/>
      </c>
      <c r="E273" s="195">
        <f>E272-C273</f>
        <v/>
      </c>
    </row>
    <row r="274" ht="15" customHeight="1" s="160">
      <c r="A274" s="282" t="n">
        <v>266</v>
      </c>
      <c r="B274" s="283">
        <f>$B$6</f>
        <v/>
      </c>
      <c r="C274" s="283">
        <f>B274-D274</f>
        <v/>
      </c>
      <c r="D274" s="283">
        <f>E273*$B$4/12</f>
        <v/>
      </c>
      <c r="E274" s="283">
        <f>E273-C274</f>
        <v/>
      </c>
    </row>
    <row r="275" ht="15" customHeight="1" s="160">
      <c r="A275" s="281" t="n">
        <v>267</v>
      </c>
      <c r="B275" s="195">
        <f>$B$6</f>
        <v/>
      </c>
      <c r="C275" s="195">
        <f>B275-D275</f>
        <v/>
      </c>
      <c r="D275" s="195">
        <f>E274*$B$4/12</f>
        <v/>
      </c>
      <c r="E275" s="195">
        <f>E274-C275</f>
        <v/>
      </c>
    </row>
    <row r="276" ht="15" customHeight="1" s="160">
      <c r="A276" s="282" t="n">
        <v>268</v>
      </c>
      <c r="B276" s="283">
        <f>$B$6</f>
        <v/>
      </c>
      <c r="C276" s="283">
        <f>B276-D276</f>
        <v/>
      </c>
      <c r="D276" s="283">
        <f>E275*$B$4/12</f>
        <v/>
      </c>
      <c r="E276" s="283">
        <f>E275-C276</f>
        <v/>
      </c>
    </row>
    <row r="277" ht="15" customHeight="1" s="160">
      <c r="A277" s="281" t="n">
        <v>269</v>
      </c>
      <c r="B277" s="195">
        <f>$B$6</f>
        <v/>
      </c>
      <c r="C277" s="195">
        <f>B277-D277</f>
        <v/>
      </c>
      <c r="D277" s="195">
        <f>E276*$B$4/12</f>
        <v/>
      </c>
      <c r="E277" s="195">
        <f>E276-C277</f>
        <v/>
      </c>
    </row>
    <row r="278" ht="15" customHeight="1" s="160">
      <c r="A278" s="282" t="n">
        <v>270</v>
      </c>
      <c r="B278" s="283">
        <f>$B$6</f>
        <v/>
      </c>
      <c r="C278" s="283">
        <f>B278-D278</f>
        <v/>
      </c>
      <c r="D278" s="283">
        <f>E277*$B$4/12</f>
        <v/>
      </c>
      <c r="E278" s="283">
        <f>E277-C278</f>
        <v/>
      </c>
    </row>
    <row r="279" ht="15" customHeight="1" s="160">
      <c r="A279" s="281" t="n">
        <v>271</v>
      </c>
      <c r="B279" s="195">
        <f>$B$6</f>
        <v/>
      </c>
      <c r="C279" s="195">
        <f>B279-D279</f>
        <v/>
      </c>
      <c r="D279" s="195">
        <f>E278*$B$4/12</f>
        <v/>
      </c>
      <c r="E279" s="195">
        <f>E278-C279</f>
        <v/>
      </c>
    </row>
    <row r="280" ht="15" customHeight="1" s="160">
      <c r="A280" s="282" t="n">
        <v>272</v>
      </c>
      <c r="B280" s="283">
        <f>$B$6</f>
        <v/>
      </c>
      <c r="C280" s="283">
        <f>B280-D280</f>
        <v/>
      </c>
      <c r="D280" s="283">
        <f>E279*$B$4/12</f>
        <v/>
      </c>
      <c r="E280" s="283">
        <f>E279-C280</f>
        <v/>
      </c>
    </row>
    <row r="281" ht="15" customHeight="1" s="160">
      <c r="A281" s="281" t="n">
        <v>273</v>
      </c>
      <c r="B281" s="195">
        <f>$B$6</f>
        <v/>
      </c>
      <c r="C281" s="195">
        <f>B281-D281</f>
        <v/>
      </c>
      <c r="D281" s="195">
        <f>E280*$B$4/12</f>
        <v/>
      </c>
      <c r="E281" s="195">
        <f>E280-C281</f>
        <v/>
      </c>
    </row>
    <row r="282" ht="15" customHeight="1" s="160">
      <c r="A282" s="282" t="n">
        <v>274</v>
      </c>
      <c r="B282" s="283">
        <f>$B$6</f>
        <v/>
      </c>
      <c r="C282" s="283">
        <f>B282-D282</f>
        <v/>
      </c>
      <c r="D282" s="283">
        <f>E281*$B$4/12</f>
        <v/>
      </c>
      <c r="E282" s="283">
        <f>E281-C282</f>
        <v/>
      </c>
    </row>
    <row r="283" ht="15" customHeight="1" s="160">
      <c r="A283" s="281" t="n">
        <v>275</v>
      </c>
      <c r="B283" s="195">
        <f>$B$6</f>
        <v/>
      </c>
      <c r="C283" s="195">
        <f>B283-D283</f>
        <v/>
      </c>
      <c r="D283" s="195">
        <f>E282*$B$4/12</f>
        <v/>
      </c>
      <c r="E283" s="195">
        <f>E282-C283</f>
        <v/>
      </c>
    </row>
    <row r="284" ht="15" customHeight="1" s="160">
      <c r="A284" s="282" t="n">
        <v>276</v>
      </c>
      <c r="B284" s="283">
        <f>$B$6</f>
        <v/>
      </c>
      <c r="C284" s="283">
        <f>B284-D284</f>
        <v/>
      </c>
      <c r="D284" s="283">
        <f>E283*$B$4/12</f>
        <v/>
      </c>
      <c r="E284" s="283">
        <f>E283-C284</f>
        <v/>
      </c>
    </row>
    <row r="285" ht="15" customHeight="1" s="160">
      <c r="A285" s="281" t="n">
        <v>277</v>
      </c>
      <c r="B285" s="195">
        <f>$B$6</f>
        <v/>
      </c>
      <c r="C285" s="195">
        <f>B285-D285</f>
        <v/>
      </c>
      <c r="D285" s="195">
        <f>E284*$B$4/12</f>
        <v/>
      </c>
      <c r="E285" s="195">
        <f>E284-C285</f>
        <v/>
      </c>
    </row>
    <row r="286" ht="15" customHeight="1" s="160">
      <c r="A286" s="282" t="n">
        <v>278</v>
      </c>
      <c r="B286" s="283">
        <f>$B$6</f>
        <v/>
      </c>
      <c r="C286" s="283">
        <f>B286-D286</f>
        <v/>
      </c>
      <c r="D286" s="283">
        <f>E285*$B$4/12</f>
        <v/>
      </c>
      <c r="E286" s="283">
        <f>E285-C286</f>
        <v/>
      </c>
    </row>
    <row r="287" ht="15" customHeight="1" s="160">
      <c r="A287" s="281" t="n">
        <v>279</v>
      </c>
      <c r="B287" s="195">
        <f>$B$6</f>
        <v/>
      </c>
      <c r="C287" s="195">
        <f>B287-D287</f>
        <v/>
      </c>
      <c r="D287" s="195">
        <f>E286*$B$4/12</f>
        <v/>
      </c>
      <c r="E287" s="195">
        <f>E286-C287</f>
        <v/>
      </c>
    </row>
    <row r="288" ht="15" customHeight="1" s="160">
      <c r="A288" s="282" t="n">
        <v>280</v>
      </c>
      <c r="B288" s="283">
        <f>$B$6</f>
        <v/>
      </c>
      <c r="C288" s="283">
        <f>B288-D288</f>
        <v/>
      </c>
      <c r="D288" s="283">
        <f>E287*$B$4/12</f>
        <v/>
      </c>
      <c r="E288" s="283">
        <f>E287-C288</f>
        <v/>
      </c>
    </row>
    <row r="289" ht="15" customHeight="1" s="160">
      <c r="A289" s="281" t="n">
        <v>281</v>
      </c>
      <c r="B289" s="195">
        <f>$B$6</f>
        <v/>
      </c>
      <c r="C289" s="195">
        <f>B289-D289</f>
        <v/>
      </c>
      <c r="D289" s="195">
        <f>E288*$B$4/12</f>
        <v/>
      </c>
      <c r="E289" s="195">
        <f>E288-C289</f>
        <v/>
      </c>
    </row>
    <row r="290" ht="15" customHeight="1" s="160">
      <c r="A290" s="282" t="n">
        <v>282</v>
      </c>
      <c r="B290" s="283">
        <f>$B$6</f>
        <v/>
      </c>
      <c r="C290" s="283">
        <f>B290-D290</f>
        <v/>
      </c>
      <c r="D290" s="283">
        <f>E289*$B$4/12</f>
        <v/>
      </c>
      <c r="E290" s="283">
        <f>E289-C290</f>
        <v/>
      </c>
    </row>
    <row r="291" ht="15" customHeight="1" s="160">
      <c r="A291" s="281" t="n">
        <v>283</v>
      </c>
      <c r="B291" s="195">
        <f>$B$6</f>
        <v/>
      </c>
      <c r="C291" s="195">
        <f>B291-D291</f>
        <v/>
      </c>
      <c r="D291" s="195">
        <f>E290*$B$4/12</f>
        <v/>
      </c>
      <c r="E291" s="195">
        <f>E290-C291</f>
        <v/>
      </c>
    </row>
    <row r="292" ht="15" customHeight="1" s="160">
      <c r="A292" s="282" t="n">
        <v>284</v>
      </c>
      <c r="B292" s="283">
        <f>$B$6</f>
        <v/>
      </c>
      <c r="C292" s="283">
        <f>B292-D292</f>
        <v/>
      </c>
      <c r="D292" s="283">
        <f>E291*$B$4/12</f>
        <v/>
      </c>
      <c r="E292" s="283">
        <f>E291-C292</f>
        <v/>
      </c>
    </row>
    <row r="293" ht="15" customHeight="1" s="160">
      <c r="A293" s="281" t="n">
        <v>285</v>
      </c>
      <c r="B293" s="195">
        <f>$B$6</f>
        <v/>
      </c>
      <c r="C293" s="195">
        <f>B293-D293</f>
        <v/>
      </c>
      <c r="D293" s="195">
        <f>E292*$B$4/12</f>
        <v/>
      </c>
      <c r="E293" s="195">
        <f>E292-C293</f>
        <v/>
      </c>
    </row>
    <row r="294" ht="15" customHeight="1" s="160">
      <c r="A294" s="282" t="n">
        <v>286</v>
      </c>
      <c r="B294" s="283">
        <f>$B$6</f>
        <v/>
      </c>
      <c r="C294" s="283">
        <f>B294-D294</f>
        <v/>
      </c>
      <c r="D294" s="283">
        <f>E293*$B$4/12</f>
        <v/>
      </c>
      <c r="E294" s="283">
        <f>E293-C294</f>
        <v/>
      </c>
    </row>
    <row r="295" ht="15" customHeight="1" s="160">
      <c r="A295" s="281" t="n">
        <v>287</v>
      </c>
      <c r="B295" s="195">
        <f>$B$6</f>
        <v/>
      </c>
      <c r="C295" s="195">
        <f>B295-D295</f>
        <v/>
      </c>
      <c r="D295" s="195">
        <f>E294*$B$4/12</f>
        <v/>
      </c>
      <c r="E295" s="195">
        <f>E294-C295</f>
        <v/>
      </c>
    </row>
    <row r="296" ht="15" customHeight="1" s="160">
      <c r="A296" s="282" t="n">
        <v>288</v>
      </c>
      <c r="B296" s="283">
        <f>$B$6</f>
        <v/>
      </c>
      <c r="C296" s="283">
        <f>B296-D296</f>
        <v/>
      </c>
      <c r="D296" s="283">
        <f>E295*$B$4/12</f>
        <v/>
      </c>
      <c r="E296" s="283">
        <f>E295-C296</f>
        <v/>
      </c>
    </row>
    <row r="297" ht="15" customHeight="1" s="160">
      <c r="A297" s="281" t="n">
        <v>289</v>
      </c>
      <c r="B297" s="195">
        <f>$B$6</f>
        <v/>
      </c>
      <c r="C297" s="195">
        <f>B297-D297</f>
        <v/>
      </c>
      <c r="D297" s="195">
        <f>E296*$B$4/12</f>
        <v/>
      </c>
      <c r="E297" s="195">
        <f>E296-C297</f>
        <v/>
      </c>
    </row>
    <row r="298" ht="15" customHeight="1" s="160">
      <c r="A298" s="282" t="n">
        <v>290</v>
      </c>
      <c r="B298" s="283">
        <f>$B$6</f>
        <v/>
      </c>
      <c r="C298" s="283">
        <f>B298-D298</f>
        <v/>
      </c>
      <c r="D298" s="283">
        <f>E297*$B$4/12</f>
        <v/>
      </c>
      <c r="E298" s="283">
        <f>E297-C298</f>
        <v/>
      </c>
    </row>
    <row r="299" ht="15" customHeight="1" s="160">
      <c r="A299" s="281" t="n">
        <v>291</v>
      </c>
      <c r="B299" s="195">
        <f>$B$6</f>
        <v/>
      </c>
      <c r="C299" s="195">
        <f>B299-D299</f>
        <v/>
      </c>
      <c r="D299" s="195">
        <f>E298*$B$4/12</f>
        <v/>
      </c>
      <c r="E299" s="195">
        <f>E298-C299</f>
        <v/>
      </c>
    </row>
    <row r="300" ht="15" customHeight="1" s="160">
      <c r="A300" s="282" t="n">
        <v>292</v>
      </c>
      <c r="B300" s="283">
        <f>$B$6</f>
        <v/>
      </c>
      <c r="C300" s="283">
        <f>B300-D300</f>
        <v/>
      </c>
      <c r="D300" s="283">
        <f>E299*$B$4/12</f>
        <v/>
      </c>
      <c r="E300" s="283">
        <f>E299-C300</f>
        <v/>
      </c>
    </row>
    <row r="301" ht="15" customHeight="1" s="160">
      <c r="A301" s="281" t="n">
        <v>293</v>
      </c>
      <c r="B301" s="195">
        <f>$B$6</f>
        <v/>
      </c>
      <c r="C301" s="195">
        <f>B301-D301</f>
        <v/>
      </c>
      <c r="D301" s="195">
        <f>E300*$B$4/12</f>
        <v/>
      </c>
      <c r="E301" s="195">
        <f>E300-C301</f>
        <v/>
      </c>
    </row>
    <row r="302" ht="15" customHeight="1" s="160">
      <c r="A302" s="282" t="n">
        <v>294</v>
      </c>
      <c r="B302" s="283">
        <f>$B$6</f>
        <v/>
      </c>
      <c r="C302" s="283">
        <f>B302-D302</f>
        <v/>
      </c>
      <c r="D302" s="283">
        <f>E301*$B$4/12</f>
        <v/>
      </c>
      <c r="E302" s="283">
        <f>E301-C302</f>
        <v/>
      </c>
    </row>
    <row r="303" ht="15" customHeight="1" s="160">
      <c r="A303" s="281" t="n">
        <v>295</v>
      </c>
      <c r="B303" s="195">
        <f>$B$6</f>
        <v/>
      </c>
      <c r="C303" s="195">
        <f>B303-D303</f>
        <v/>
      </c>
      <c r="D303" s="195">
        <f>E302*$B$4/12</f>
        <v/>
      </c>
      <c r="E303" s="195">
        <f>E302-C303</f>
        <v/>
      </c>
    </row>
    <row r="304" ht="15" customHeight="1" s="160">
      <c r="A304" s="282" t="n">
        <v>296</v>
      </c>
      <c r="B304" s="283">
        <f>$B$6</f>
        <v/>
      </c>
      <c r="C304" s="283">
        <f>B304-D304</f>
        <v/>
      </c>
      <c r="D304" s="283">
        <f>E303*$B$4/12</f>
        <v/>
      </c>
      <c r="E304" s="283">
        <f>E303-C304</f>
        <v/>
      </c>
    </row>
    <row r="305" ht="15" customHeight="1" s="160">
      <c r="A305" s="281" t="n">
        <v>297</v>
      </c>
      <c r="B305" s="195">
        <f>$B$6</f>
        <v/>
      </c>
      <c r="C305" s="195">
        <f>B305-D305</f>
        <v/>
      </c>
      <c r="D305" s="195">
        <f>E304*$B$4/12</f>
        <v/>
      </c>
      <c r="E305" s="195">
        <f>E304-C305</f>
        <v/>
      </c>
    </row>
    <row r="306" ht="15" customHeight="1" s="160">
      <c r="A306" s="282" t="n">
        <v>298</v>
      </c>
      <c r="B306" s="283">
        <f>$B$6</f>
        <v/>
      </c>
      <c r="C306" s="283">
        <f>B306-D306</f>
        <v/>
      </c>
      <c r="D306" s="283">
        <f>E305*$B$4/12</f>
        <v/>
      </c>
      <c r="E306" s="283">
        <f>E305-C306</f>
        <v/>
      </c>
    </row>
    <row r="307" ht="15" customHeight="1" s="160">
      <c r="A307" s="281" t="n">
        <v>299</v>
      </c>
      <c r="B307" s="195">
        <f>$B$6</f>
        <v/>
      </c>
      <c r="C307" s="195">
        <f>B307-D307</f>
        <v/>
      </c>
      <c r="D307" s="195">
        <f>E306*$B$4/12</f>
        <v/>
      </c>
      <c r="E307" s="195">
        <f>E306-C307</f>
        <v/>
      </c>
    </row>
    <row r="308" ht="15" customHeight="1" s="160">
      <c r="A308" s="282" t="n">
        <v>300</v>
      </c>
      <c r="B308" s="283">
        <f>$B$6</f>
        <v/>
      </c>
      <c r="C308" s="283">
        <f>B308-D308</f>
        <v/>
      </c>
      <c r="D308" s="283">
        <f>E307*$B$4/12</f>
        <v/>
      </c>
      <c r="E308" s="283">
        <f>E307-C308</f>
        <v/>
      </c>
    </row>
    <row r="309" ht="15" customHeight="1" s="160">
      <c r="A309" s="281" t="n">
        <v>301</v>
      </c>
      <c r="B309" s="195">
        <f>$B$6</f>
        <v/>
      </c>
      <c r="C309" s="195">
        <f>B309-D309</f>
        <v/>
      </c>
      <c r="D309" s="195">
        <f>E308*$B$4/12</f>
        <v/>
      </c>
      <c r="E309" s="195">
        <f>E308-C309</f>
        <v/>
      </c>
    </row>
    <row r="310" ht="15" customHeight="1" s="160">
      <c r="A310" s="282" t="n">
        <v>302</v>
      </c>
      <c r="B310" s="283">
        <f>$B$6</f>
        <v/>
      </c>
      <c r="C310" s="283">
        <f>B310-D310</f>
        <v/>
      </c>
      <c r="D310" s="283">
        <f>E309*$B$4/12</f>
        <v/>
      </c>
      <c r="E310" s="283">
        <f>E309-C310</f>
        <v/>
      </c>
    </row>
    <row r="311" ht="15" customHeight="1" s="160">
      <c r="A311" s="281" t="n">
        <v>303</v>
      </c>
      <c r="B311" s="195">
        <f>$B$6</f>
        <v/>
      </c>
      <c r="C311" s="195">
        <f>B311-D311</f>
        <v/>
      </c>
      <c r="D311" s="195">
        <f>E310*$B$4/12</f>
        <v/>
      </c>
      <c r="E311" s="195">
        <f>E310-C311</f>
        <v/>
      </c>
    </row>
    <row r="312" ht="15" customHeight="1" s="160">
      <c r="A312" s="282" t="n">
        <v>304</v>
      </c>
      <c r="B312" s="283">
        <f>$B$6</f>
        <v/>
      </c>
      <c r="C312" s="283">
        <f>B312-D312</f>
        <v/>
      </c>
      <c r="D312" s="283">
        <f>E311*$B$4/12</f>
        <v/>
      </c>
      <c r="E312" s="283">
        <f>E311-C312</f>
        <v/>
      </c>
    </row>
    <row r="313" ht="15" customHeight="1" s="160">
      <c r="A313" s="281" t="n">
        <v>305</v>
      </c>
      <c r="B313" s="195">
        <f>$B$6</f>
        <v/>
      </c>
      <c r="C313" s="195">
        <f>B313-D313</f>
        <v/>
      </c>
      <c r="D313" s="195">
        <f>E312*$B$4/12</f>
        <v/>
      </c>
      <c r="E313" s="195">
        <f>E312-C313</f>
        <v/>
      </c>
    </row>
    <row r="314" ht="15" customHeight="1" s="160">
      <c r="A314" s="282" t="n">
        <v>306</v>
      </c>
      <c r="B314" s="283">
        <f>$B$6</f>
        <v/>
      </c>
      <c r="C314" s="283">
        <f>B314-D314</f>
        <v/>
      </c>
      <c r="D314" s="283">
        <f>E313*$B$4/12</f>
        <v/>
      </c>
      <c r="E314" s="283">
        <f>E313-C314</f>
        <v/>
      </c>
    </row>
    <row r="315" ht="15" customHeight="1" s="160">
      <c r="A315" s="281" t="n">
        <v>307</v>
      </c>
      <c r="B315" s="195">
        <f>$B$6</f>
        <v/>
      </c>
      <c r="C315" s="195">
        <f>B315-D315</f>
        <v/>
      </c>
      <c r="D315" s="195">
        <f>E314*$B$4/12</f>
        <v/>
      </c>
      <c r="E315" s="195">
        <f>E314-C315</f>
        <v/>
      </c>
    </row>
    <row r="316" ht="15" customHeight="1" s="160">
      <c r="A316" s="282" t="n">
        <v>308</v>
      </c>
      <c r="B316" s="283">
        <f>$B$6</f>
        <v/>
      </c>
      <c r="C316" s="283">
        <f>B316-D316</f>
        <v/>
      </c>
      <c r="D316" s="283">
        <f>E315*$B$4/12</f>
        <v/>
      </c>
      <c r="E316" s="283">
        <f>E315-C316</f>
        <v/>
      </c>
    </row>
    <row r="317" ht="15" customHeight="1" s="160">
      <c r="A317" s="281" t="n">
        <v>309</v>
      </c>
      <c r="B317" s="195">
        <f>$B$6</f>
        <v/>
      </c>
      <c r="C317" s="195">
        <f>B317-D317</f>
        <v/>
      </c>
      <c r="D317" s="195">
        <f>E316*$B$4/12</f>
        <v/>
      </c>
      <c r="E317" s="195">
        <f>E316-C317</f>
        <v/>
      </c>
    </row>
    <row r="318" ht="15" customHeight="1" s="160">
      <c r="A318" s="282" t="n">
        <v>310</v>
      </c>
      <c r="B318" s="283">
        <f>$B$6</f>
        <v/>
      </c>
      <c r="C318" s="283">
        <f>B318-D318</f>
        <v/>
      </c>
      <c r="D318" s="283">
        <f>E317*$B$4/12</f>
        <v/>
      </c>
      <c r="E318" s="283">
        <f>E317-C318</f>
        <v/>
      </c>
    </row>
    <row r="319" ht="15" customHeight="1" s="160">
      <c r="A319" s="281" t="n">
        <v>311</v>
      </c>
      <c r="B319" s="195">
        <f>$B$6</f>
        <v/>
      </c>
      <c r="C319" s="195">
        <f>B319-D319</f>
        <v/>
      </c>
      <c r="D319" s="195">
        <f>E318*$B$4/12</f>
        <v/>
      </c>
      <c r="E319" s="195">
        <f>E318-C319</f>
        <v/>
      </c>
    </row>
    <row r="320" ht="15" customHeight="1" s="160">
      <c r="A320" s="282" t="n">
        <v>312</v>
      </c>
      <c r="B320" s="283">
        <f>$B$6</f>
        <v/>
      </c>
      <c r="C320" s="283">
        <f>B320-D320</f>
        <v/>
      </c>
      <c r="D320" s="283">
        <f>E319*$B$4/12</f>
        <v/>
      </c>
      <c r="E320" s="283">
        <f>E319-C320</f>
        <v/>
      </c>
    </row>
    <row r="321" ht="15" customHeight="1" s="160">
      <c r="A321" s="281" t="n">
        <v>313</v>
      </c>
      <c r="B321" s="195">
        <f>$B$6</f>
        <v/>
      </c>
      <c r="C321" s="195">
        <f>B321-D321</f>
        <v/>
      </c>
      <c r="D321" s="195">
        <f>E320*$B$4/12</f>
        <v/>
      </c>
      <c r="E321" s="195">
        <f>E320-C321</f>
        <v/>
      </c>
    </row>
    <row r="322" ht="15" customHeight="1" s="160">
      <c r="A322" s="282" t="n">
        <v>314</v>
      </c>
      <c r="B322" s="283">
        <f>$B$6</f>
        <v/>
      </c>
      <c r="C322" s="283">
        <f>B322-D322</f>
        <v/>
      </c>
      <c r="D322" s="283">
        <f>E321*$B$4/12</f>
        <v/>
      </c>
      <c r="E322" s="283">
        <f>E321-C322</f>
        <v/>
      </c>
    </row>
    <row r="323" ht="15" customHeight="1" s="160">
      <c r="A323" s="281" t="n">
        <v>315</v>
      </c>
      <c r="B323" s="195">
        <f>$B$6</f>
        <v/>
      </c>
      <c r="C323" s="195">
        <f>B323-D323</f>
        <v/>
      </c>
      <c r="D323" s="195">
        <f>E322*$B$4/12</f>
        <v/>
      </c>
      <c r="E323" s="195">
        <f>E322-C323</f>
        <v/>
      </c>
    </row>
    <row r="324" ht="15" customHeight="1" s="160">
      <c r="A324" s="282" t="n">
        <v>316</v>
      </c>
      <c r="B324" s="283">
        <f>$B$6</f>
        <v/>
      </c>
      <c r="C324" s="283">
        <f>B324-D324</f>
        <v/>
      </c>
      <c r="D324" s="283">
        <f>E323*$B$4/12</f>
        <v/>
      </c>
      <c r="E324" s="283">
        <f>E323-C324</f>
        <v/>
      </c>
    </row>
    <row r="325" ht="15" customHeight="1" s="160">
      <c r="A325" s="281" t="n">
        <v>317</v>
      </c>
      <c r="B325" s="195">
        <f>$B$6</f>
        <v/>
      </c>
      <c r="C325" s="195">
        <f>B325-D325</f>
        <v/>
      </c>
      <c r="D325" s="195">
        <f>E324*$B$4/12</f>
        <v/>
      </c>
      <c r="E325" s="195">
        <f>E324-C325</f>
        <v/>
      </c>
    </row>
    <row r="326" ht="15" customHeight="1" s="160">
      <c r="A326" s="282" t="n">
        <v>318</v>
      </c>
      <c r="B326" s="283">
        <f>$B$6</f>
        <v/>
      </c>
      <c r="C326" s="283">
        <f>B326-D326</f>
        <v/>
      </c>
      <c r="D326" s="283">
        <f>E325*$B$4/12</f>
        <v/>
      </c>
      <c r="E326" s="283">
        <f>E325-C326</f>
        <v/>
      </c>
    </row>
    <row r="327" ht="15" customHeight="1" s="160">
      <c r="A327" s="281" t="n">
        <v>319</v>
      </c>
      <c r="B327" s="195">
        <f>$B$6</f>
        <v/>
      </c>
      <c r="C327" s="195">
        <f>B327-D327</f>
        <v/>
      </c>
      <c r="D327" s="195">
        <f>E326*$B$4/12</f>
        <v/>
      </c>
      <c r="E327" s="195">
        <f>E326-C327</f>
        <v/>
      </c>
    </row>
    <row r="328" ht="15" customHeight="1" s="160">
      <c r="A328" s="282" t="n">
        <v>320</v>
      </c>
      <c r="B328" s="283">
        <f>$B$6</f>
        <v/>
      </c>
      <c r="C328" s="283">
        <f>B328-D328</f>
        <v/>
      </c>
      <c r="D328" s="283">
        <f>E327*$B$4/12</f>
        <v/>
      </c>
      <c r="E328" s="283">
        <f>E327-C328</f>
        <v/>
      </c>
    </row>
    <row r="329" ht="15" customHeight="1" s="160">
      <c r="A329" s="281" t="n">
        <v>321</v>
      </c>
      <c r="B329" s="195">
        <f>$B$6</f>
        <v/>
      </c>
      <c r="C329" s="195">
        <f>B329-D329</f>
        <v/>
      </c>
      <c r="D329" s="195">
        <f>E328*$B$4/12</f>
        <v/>
      </c>
      <c r="E329" s="195">
        <f>E328-C329</f>
        <v/>
      </c>
    </row>
    <row r="330" ht="15" customHeight="1" s="160">
      <c r="A330" s="282" t="n">
        <v>322</v>
      </c>
      <c r="B330" s="283">
        <f>$B$6</f>
        <v/>
      </c>
      <c r="C330" s="283">
        <f>B330-D330</f>
        <v/>
      </c>
      <c r="D330" s="283">
        <f>E329*$B$4/12</f>
        <v/>
      </c>
      <c r="E330" s="283">
        <f>E329-C330</f>
        <v/>
      </c>
    </row>
    <row r="331" ht="15" customHeight="1" s="160">
      <c r="A331" s="281" t="n">
        <v>323</v>
      </c>
      <c r="B331" s="195">
        <f>$B$6</f>
        <v/>
      </c>
      <c r="C331" s="195">
        <f>B331-D331</f>
        <v/>
      </c>
      <c r="D331" s="195">
        <f>E330*$B$4/12</f>
        <v/>
      </c>
      <c r="E331" s="195">
        <f>E330-C331</f>
        <v/>
      </c>
    </row>
    <row r="332" ht="15" customHeight="1" s="160">
      <c r="A332" s="282" t="n">
        <v>324</v>
      </c>
      <c r="B332" s="283">
        <f>$B$6</f>
        <v/>
      </c>
      <c r="C332" s="283">
        <f>B332-D332</f>
        <v/>
      </c>
      <c r="D332" s="283">
        <f>E331*$B$4/12</f>
        <v/>
      </c>
      <c r="E332" s="283">
        <f>E331-C332</f>
        <v/>
      </c>
    </row>
    <row r="333" ht="15" customHeight="1" s="160">
      <c r="A333" s="281" t="n">
        <v>325</v>
      </c>
      <c r="B333" s="195">
        <f>$B$6</f>
        <v/>
      </c>
      <c r="C333" s="195">
        <f>B333-D333</f>
        <v/>
      </c>
      <c r="D333" s="195">
        <f>E332*$B$4/12</f>
        <v/>
      </c>
      <c r="E333" s="195">
        <f>E332-C333</f>
        <v/>
      </c>
    </row>
    <row r="334" ht="15" customHeight="1" s="160">
      <c r="A334" s="282" t="n">
        <v>326</v>
      </c>
      <c r="B334" s="283">
        <f>$B$6</f>
        <v/>
      </c>
      <c r="C334" s="283">
        <f>B334-D334</f>
        <v/>
      </c>
      <c r="D334" s="283">
        <f>E333*$B$4/12</f>
        <v/>
      </c>
      <c r="E334" s="283">
        <f>E333-C334</f>
        <v/>
      </c>
    </row>
    <row r="335" ht="15" customHeight="1" s="160">
      <c r="A335" s="281" t="n">
        <v>327</v>
      </c>
      <c r="B335" s="195">
        <f>$B$6</f>
        <v/>
      </c>
      <c r="C335" s="195">
        <f>B335-D335</f>
        <v/>
      </c>
      <c r="D335" s="195">
        <f>E334*$B$4/12</f>
        <v/>
      </c>
      <c r="E335" s="195">
        <f>E334-C335</f>
        <v/>
      </c>
    </row>
    <row r="336" ht="15" customHeight="1" s="160">
      <c r="A336" s="282" t="n">
        <v>328</v>
      </c>
      <c r="B336" s="283">
        <f>$B$6</f>
        <v/>
      </c>
      <c r="C336" s="283">
        <f>B336-D336</f>
        <v/>
      </c>
      <c r="D336" s="283">
        <f>E335*$B$4/12</f>
        <v/>
      </c>
      <c r="E336" s="283">
        <f>E335-C336</f>
        <v/>
      </c>
    </row>
    <row r="337" ht="15" customHeight="1" s="160">
      <c r="A337" s="281" t="n">
        <v>329</v>
      </c>
      <c r="B337" s="195">
        <f>$B$6</f>
        <v/>
      </c>
      <c r="C337" s="195">
        <f>B337-D337</f>
        <v/>
      </c>
      <c r="D337" s="195">
        <f>E336*$B$4/12</f>
        <v/>
      </c>
      <c r="E337" s="195">
        <f>E336-C337</f>
        <v/>
      </c>
    </row>
    <row r="338" ht="15" customHeight="1" s="160">
      <c r="A338" s="282" t="n">
        <v>330</v>
      </c>
      <c r="B338" s="283">
        <f>$B$6</f>
        <v/>
      </c>
      <c r="C338" s="283">
        <f>B338-D338</f>
        <v/>
      </c>
      <c r="D338" s="283">
        <f>E337*$B$4/12</f>
        <v/>
      </c>
      <c r="E338" s="283">
        <f>E337-C338</f>
        <v/>
      </c>
    </row>
    <row r="339" ht="15" customHeight="1" s="160">
      <c r="A339" s="281" t="n">
        <v>331</v>
      </c>
      <c r="B339" s="195">
        <f>$B$6</f>
        <v/>
      </c>
      <c r="C339" s="195">
        <f>B339-D339</f>
        <v/>
      </c>
      <c r="D339" s="195">
        <f>E338*$B$4/12</f>
        <v/>
      </c>
      <c r="E339" s="195">
        <f>E338-C339</f>
        <v/>
      </c>
    </row>
    <row r="340" ht="15" customHeight="1" s="160">
      <c r="A340" s="282" t="n">
        <v>332</v>
      </c>
      <c r="B340" s="283">
        <f>$B$6</f>
        <v/>
      </c>
      <c r="C340" s="283">
        <f>B340-D340</f>
        <v/>
      </c>
      <c r="D340" s="283">
        <f>E339*$B$4/12</f>
        <v/>
      </c>
      <c r="E340" s="283">
        <f>E339-C340</f>
        <v/>
      </c>
    </row>
    <row r="341" ht="15" customHeight="1" s="160">
      <c r="A341" s="281" t="n">
        <v>333</v>
      </c>
      <c r="B341" s="195">
        <f>$B$6</f>
        <v/>
      </c>
      <c r="C341" s="195">
        <f>B341-D341</f>
        <v/>
      </c>
      <c r="D341" s="195">
        <f>E340*$B$4/12</f>
        <v/>
      </c>
      <c r="E341" s="195">
        <f>E340-C341</f>
        <v/>
      </c>
    </row>
    <row r="342" ht="15" customHeight="1" s="160">
      <c r="A342" s="282" t="n">
        <v>334</v>
      </c>
      <c r="B342" s="283">
        <f>$B$6</f>
        <v/>
      </c>
      <c r="C342" s="283">
        <f>B342-D342</f>
        <v/>
      </c>
      <c r="D342" s="283">
        <f>E341*$B$4/12</f>
        <v/>
      </c>
      <c r="E342" s="283">
        <f>E341-C342</f>
        <v/>
      </c>
    </row>
    <row r="343" ht="15" customHeight="1" s="160">
      <c r="A343" s="281" t="n">
        <v>335</v>
      </c>
      <c r="B343" s="195">
        <f>$B$6</f>
        <v/>
      </c>
      <c r="C343" s="195">
        <f>B343-D343</f>
        <v/>
      </c>
      <c r="D343" s="195">
        <f>E342*$B$4/12</f>
        <v/>
      </c>
      <c r="E343" s="195">
        <f>E342-C343</f>
        <v/>
      </c>
    </row>
    <row r="344" ht="15" customHeight="1" s="160">
      <c r="A344" s="282" t="n">
        <v>336</v>
      </c>
      <c r="B344" s="283">
        <f>$B$6</f>
        <v/>
      </c>
      <c r="C344" s="283">
        <f>B344-D344</f>
        <v/>
      </c>
      <c r="D344" s="283">
        <f>E343*$B$4/12</f>
        <v/>
      </c>
      <c r="E344" s="283">
        <f>E343-C344</f>
        <v/>
      </c>
    </row>
    <row r="345" ht="15" customHeight="1" s="160">
      <c r="A345" s="281" t="n">
        <v>337</v>
      </c>
      <c r="B345" s="195">
        <f>$B$6</f>
        <v/>
      </c>
      <c r="C345" s="195">
        <f>B345-D345</f>
        <v/>
      </c>
      <c r="D345" s="195">
        <f>E344*$B$4/12</f>
        <v/>
      </c>
      <c r="E345" s="195">
        <f>E344-C345</f>
        <v/>
      </c>
    </row>
    <row r="346" ht="15" customHeight="1" s="160">
      <c r="A346" s="282" t="n">
        <v>338</v>
      </c>
      <c r="B346" s="283">
        <f>$B$6</f>
        <v/>
      </c>
      <c r="C346" s="283">
        <f>B346-D346</f>
        <v/>
      </c>
      <c r="D346" s="283">
        <f>E345*$B$4/12</f>
        <v/>
      </c>
      <c r="E346" s="283">
        <f>E345-C346</f>
        <v/>
      </c>
    </row>
    <row r="347" ht="15" customHeight="1" s="160">
      <c r="A347" s="281" t="n">
        <v>339</v>
      </c>
      <c r="B347" s="195">
        <f>$B$6</f>
        <v/>
      </c>
      <c r="C347" s="195">
        <f>B347-D347</f>
        <v/>
      </c>
      <c r="D347" s="195">
        <f>E346*$B$4/12</f>
        <v/>
      </c>
      <c r="E347" s="195">
        <f>E346-C347</f>
        <v/>
      </c>
    </row>
    <row r="348" ht="15" customHeight="1" s="160">
      <c r="A348" s="282" t="n">
        <v>340</v>
      </c>
      <c r="B348" s="283">
        <f>$B$6</f>
        <v/>
      </c>
      <c r="C348" s="283">
        <f>B348-D348</f>
        <v/>
      </c>
      <c r="D348" s="283">
        <f>E347*$B$4/12</f>
        <v/>
      </c>
      <c r="E348" s="283">
        <f>E347-C348</f>
        <v/>
      </c>
    </row>
    <row r="349" ht="15" customHeight="1" s="160">
      <c r="A349" s="281" t="n">
        <v>341</v>
      </c>
      <c r="B349" s="195">
        <f>$B$6</f>
        <v/>
      </c>
      <c r="C349" s="195">
        <f>B349-D349</f>
        <v/>
      </c>
      <c r="D349" s="195">
        <f>E348*$B$4/12</f>
        <v/>
      </c>
      <c r="E349" s="195">
        <f>E348-C349</f>
        <v/>
      </c>
    </row>
    <row r="350" ht="15" customHeight="1" s="160">
      <c r="A350" s="282" t="n">
        <v>342</v>
      </c>
      <c r="B350" s="283">
        <f>$B$6</f>
        <v/>
      </c>
      <c r="C350" s="283">
        <f>B350-D350</f>
        <v/>
      </c>
      <c r="D350" s="283">
        <f>E349*$B$4/12</f>
        <v/>
      </c>
      <c r="E350" s="283">
        <f>E349-C350</f>
        <v/>
      </c>
    </row>
    <row r="351" ht="15" customHeight="1" s="160">
      <c r="A351" s="281" t="n">
        <v>343</v>
      </c>
      <c r="B351" s="195">
        <f>$B$6</f>
        <v/>
      </c>
      <c r="C351" s="195">
        <f>B351-D351</f>
        <v/>
      </c>
      <c r="D351" s="195">
        <f>E350*$B$4/12</f>
        <v/>
      </c>
      <c r="E351" s="195">
        <f>E350-C351</f>
        <v/>
      </c>
    </row>
    <row r="352" ht="15" customHeight="1" s="160">
      <c r="A352" s="282" t="n">
        <v>344</v>
      </c>
      <c r="B352" s="283">
        <f>$B$6</f>
        <v/>
      </c>
      <c r="C352" s="283">
        <f>B352-D352</f>
        <v/>
      </c>
      <c r="D352" s="283">
        <f>E351*$B$4/12</f>
        <v/>
      </c>
      <c r="E352" s="283">
        <f>E351-C352</f>
        <v/>
      </c>
    </row>
    <row r="353" ht="15" customHeight="1" s="160">
      <c r="A353" s="281" t="n">
        <v>345</v>
      </c>
      <c r="B353" s="195">
        <f>$B$6</f>
        <v/>
      </c>
      <c r="C353" s="195">
        <f>B353-D353</f>
        <v/>
      </c>
      <c r="D353" s="195">
        <f>E352*$B$4/12</f>
        <v/>
      </c>
      <c r="E353" s="195">
        <f>E352-C353</f>
        <v/>
      </c>
    </row>
    <row r="354" ht="15" customHeight="1" s="160">
      <c r="A354" s="282" t="n">
        <v>346</v>
      </c>
      <c r="B354" s="283">
        <f>$B$6</f>
        <v/>
      </c>
      <c r="C354" s="283">
        <f>B354-D354</f>
        <v/>
      </c>
      <c r="D354" s="283">
        <f>E353*$B$4/12</f>
        <v/>
      </c>
      <c r="E354" s="283">
        <f>E353-C354</f>
        <v/>
      </c>
    </row>
    <row r="355" ht="15" customHeight="1" s="160">
      <c r="A355" s="281" t="n">
        <v>347</v>
      </c>
      <c r="B355" s="195">
        <f>$B$6</f>
        <v/>
      </c>
      <c r="C355" s="195">
        <f>B355-D355</f>
        <v/>
      </c>
      <c r="D355" s="195">
        <f>E354*$B$4/12</f>
        <v/>
      </c>
      <c r="E355" s="195">
        <f>E354-C355</f>
        <v/>
      </c>
    </row>
    <row r="356" ht="15" customHeight="1" s="160">
      <c r="A356" s="282" t="n">
        <v>348</v>
      </c>
      <c r="B356" s="283">
        <f>$B$6</f>
        <v/>
      </c>
      <c r="C356" s="283">
        <f>B356-D356</f>
        <v/>
      </c>
      <c r="D356" s="283">
        <f>E355*$B$4/12</f>
        <v/>
      </c>
      <c r="E356" s="283">
        <f>E355-C356</f>
        <v/>
      </c>
    </row>
    <row r="357" ht="15" customHeight="1" s="160">
      <c r="A357" s="281" t="n">
        <v>349</v>
      </c>
      <c r="B357" s="195">
        <f>$B$6</f>
        <v/>
      </c>
      <c r="C357" s="195">
        <f>B357-D357</f>
        <v/>
      </c>
      <c r="D357" s="195">
        <f>E356*$B$4/12</f>
        <v/>
      </c>
      <c r="E357" s="195">
        <f>E356-C357</f>
        <v/>
      </c>
    </row>
    <row r="358" ht="15" customHeight="1" s="160">
      <c r="A358" s="282" t="n">
        <v>350</v>
      </c>
      <c r="B358" s="283">
        <f>$B$6</f>
        <v/>
      </c>
      <c r="C358" s="283">
        <f>B358-D358</f>
        <v/>
      </c>
      <c r="D358" s="283">
        <f>E357*$B$4/12</f>
        <v/>
      </c>
      <c r="E358" s="283">
        <f>E357-C358</f>
        <v/>
      </c>
    </row>
    <row r="359" ht="15" customHeight="1" s="160">
      <c r="A359" s="281" t="n">
        <v>351</v>
      </c>
      <c r="B359" s="195">
        <f>$B$6</f>
        <v/>
      </c>
      <c r="C359" s="195">
        <f>B359-D359</f>
        <v/>
      </c>
      <c r="D359" s="195">
        <f>E358*$B$4/12</f>
        <v/>
      </c>
      <c r="E359" s="195">
        <f>E358-C359</f>
        <v/>
      </c>
    </row>
    <row r="360" ht="15" customHeight="1" s="160">
      <c r="A360" s="282" t="n">
        <v>352</v>
      </c>
      <c r="B360" s="283">
        <f>$B$6</f>
        <v/>
      </c>
      <c r="C360" s="283">
        <f>B360-D360</f>
        <v/>
      </c>
      <c r="D360" s="283">
        <f>E359*$B$4/12</f>
        <v/>
      </c>
      <c r="E360" s="283">
        <f>E359-C360</f>
        <v/>
      </c>
    </row>
    <row r="361" ht="15" customHeight="1" s="160">
      <c r="A361" s="281" t="n">
        <v>353</v>
      </c>
      <c r="B361" s="195">
        <f>$B$6</f>
        <v/>
      </c>
      <c r="C361" s="195">
        <f>B361-D361</f>
        <v/>
      </c>
      <c r="D361" s="195">
        <f>E360*$B$4/12</f>
        <v/>
      </c>
      <c r="E361" s="195">
        <f>E360-C361</f>
        <v/>
      </c>
    </row>
    <row r="362" ht="15" customHeight="1" s="160">
      <c r="A362" s="282" t="n">
        <v>354</v>
      </c>
      <c r="B362" s="283">
        <f>$B$6</f>
        <v/>
      </c>
      <c r="C362" s="283">
        <f>B362-D362</f>
        <v/>
      </c>
      <c r="D362" s="283">
        <f>E361*$B$4/12</f>
        <v/>
      </c>
      <c r="E362" s="283">
        <f>E361-C362</f>
        <v/>
      </c>
    </row>
    <row r="363" ht="15" customHeight="1" s="160">
      <c r="A363" s="281" t="n">
        <v>355</v>
      </c>
      <c r="B363" s="195">
        <f>$B$6</f>
        <v/>
      </c>
      <c r="C363" s="195">
        <f>B363-D363</f>
        <v/>
      </c>
      <c r="D363" s="195">
        <f>E362*$B$4/12</f>
        <v/>
      </c>
      <c r="E363" s="195">
        <f>E362-C363</f>
        <v/>
      </c>
    </row>
    <row r="364" ht="15" customHeight="1" s="160">
      <c r="A364" s="282" t="n">
        <v>356</v>
      </c>
      <c r="B364" s="283">
        <f>$B$6</f>
        <v/>
      </c>
      <c r="C364" s="283">
        <f>B364-D364</f>
        <v/>
      </c>
      <c r="D364" s="283">
        <f>E363*$B$4/12</f>
        <v/>
      </c>
      <c r="E364" s="283">
        <f>E363-C364</f>
        <v/>
      </c>
    </row>
    <row r="365" ht="15" customHeight="1" s="160">
      <c r="A365" s="281" t="n">
        <v>357</v>
      </c>
      <c r="B365" s="195">
        <f>$B$6</f>
        <v/>
      </c>
      <c r="C365" s="195">
        <f>B365-D365</f>
        <v/>
      </c>
      <c r="D365" s="195">
        <f>E364*$B$4/12</f>
        <v/>
      </c>
      <c r="E365" s="195">
        <f>E364-C365</f>
        <v/>
      </c>
    </row>
    <row r="366" ht="15" customHeight="1" s="160">
      <c r="A366" s="282" t="n">
        <v>358</v>
      </c>
      <c r="B366" s="283">
        <f>$B$6</f>
        <v/>
      </c>
      <c r="C366" s="283">
        <f>B366-D366</f>
        <v/>
      </c>
      <c r="D366" s="283">
        <f>E365*$B$4/12</f>
        <v/>
      </c>
      <c r="E366" s="283">
        <f>E365-C366</f>
        <v/>
      </c>
    </row>
    <row r="367" ht="15" customHeight="1" s="160">
      <c r="A367" s="281" t="n">
        <v>359</v>
      </c>
      <c r="B367" s="195">
        <f>$B$6</f>
        <v/>
      </c>
      <c r="C367" s="195">
        <f>B367-D367</f>
        <v/>
      </c>
      <c r="D367" s="195">
        <f>E366*$B$4/12</f>
        <v/>
      </c>
      <c r="E367" s="195">
        <f>E366-C367</f>
        <v/>
      </c>
    </row>
    <row r="368" ht="15" customHeight="1" s="160">
      <c r="A368" s="282" t="n">
        <v>360</v>
      </c>
      <c r="B368" s="283">
        <f>$B$6</f>
        <v/>
      </c>
      <c r="C368" s="283">
        <f>B368-D368</f>
        <v/>
      </c>
      <c r="D368" s="283">
        <f>E367*$B$4/12</f>
        <v/>
      </c>
      <c r="E368" s="283">
        <f>E367-C368</f>
        <v/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B8962E"/>
    <outlinePr summaryBelow="1" summaryRight="1"/>
    <pageSetUpPr fitToPage="0"/>
  </sheetPr>
  <dimension ref="A1:E36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59" min="1" max="1"/>
    <col width="16" customWidth="1" style="159" min="2" max="4"/>
    <col width="18" customWidth="1" style="159" min="5" max="5"/>
  </cols>
  <sheetData>
    <row r="1" ht="19.5" customHeight="1" s="160">
      <c r="A1" s="218" t="inlineStr">
        <is>
          <t>AMORT - REFI 3</t>
        </is>
      </c>
    </row>
    <row r="2" ht="15" customHeight="1" s="160">
      <c r="A2" s="179" t="inlineStr">
        <is>
          <t>Blank until Refi 3 activated.</t>
        </is>
      </c>
    </row>
    <row r="3" ht="15" customHeight="1" s="160">
      <c r="A3" s="166" t="inlineStr">
        <is>
          <t>Loan Amount</t>
        </is>
      </c>
      <c r="B3" s="278">
        <f>Assumptions!C125</f>
        <v/>
      </c>
      <c r="C3" s="161" t="n"/>
      <c r="D3" s="161" t="n"/>
      <c r="E3" s="161" t="n"/>
    </row>
    <row r="4" ht="15" customHeight="1" s="160">
      <c r="A4" s="166" t="inlineStr">
        <is>
          <t>Annual Rate</t>
        </is>
      </c>
      <c r="B4" s="279">
        <f>Assumptions!C126</f>
        <v/>
      </c>
      <c r="C4" s="161" t="n"/>
      <c r="D4" s="161" t="n"/>
      <c r="E4" s="161" t="n"/>
    </row>
    <row r="5" ht="15" customHeight="1" s="160">
      <c r="A5" s="166" t="inlineStr">
        <is>
          <t>Amort (Years)</t>
        </is>
      </c>
      <c r="B5" s="168">
        <f>Assumptions!C127</f>
        <v/>
      </c>
      <c r="C5" s="161" t="n"/>
      <c r="D5" s="161" t="n"/>
      <c r="E5" s="161" t="n"/>
    </row>
    <row r="6" ht="15" customHeight="1" s="160">
      <c r="A6" s="258" t="inlineStr">
        <is>
          <t>Monthly Payment</t>
        </is>
      </c>
      <c r="B6" s="280">
        <f>IF(B5&gt;0,PMT(B4/12,B5*12,-B3),0)</f>
        <v/>
      </c>
      <c r="C6" s="161" t="n"/>
      <c r="D6" s="161" t="n"/>
      <c r="E6" s="161" t="n"/>
    </row>
    <row r="7" ht="15" customHeight="1" s="160">
      <c r="A7" s="161" t="n"/>
      <c r="B7" s="161" t="n"/>
      <c r="C7" s="161" t="n"/>
      <c r="D7" s="161" t="n"/>
      <c r="E7" s="161" t="n"/>
    </row>
    <row r="8" ht="15" customHeight="1" s="160">
      <c r="A8" s="219" t="inlineStr">
        <is>
          <t>Month</t>
        </is>
      </c>
      <c r="B8" s="219" t="inlineStr">
        <is>
          <t>Payment</t>
        </is>
      </c>
      <c r="C8" s="219" t="inlineStr">
        <is>
          <t>Principal</t>
        </is>
      </c>
      <c r="D8" s="219" t="inlineStr">
        <is>
          <t>Interest</t>
        </is>
      </c>
      <c r="E8" s="219" t="inlineStr">
        <is>
          <t>Balance</t>
        </is>
      </c>
    </row>
    <row r="9" ht="15" customHeight="1" s="160">
      <c r="A9" s="281" t="n">
        <v>1</v>
      </c>
      <c r="B9" s="195">
        <f>$B$6</f>
        <v/>
      </c>
      <c r="C9" s="195">
        <f>B9-D9</f>
        <v/>
      </c>
      <c r="D9" s="195">
        <f>$B$3*$B$4/12</f>
        <v/>
      </c>
      <c r="E9" s="195">
        <f>$B$3-C9</f>
        <v/>
      </c>
    </row>
    <row r="10" ht="15" customHeight="1" s="160">
      <c r="A10" s="282" t="n">
        <v>2</v>
      </c>
      <c r="B10" s="283">
        <f>$B$6</f>
        <v/>
      </c>
      <c r="C10" s="283">
        <f>B10-D10</f>
        <v/>
      </c>
      <c r="D10" s="283">
        <f>E9*$B$4/12</f>
        <v/>
      </c>
      <c r="E10" s="283">
        <f>E9-C10</f>
        <v/>
      </c>
    </row>
    <row r="11" ht="15" customHeight="1" s="160">
      <c r="A11" s="281" t="n">
        <v>3</v>
      </c>
      <c r="B11" s="195">
        <f>$B$6</f>
        <v/>
      </c>
      <c r="C11" s="195">
        <f>B11-D11</f>
        <v/>
      </c>
      <c r="D11" s="195">
        <f>E10*$B$4/12</f>
        <v/>
      </c>
      <c r="E11" s="195">
        <f>E10-C11</f>
        <v/>
      </c>
    </row>
    <row r="12" ht="15" customHeight="1" s="160">
      <c r="A12" s="282" t="n">
        <v>4</v>
      </c>
      <c r="B12" s="283">
        <f>$B$6</f>
        <v/>
      </c>
      <c r="C12" s="283">
        <f>B12-D12</f>
        <v/>
      </c>
      <c r="D12" s="283">
        <f>E11*$B$4/12</f>
        <v/>
      </c>
      <c r="E12" s="283">
        <f>E11-C12</f>
        <v/>
      </c>
    </row>
    <row r="13" ht="15" customHeight="1" s="160">
      <c r="A13" s="281" t="n">
        <v>5</v>
      </c>
      <c r="B13" s="195">
        <f>$B$6</f>
        <v/>
      </c>
      <c r="C13" s="195">
        <f>B13-D13</f>
        <v/>
      </c>
      <c r="D13" s="195">
        <f>E12*$B$4/12</f>
        <v/>
      </c>
      <c r="E13" s="195">
        <f>E12-C13</f>
        <v/>
      </c>
    </row>
    <row r="14" ht="15" customHeight="1" s="160">
      <c r="A14" s="282" t="n">
        <v>6</v>
      </c>
      <c r="B14" s="283">
        <f>$B$6</f>
        <v/>
      </c>
      <c r="C14" s="283">
        <f>B14-D14</f>
        <v/>
      </c>
      <c r="D14" s="283">
        <f>E13*$B$4/12</f>
        <v/>
      </c>
      <c r="E14" s="283">
        <f>E13-C14</f>
        <v/>
      </c>
    </row>
    <row r="15" ht="15" customHeight="1" s="160">
      <c r="A15" s="281" t="n">
        <v>7</v>
      </c>
      <c r="B15" s="195">
        <f>$B$6</f>
        <v/>
      </c>
      <c r="C15" s="195">
        <f>B15-D15</f>
        <v/>
      </c>
      <c r="D15" s="195">
        <f>E14*$B$4/12</f>
        <v/>
      </c>
      <c r="E15" s="195">
        <f>E14-C15</f>
        <v/>
      </c>
    </row>
    <row r="16" ht="15" customHeight="1" s="160">
      <c r="A16" s="282" t="n">
        <v>8</v>
      </c>
      <c r="B16" s="283">
        <f>$B$6</f>
        <v/>
      </c>
      <c r="C16" s="283">
        <f>B16-D16</f>
        <v/>
      </c>
      <c r="D16" s="283">
        <f>E15*$B$4/12</f>
        <v/>
      </c>
      <c r="E16" s="283">
        <f>E15-C16</f>
        <v/>
      </c>
    </row>
    <row r="17" ht="15" customHeight="1" s="160">
      <c r="A17" s="281" t="n">
        <v>9</v>
      </c>
      <c r="B17" s="195">
        <f>$B$6</f>
        <v/>
      </c>
      <c r="C17" s="195">
        <f>B17-D17</f>
        <v/>
      </c>
      <c r="D17" s="195">
        <f>E16*$B$4/12</f>
        <v/>
      </c>
      <c r="E17" s="195">
        <f>E16-C17</f>
        <v/>
      </c>
    </row>
    <row r="18" ht="15" customHeight="1" s="160">
      <c r="A18" s="282" t="n">
        <v>10</v>
      </c>
      <c r="B18" s="283">
        <f>$B$6</f>
        <v/>
      </c>
      <c r="C18" s="283">
        <f>B18-D18</f>
        <v/>
      </c>
      <c r="D18" s="283">
        <f>E17*$B$4/12</f>
        <v/>
      </c>
      <c r="E18" s="283">
        <f>E17-C18</f>
        <v/>
      </c>
    </row>
    <row r="19" ht="15" customHeight="1" s="160">
      <c r="A19" s="281" t="n">
        <v>11</v>
      </c>
      <c r="B19" s="195">
        <f>$B$6</f>
        <v/>
      </c>
      <c r="C19" s="195">
        <f>B19-D19</f>
        <v/>
      </c>
      <c r="D19" s="195">
        <f>E18*$B$4/12</f>
        <v/>
      </c>
      <c r="E19" s="195">
        <f>E18-C19</f>
        <v/>
      </c>
    </row>
    <row r="20" ht="15" customHeight="1" s="160">
      <c r="A20" s="282" t="n">
        <v>12</v>
      </c>
      <c r="B20" s="283">
        <f>$B$6</f>
        <v/>
      </c>
      <c r="C20" s="283">
        <f>B20-D20</f>
        <v/>
      </c>
      <c r="D20" s="283">
        <f>E19*$B$4/12</f>
        <v/>
      </c>
      <c r="E20" s="283">
        <f>E19-C20</f>
        <v/>
      </c>
    </row>
    <row r="21" ht="15" customHeight="1" s="160">
      <c r="A21" s="281" t="n">
        <v>13</v>
      </c>
      <c r="B21" s="195">
        <f>$B$6</f>
        <v/>
      </c>
      <c r="C21" s="195">
        <f>B21-D21</f>
        <v/>
      </c>
      <c r="D21" s="195">
        <f>E20*$B$4/12</f>
        <v/>
      </c>
      <c r="E21" s="195">
        <f>E20-C21</f>
        <v/>
      </c>
    </row>
    <row r="22" ht="15" customHeight="1" s="160">
      <c r="A22" s="282" t="n">
        <v>14</v>
      </c>
      <c r="B22" s="283">
        <f>$B$6</f>
        <v/>
      </c>
      <c r="C22" s="283">
        <f>B22-D22</f>
        <v/>
      </c>
      <c r="D22" s="283">
        <f>E21*$B$4/12</f>
        <v/>
      </c>
      <c r="E22" s="283">
        <f>E21-C22</f>
        <v/>
      </c>
    </row>
    <row r="23" ht="15" customHeight="1" s="160">
      <c r="A23" s="281" t="n">
        <v>15</v>
      </c>
      <c r="B23" s="195">
        <f>$B$6</f>
        <v/>
      </c>
      <c r="C23" s="195">
        <f>B23-D23</f>
        <v/>
      </c>
      <c r="D23" s="195">
        <f>E22*$B$4/12</f>
        <v/>
      </c>
      <c r="E23" s="195">
        <f>E22-C23</f>
        <v/>
      </c>
    </row>
    <row r="24" ht="15" customHeight="1" s="160">
      <c r="A24" s="282" t="n">
        <v>16</v>
      </c>
      <c r="B24" s="283">
        <f>$B$6</f>
        <v/>
      </c>
      <c r="C24" s="283">
        <f>B24-D24</f>
        <v/>
      </c>
      <c r="D24" s="283">
        <f>E23*$B$4/12</f>
        <v/>
      </c>
      <c r="E24" s="283">
        <f>E23-C24</f>
        <v/>
      </c>
    </row>
    <row r="25" ht="15" customHeight="1" s="160">
      <c r="A25" s="281" t="n">
        <v>17</v>
      </c>
      <c r="B25" s="195">
        <f>$B$6</f>
        <v/>
      </c>
      <c r="C25" s="195">
        <f>B25-D25</f>
        <v/>
      </c>
      <c r="D25" s="195">
        <f>E24*$B$4/12</f>
        <v/>
      </c>
      <c r="E25" s="195">
        <f>E24-C25</f>
        <v/>
      </c>
    </row>
    <row r="26" ht="15" customHeight="1" s="160">
      <c r="A26" s="282" t="n">
        <v>18</v>
      </c>
      <c r="B26" s="283">
        <f>$B$6</f>
        <v/>
      </c>
      <c r="C26" s="283">
        <f>B26-D26</f>
        <v/>
      </c>
      <c r="D26" s="283">
        <f>E25*$B$4/12</f>
        <v/>
      </c>
      <c r="E26" s="283">
        <f>E25-C26</f>
        <v/>
      </c>
    </row>
    <row r="27" ht="15" customHeight="1" s="160">
      <c r="A27" s="281" t="n">
        <v>19</v>
      </c>
      <c r="B27" s="195">
        <f>$B$6</f>
        <v/>
      </c>
      <c r="C27" s="195">
        <f>B27-D27</f>
        <v/>
      </c>
      <c r="D27" s="195">
        <f>E26*$B$4/12</f>
        <v/>
      </c>
      <c r="E27" s="195">
        <f>E26-C27</f>
        <v/>
      </c>
    </row>
    <row r="28" ht="15" customHeight="1" s="160">
      <c r="A28" s="282" t="n">
        <v>20</v>
      </c>
      <c r="B28" s="283">
        <f>$B$6</f>
        <v/>
      </c>
      <c r="C28" s="283">
        <f>B28-D28</f>
        <v/>
      </c>
      <c r="D28" s="283">
        <f>E27*$B$4/12</f>
        <v/>
      </c>
      <c r="E28" s="283">
        <f>E27-C28</f>
        <v/>
      </c>
    </row>
    <row r="29" ht="15" customHeight="1" s="160">
      <c r="A29" s="281" t="n">
        <v>21</v>
      </c>
      <c r="B29" s="195">
        <f>$B$6</f>
        <v/>
      </c>
      <c r="C29" s="195">
        <f>B29-D29</f>
        <v/>
      </c>
      <c r="D29" s="195">
        <f>E28*$B$4/12</f>
        <v/>
      </c>
      <c r="E29" s="195">
        <f>E28-C29</f>
        <v/>
      </c>
    </row>
    <row r="30" ht="15" customHeight="1" s="160">
      <c r="A30" s="282" t="n">
        <v>22</v>
      </c>
      <c r="B30" s="283">
        <f>$B$6</f>
        <v/>
      </c>
      <c r="C30" s="283">
        <f>B30-D30</f>
        <v/>
      </c>
      <c r="D30" s="283">
        <f>E29*$B$4/12</f>
        <v/>
      </c>
      <c r="E30" s="283">
        <f>E29-C30</f>
        <v/>
      </c>
    </row>
    <row r="31" ht="15" customHeight="1" s="160">
      <c r="A31" s="281" t="n">
        <v>23</v>
      </c>
      <c r="B31" s="195">
        <f>$B$6</f>
        <v/>
      </c>
      <c r="C31" s="195">
        <f>B31-D31</f>
        <v/>
      </c>
      <c r="D31" s="195">
        <f>E30*$B$4/12</f>
        <v/>
      </c>
      <c r="E31" s="195">
        <f>E30-C31</f>
        <v/>
      </c>
    </row>
    <row r="32" ht="15" customHeight="1" s="160">
      <c r="A32" s="282" t="n">
        <v>24</v>
      </c>
      <c r="B32" s="283">
        <f>$B$6</f>
        <v/>
      </c>
      <c r="C32" s="283">
        <f>B32-D32</f>
        <v/>
      </c>
      <c r="D32" s="283">
        <f>E31*$B$4/12</f>
        <v/>
      </c>
      <c r="E32" s="283">
        <f>E31-C32</f>
        <v/>
      </c>
    </row>
    <row r="33" ht="15" customHeight="1" s="160">
      <c r="A33" s="281" t="n">
        <v>25</v>
      </c>
      <c r="B33" s="195">
        <f>$B$6</f>
        <v/>
      </c>
      <c r="C33" s="195">
        <f>B33-D33</f>
        <v/>
      </c>
      <c r="D33" s="195">
        <f>E32*$B$4/12</f>
        <v/>
      </c>
      <c r="E33" s="195">
        <f>E32-C33</f>
        <v/>
      </c>
    </row>
    <row r="34" ht="15" customHeight="1" s="160">
      <c r="A34" s="282" t="n">
        <v>26</v>
      </c>
      <c r="B34" s="283">
        <f>$B$6</f>
        <v/>
      </c>
      <c r="C34" s="283">
        <f>B34-D34</f>
        <v/>
      </c>
      <c r="D34" s="283">
        <f>E33*$B$4/12</f>
        <v/>
      </c>
      <c r="E34" s="283">
        <f>E33-C34</f>
        <v/>
      </c>
    </row>
    <row r="35" ht="15" customHeight="1" s="160">
      <c r="A35" s="281" t="n">
        <v>27</v>
      </c>
      <c r="B35" s="195">
        <f>$B$6</f>
        <v/>
      </c>
      <c r="C35" s="195">
        <f>B35-D35</f>
        <v/>
      </c>
      <c r="D35" s="195">
        <f>E34*$B$4/12</f>
        <v/>
      </c>
      <c r="E35" s="195">
        <f>E34-C35</f>
        <v/>
      </c>
    </row>
    <row r="36" ht="15" customHeight="1" s="160">
      <c r="A36" s="282" t="n">
        <v>28</v>
      </c>
      <c r="B36" s="283">
        <f>$B$6</f>
        <v/>
      </c>
      <c r="C36" s="283">
        <f>B36-D36</f>
        <v/>
      </c>
      <c r="D36" s="283">
        <f>E35*$B$4/12</f>
        <v/>
      </c>
      <c r="E36" s="283">
        <f>E35-C36</f>
        <v/>
      </c>
    </row>
    <row r="37" ht="15" customHeight="1" s="160">
      <c r="A37" s="281" t="n">
        <v>29</v>
      </c>
      <c r="B37" s="195">
        <f>$B$6</f>
        <v/>
      </c>
      <c r="C37" s="195">
        <f>B37-D37</f>
        <v/>
      </c>
      <c r="D37" s="195">
        <f>E36*$B$4/12</f>
        <v/>
      </c>
      <c r="E37" s="195">
        <f>E36-C37</f>
        <v/>
      </c>
    </row>
    <row r="38" ht="15" customHeight="1" s="160">
      <c r="A38" s="282" t="n">
        <v>30</v>
      </c>
      <c r="B38" s="283">
        <f>$B$6</f>
        <v/>
      </c>
      <c r="C38" s="283">
        <f>B38-D38</f>
        <v/>
      </c>
      <c r="D38" s="283">
        <f>E37*$B$4/12</f>
        <v/>
      </c>
      <c r="E38" s="283">
        <f>E37-C38</f>
        <v/>
      </c>
    </row>
    <row r="39" ht="15" customHeight="1" s="160">
      <c r="A39" s="281" t="n">
        <v>31</v>
      </c>
      <c r="B39" s="195">
        <f>$B$6</f>
        <v/>
      </c>
      <c r="C39" s="195">
        <f>B39-D39</f>
        <v/>
      </c>
      <c r="D39" s="195">
        <f>E38*$B$4/12</f>
        <v/>
      </c>
      <c r="E39" s="195">
        <f>E38-C39</f>
        <v/>
      </c>
    </row>
    <row r="40" ht="15" customHeight="1" s="160">
      <c r="A40" s="282" t="n">
        <v>32</v>
      </c>
      <c r="B40" s="283">
        <f>$B$6</f>
        <v/>
      </c>
      <c r="C40" s="283">
        <f>B40-D40</f>
        <v/>
      </c>
      <c r="D40" s="283">
        <f>E39*$B$4/12</f>
        <v/>
      </c>
      <c r="E40" s="283">
        <f>E39-C40</f>
        <v/>
      </c>
    </row>
    <row r="41" ht="15" customHeight="1" s="160">
      <c r="A41" s="281" t="n">
        <v>33</v>
      </c>
      <c r="B41" s="195">
        <f>$B$6</f>
        <v/>
      </c>
      <c r="C41" s="195">
        <f>B41-D41</f>
        <v/>
      </c>
      <c r="D41" s="195">
        <f>E40*$B$4/12</f>
        <v/>
      </c>
      <c r="E41" s="195">
        <f>E40-C41</f>
        <v/>
      </c>
    </row>
    <row r="42" ht="15" customHeight="1" s="160">
      <c r="A42" s="282" t="n">
        <v>34</v>
      </c>
      <c r="B42" s="283">
        <f>$B$6</f>
        <v/>
      </c>
      <c r="C42" s="283">
        <f>B42-D42</f>
        <v/>
      </c>
      <c r="D42" s="283">
        <f>E41*$B$4/12</f>
        <v/>
      </c>
      <c r="E42" s="283">
        <f>E41-C42</f>
        <v/>
      </c>
    </row>
    <row r="43" ht="15" customHeight="1" s="160">
      <c r="A43" s="281" t="n">
        <v>35</v>
      </c>
      <c r="B43" s="195">
        <f>$B$6</f>
        <v/>
      </c>
      <c r="C43" s="195">
        <f>B43-D43</f>
        <v/>
      </c>
      <c r="D43" s="195">
        <f>E42*$B$4/12</f>
        <v/>
      </c>
      <c r="E43" s="195">
        <f>E42-C43</f>
        <v/>
      </c>
    </row>
    <row r="44" ht="15" customHeight="1" s="160">
      <c r="A44" s="282" t="n">
        <v>36</v>
      </c>
      <c r="B44" s="283">
        <f>$B$6</f>
        <v/>
      </c>
      <c r="C44" s="283">
        <f>B44-D44</f>
        <v/>
      </c>
      <c r="D44" s="283">
        <f>E43*$B$4/12</f>
        <v/>
      </c>
      <c r="E44" s="283">
        <f>E43-C44</f>
        <v/>
      </c>
    </row>
    <row r="45" ht="15" customHeight="1" s="160">
      <c r="A45" s="281" t="n">
        <v>37</v>
      </c>
      <c r="B45" s="195">
        <f>$B$6</f>
        <v/>
      </c>
      <c r="C45" s="195">
        <f>B45-D45</f>
        <v/>
      </c>
      <c r="D45" s="195">
        <f>E44*$B$4/12</f>
        <v/>
      </c>
      <c r="E45" s="195">
        <f>E44-C45</f>
        <v/>
      </c>
    </row>
    <row r="46" ht="15" customHeight="1" s="160">
      <c r="A46" s="282" t="n">
        <v>38</v>
      </c>
      <c r="B46" s="283">
        <f>$B$6</f>
        <v/>
      </c>
      <c r="C46" s="283">
        <f>B46-D46</f>
        <v/>
      </c>
      <c r="D46" s="283">
        <f>E45*$B$4/12</f>
        <v/>
      </c>
      <c r="E46" s="283">
        <f>E45-C46</f>
        <v/>
      </c>
    </row>
    <row r="47" ht="15" customHeight="1" s="160">
      <c r="A47" s="281" t="n">
        <v>39</v>
      </c>
      <c r="B47" s="195">
        <f>$B$6</f>
        <v/>
      </c>
      <c r="C47" s="195">
        <f>B47-D47</f>
        <v/>
      </c>
      <c r="D47" s="195">
        <f>E46*$B$4/12</f>
        <v/>
      </c>
      <c r="E47" s="195">
        <f>E46-C47</f>
        <v/>
      </c>
    </row>
    <row r="48" ht="15" customHeight="1" s="160">
      <c r="A48" s="282" t="n">
        <v>40</v>
      </c>
      <c r="B48" s="283">
        <f>$B$6</f>
        <v/>
      </c>
      <c r="C48" s="283">
        <f>B48-D48</f>
        <v/>
      </c>
      <c r="D48" s="283">
        <f>E47*$B$4/12</f>
        <v/>
      </c>
      <c r="E48" s="283">
        <f>E47-C48</f>
        <v/>
      </c>
    </row>
    <row r="49" ht="15" customHeight="1" s="160">
      <c r="A49" s="281" t="n">
        <v>41</v>
      </c>
      <c r="B49" s="195">
        <f>$B$6</f>
        <v/>
      </c>
      <c r="C49" s="195">
        <f>B49-D49</f>
        <v/>
      </c>
      <c r="D49" s="195">
        <f>E48*$B$4/12</f>
        <v/>
      </c>
      <c r="E49" s="195">
        <f>E48-C49</f>
        <v/>
      </c>
    </row>
    <row r="50" ht="15" customHeight="1" s="160">
      <c r="A50" s="282" t="n">
        <v>42</v>
      </c>
      <c r="B50" s="283">
        <f>$B$6</f>
        <v/>
      </c>
      <c r="C50" s="283">
        <f>B50-D50</f>
        <v/>
      </c>
      <c r="D50" s="283">
        <f>E49*$B$4/12</f>
        <v/>
      </c>
      <c r="E50" s="283">
        <f>E49-C50</f>
        <v/>
      </c>
    </row>
    <row r="51" ht="15" customHeight="1" s="160">
      <c r="A51" s="281" t="n">
        <v>43</v>
      </c>
      <c r="B51" s="195">
        <f>$B$6</f>
        <v/>
      </c>
      <c r="C51" s="195">
        <f>B51-D51</f>
        <v/>
      </c>
      <c r="D51" s="195">
        <f>E50*$B$4/12</f>
        <v/>
      </c>
      <c r="E51" s="195">
        <f>E50-C51</f>
        <v/>
      </c>
    </row>
    <row r="52" ht="15" customHeight="1" s="160">
      <c r="A52" s="282" t="n">
        <v>44</v>
      </c>
      <c r="B52" s="283">
        <f>$B$6</f>
        <v/>
      </c>
      <c r="C52" s="283">
        <f>B52-D52</f>
        <v/>
      </c>
      <c r="D52" s="283">
        <f>E51*$B$4/12</f>
        <v/>
      </c>
      <c r="E52" s="283">
        <f>E51-C52</f>
        <v/>
      </c>
    </row>
    <row r="53" ht="15" customHeight="1" s="160">
      <c r="A53" s="281" t="n">
        <v>45</v>
      </c>
      <c r="B53" s="195">
        <f>$B$6</f>
        <v/>
      </c>
      <c r="C53" s="195">
        <f>B53-D53</f>
        <v/>
      </c>
      <c r="D53" s="195">
        <f>E52*$B$4/12</f>
        <v/>
      </c>
      <c r="E53" s="195">
        <f>E52-C53</f>
        <v/>
      </c>
    </row>
    <row r="54" ht="15" customHeight="1" s="160">
      <c r="A54" s="282" t="n">
        <v>46</v>
      </c>
      <c r="B54" s="283">
        <f>$B$6</f>
        <v/>
      </c>
      <c r="C54" s="283">
        <f>B54-D54</f>
        <v/>
      </c>
      <c r="D54" s="283">
        <f>E53*$B$4/12</f>
        <v/>
      </c>
      <c r="E54" s="283">
        <f>E53-C54</f>
        <v/>
      </c>
    </row>
    <row r="55" ht="15" customHeight="1" s="160">
      <c r="A55" s="281" t="n">
        <v>47</v>
      </c>
      <c r="B55" s="195">
        <f>$B$6</f>
        <v/>
      </c>
      <c r="C55" s="195">
        <f>B55-D55</f>
        <v/>
      </c>
      <c r="D55" s="195">
        <f>E54*$B$4/12</f>
        <v/>
      </c>
      <c r="E55" s="195">
        <f>E54-C55</f>
        <v/>
      </c>
    </row>
    <row r="56" ht="15" customHeight="1" s="160">
      <c r="A56" s="282" t="n">
        <v>48</v>
      </c>
      <c r="B56" s="283">
        <f>$B$6</f>
        <v/>
      </c>
      <c r="C56" s="283">
        <f>B56-D56</f>
        <v/>
      </c>
      <c r="D56" s="283">
        <f>E55*$B$4/12</f>
        <v/>
      </c>
      <c r="E56" s="283">
        <f>E55-C56</f>
        <v/>
      </c>
    </row>
    <row r="57" ht="15" customHeight="1" s="160">
      <c r="A57" s="281" t="n">
        <v>49</v>
      </c>
      <c r="B57" s="195">
        <f>$B$6</f>
        <v/>
      </c>
      <c r="C57" s="195">
        <f>B57-D57</f>
        <v/>
      </c>
      <c r="D57" s="195">
        <f>E56*$B$4/12</f>
        <v/>
      </c>
      <c r="E57" s="195">
        <f>E56-C57</f>
        <v/>
      </c>
    </row>
    <row r="58" ht="15" customHeight="1" s="160">
      <c r="A58" s="282" t="n">
        <v>50</v>
      </c>
      <c r="B58" s="283">
        <f>$B$6</f>
        <v/>
      </c>
      <c r="C58" s="283">
        <f>B58-D58</f>
        <v/>
      </c>
      <c r="D58" s="283">
        <f>E57*$B$4/12</f>
        <v/>
      </c>
      <c r="E58" s="283">
        <f>E57-C58</f>
        <v/>
      </c>
    </row>
    <row r="59" ht="15" customHeight="1" s="160">
      <c r="A59" s="281" t="n">
        <v>51</v>
      </c>
      <c r="B59" s="195">
        <f>$B$6</f>
        <v/>
      </c>
      <c r="C59" s="195">
        <f>B59-D59</f>
        <v/>
      </c>
      <c r="D59" s="195">
        <f>E58*$B$4/12</f>
        <v/>
      </c>
      <c r="E59" s="195">
        <f>E58-C59</f>
        <v/>
      </c>
    </row>
    <row r="60" ht="15" customHeight="1" s="160">
      <c r="A60" s="282" t="n">
        <v>52</v>
      </c>
      <c r="B60" s="283">
        <f>$B$6</f>
        <v/>
      </c>
      <c r="C60" s="283">
        <f>B60-D60</f>
        <v/>
      </c>
      <c r="D60" s="283">
        <f>E59*$B$4/12</f>
        <v/>
      </c>
      <c r="E60" s="283">
        <f>E59-C60</f>
        <v/>
      </c>
    </row>
    <row r="61" ht="15" customHeight="1" s="160">
      <c r="A61" s="281" t="n">
        <v>53</v>
      </c>
      <c r="B61" s="195">
        <f>$B$6</f>
        <v/>
      </c>
      <c r="C61" s="195">
        <f>B61-D61</f>
        <v/>
      </c>
      <c r="D61" s="195">
        <f>E60*$B$4/12</f>
        <v/>
      </c>
      <c r="E61" s="195">
        <f>E60-C61</f>
        <v/>
      </c>
    </row>
    <row r="62" ht="15" customHeight="1" s="160">
      <c r="A62" s="282" t="n">
        <v>54</v>
      </c>
      <c r="B62" s="283">
        <f>$B$6</f>
        <v/>
      </c>
      <c r="C62" s="283">
        <f>B62-D62</f>
        <v/>
      </c>
      <c r="D62" s="283">
        <f>E61*$B$4/12</f>
        <v/>
      </c>
      <c r="E62" s="283">
        <f>E61-C62</f>
        <v/>
      </c>
    </row>
    <row r="63" ht="15" customHeight="1" s="160">
      <c r="A63" s="281" t="n">
        <v>55</v>
      </c>
      <c r="B63" s="195">
        <f>$B$6</f>
        <v/>
      </c>
      <c r="C63" s="195">
        <f>B63-D63</f>
        <v/>
      </c>
      <c r="D63" s="195">
        <f>E62*$B$4/12</f>
        <v/>
      </c>
      <c r="E63" s="195">
        <f>E62-C63</f>
        <v/>
      </c>
    </row>
    <row r="64" ht="15" customHeight="1" s="160">
      <c r="A64" s="282" t="n">
        <v>56</v>
      </c>
      <c r="B64" s="283">
        <f>$B$6</f>
        <v/>
      </c>
      <c r="C64" s="283">
        <f>B64-D64</f>
        <v/>
      </c>
      <c r="D64" s="283">
        <f>E63*$B$4/12</f>
        <v/>
      </c>
      <c r="E64" s="283">
        <f>E63-C64</f>
        <v/>
      </c>
    </row>
    <row r="65" ht="15" customHeight="1" s="160">
      <c r="A65" s="281" t="n">
        <v>57</v>
      </c>
      <c r="B65" s="195">
        <f>$B$6</f>
        <v/>
      </c>
      <c r="C65" s="195">
        <f>B65-D65</f>
        <v/>
      </c>
      <c r="D65" s="195">
        <f>E64*$B$4/12</f>
        <v/>
      </c>
      <c r="E65" s="195">
        <f>E64-C65</f>
        <v/>
      </c>
    </row>
    <row r="66" ht="15" customHeight="1" s="160">
      <c r="A66" s="282" t="n">
        <v>58</v>
      </c>
      <c r="B66" s="283">
        <f>$B$6</f>
        <v/>
      </c>
      <c r="C66" s="283">
        <f>B66-D66</f>
        <v/>
      </c>
      <c r="D66" s="283">
        <f>E65*$B$4/12</f>
        <v/>
      </c>
      <c r="E66" s="283">
        <f>E65-C66</f>
        <v/>
      </c>
    </row>
    <row r="67" ht="15" customHeight="1" s="160">
      <c r="A67" s="281" t="n">
        <v>59</v>
      </c>
      <c r="B67" s="195">
        <f>$B$6</f>
        <v/>
      </c>
      <c r="C67" s="195">
        <f>B67-D67</f>
        <v/>
      </c>
      <c r="D67" s="195">
        <f>E66*$B$4/12</f>
        <v/>
      </c>
      <c r="E67" s="195">
        <f>E66-C67</f>
        <v/>
      </c>
    </row>
    <row r="68" ht="15" customHeight="1" s="160">
      <c r="A68" s="282" t="n">
        <v>60</v>
      </c>
      <c r="B68" s="283">
        <f>$B$6</f>
        <v/>
      </c>
      <c r="C68" s="283">
        <f>B68-D68</f>
        <v/>
      </c>
      <c r="D68" s="283">
        <f>E67*$B$4/12</f>
        <v/>
      </c>
      <c r="E68" s="283">
        <f>E67-C68</f>
        <v/>
      </c>
    </row>
    <row r="69" ht="15" customHeight="1" s="160">
      <c r="A69" s="281" t="n">
        <v>61</v>
      </c>
      <c r="B69" s="195">
        <f>$B$6</f>
        <v/>
      </c>
      <c r="C69" s="195">
        <f>B69-D69</f>
        <v/>
      </c>
      <c r="D69" s="195">
        <f>E68*$B$4/12</f>
        <v/>
      </c>
      <c r="E69" s="195">
        <f>E68-C69</f>
        <v/>
      </c>
    </row>
    <row r="70" ht="15" customHeight="1" s="160">
      <c r="A70" s="282" t="n">
        <v>62</v>
      </c>
      <c r="B70" s="283">
        <f>$B$6</f>
        <v/>
      </c>
      <c r="C70" s="283">
        <f>B70-D70</f>
        <v/>
      </c>
      <c r="D70" s="283">
        <f>E69*$B$4/12</f>
        <v/>
      </c>
      <c r="E70" s="283">
        <f>E69-C70</f>
        <v/>
      </c>
    </row>
    <row r="71" ht="15" customHeight="1" s="160">
      <c r="A71" s="281" t="n">
        <v>63</v>
      </c>
      <c r="B71" s="195">
        <f>$B$6</f>
        <v/>
      </c>
      <c r="C71" s="195">
        <f>B71-D71</f>
        <v/>
      </c>
      <c r="D71" s="195">
        <f>E70*$B$4/12</f>
        <v/>
      </c>
      <c r="E71" s="195">
        <f>E70-C71</f>
        <v/>
      </c>
    </row>
    <row r="72" ht="15" customHeight="1" s="160">
      <c r="A72" s="282" t="n">
        <v>64</v>
      </c>
      <c r="B72" s="283">
        <f>$B$6</f>
        <v/>
      </c>
      <c r="C72" s="283">
        <f>B72-D72</f>
        <v/>
      </c>
      <c r="D72" s="283">
        <f>E71*$B$4/12</f>
        <v/>
      </c>
      <c r="E72" s="283">
        <f>E71-C72</f>
        <v/>
      </c>
    </row>
    <row r="73" ht="15" customHeight="1" s="160">
      <c r="A73" s="281" t="n">
        <v>65</v>
      </c>
      <c r="B73" s="195">
        <f>$B$6</f>
        <v/>
      </c>
      <c r="C73" s="195">
        <f>B73-D73</f>
        <v/>
      </c>
      <c r="D73" s="195">
        <f>E72*$B$4/12</f>
        <v/>
      </c>
      <c r="E73" s="195">
        <f>E72-C73</f>
        <v/>
      </c>
    </row>
    <row r="74" ht="15" customHeight="1" s="160">
      <c r="A74" s="282" t="n">
        <v>66</v>
      </c>
      <c r="B74" s="283">
        <f>$B$6</f>
        <v/>
      </c>
      <c r="C74" s="283">
        <f>B74-D74</f>
        <v/>
      </c>
      <c r="D74" s="283">
        <f>E73*$B$4/12</f>
        <v/>
      </c>
      <c r="E74" s="283">
        <f>E73-C74</f>
        <v/>
      </c>
    </row>
    <row r="75" ht="15" customHeight="1" s="160">
      <c r="A75" s="281" t="n">
        <v>67</v>
      </c>
      <c r="B75" s="195">
        <f>$B$6</f>
        <v/>
      </c>
      <c r="C75" s="195">
        <f>B75-D75</f>
        <v/>
      </c>
      <c r="D75" s="195">
        <f>E74*$B$4/12</f>
        <v/>
      </c>
      <c r="E75" s="195">
        <f>E74-C75</f>
        <v/>
      </c>
    </row>
    <row r="76" ht="15" customHeight="1" s="160">
      <c r="A76" s="282" t="n">
        <v>68</v>
      </c>
      <c r="B76" s="283">
        <f>$B$6</f>
        <v/>
      </c>
      <c r="C76" s="283">
        <f>B76-D76</f>
        <v/>
      </c>
      <c r="D76" s="283">
        <f>E75*$B$4/12</f>
        <v/>
      </c>
      <c r="E76" s="283">
        <f>E75-C76</f>
        <v/>
      </c>
    </row>
    <row r="77" ht="15" customHeight="1" s="160">
      <c r="A77" s="281" t="n">
        <v>69</v>
      </c>
      <c r="B77" s="195">
        <f>$B$6</f>
        <v/>
      </c>
      <c r="C77" s="195">
        <f>B77-D77</f>
        <v/>
      </c>
      <c r="D77" s="195">
        <f>E76*$B$4/12</f>
        <v/>
      </c>
      <c r="E77" s="195">
        <f>E76-C77</f>
        <v/>
      </c>
    </row>
    <row r="78" ht="15" customHeight="1" s="160">
      <c r="A78" s="282" t="n">
        <v>70</v>
      </c>
      <c r="B78" s="283">
        <f>$B$6</f>
        <v/>
      </c>
      <c r="C78" s="283">
        <f>B78-D78</f>
        <v/>
      </c>
      <c r="D78" s="283">
        <f>E77*$B$4/12</f>
        <v/>
      </c>
      <c r="E78" s="283">
        <f>E77-C78</f>
        <v/>
      </c>
    </row>
    <row r="79" ht="15" customHeight="1" s="160">
      <c r="A79" s="281" t="n">
        <v>71</v>
      </c>
      <c r="B79" s="195">
        <f>$B$6</f>
        <v/>
      </c>
      <c r="C79" s="195">
        <f>B79-D79</f>
        <v/>
      </c>
      <c r="D79" s="195">
        <f>E78*$B$4/12</f>
        <v/>
      </c>
      <c r="E79" s="195">
        <f>E78-C79</f>
        <v/>
      </c>
    </row>
    <row r="80" ht="15" customHeight="1" s="160">
      <c r="A80" s="282" t="n">
        <v>72</v>
      </c>
      <c r="B80" s="283">
        <f>$B$6</f>
        <v/>
      </c>
      <c r="C80" s="283">
        <f>B80-D80</f>
        <v/>
      </c>
      <c r="D80" s="283">
        <f>E79*$B$4/12</f>
        <v/>
      </c>
      <c r="E80" s="283">
        <f>E79-C80</f>
        <v/>
      </c>
    </row>
    <row r="81" ht="15" customHeight="1" s="160">
      <c r="A81" s="281" t="n">
        <v>73</v>
      </c>
      <c r="B81" s="195">
        <f>$B$6</f>
        <v/>
      </c>
      <c r="C81" s="195">
        <f>B81-D81</f>
        <v/>
      </c>
      <c r="D81" s="195">
        <f>E80*$B$4/12</f>
        <v/>
      </c>
      <c r="E81" s="195">
        <f>E80-C81</f>
        <v/>
      </c>
    </row>
    <row r="82" ht="15" customHeight="1" s="160">
      <c r="A82" s="282" t="n">
        <v>74</v>
      </c>
      <c r="B82" s="283">
        <f>$B$6</f>
        <v/>
      </c>
      <c r="C82" s="283">
        <f>B82-D82</f>
        <v/>
      </c>
      <c r="D82" s="283">
        <f>E81*$B$4/12</f>
        <v/>
      </c>
      <c r="E82" s="283">
        <f>E81-C82</f>
        <v/>
      </c>
    </row>
    <row r="83" ht="15" customHeight="1" s="160">
      <c r="A83" s="281" t="n">
        <v>75</v>
      </c>
      <c r="B83" s="195">
        <f>$B$6</f>
        <v/>
      </c>
      <c r="C83" s="195">
        <f>B83-D83</f>
        <v/>
      </c>
      <c r="D83" s="195">
        <f>E82*$B$4/12</f>
        <v/>
      </c>
      <c r="E83" s="195">
        <f>E82-C83</f>
        <v/>
      </c>
    </row>
    <row r="84" ht="15" customHeight="1" s="160">
      <c r="A84" s="282" t="n">
        <v>76</v>
      </c>
      <c r="B84" s="283">
        <f>$B$6</f>
        <v/>
      </c>
      <c r="C84" s="283">
        <f>B84-D84</f>
        <v/>
      </c>
      <c r="D84" s="283">
        <f>E83*$B$4/12</f>
        <v/>
      </c>
      <c r="E84" s="283">
        <f>E83-C84</f>
        <v/>
      </c>
    </row>
    <row r="85" ht="15" customHeight="1" s="160">
      <c r="A85" s="281" t="n">
        <v>77</v>
      </c>
      <c r="B85" s="195">
        <f>$B$6</f>
        <v/>
      </c>
      <c r="C85" s="195">
        <f>B85-D85</f>
        <v/>
      </c>
      <c r="D85" s="195">
        <f>E84*$B$4/12</f>
        <v/>
      </c>
      <c r="E85" s="195">
        <f>E84-C85</f>
        <v/>
      </c>
    </row>
    <row r="86" ht="15" customHeight="1" s="160">
      <c r="A86" s="282" t="n">
        <v>78</v>
      </c>
      <c r="B86" s="283">
        <f>$B$6</f>
        <v/>
      </c>
      <c r="C86" s="283">
        <f>B86-D86</f>
        <v/>
      </c>
      <c r="D86" s="283">
        <f>E85*$B$4/12</f>
        <v/>
      </c>
      <c r="E86" s="283">
        <f>E85-C86</f>
        <v/>
      </c>
    </row>
    <row r="87" ht="15" customHeight="1" s="160">
      <c r="A87" s="281" t="n">
        <v>79</v>
      </c>
      <c r="B87" s="195">
        <f>$B$6</f>
        <v/>
      </c>
      <c r="C87" s="195">
        <f>B87-D87</f>
        <v/>
      </c>
      <c r="D87" s="195">
        <f>E86*$B$4/12</f>
        <v/>
      </c>
      <c r="E87" s="195">
        <f>E86-C87</f>
        <v/>
      </c>
    </row>
    <row r="88" ht="15" customHeight="1" s="160">
      <c r="A88" s="282" t="n">
        <v>80</v>
      </c>
      <c r="B88" s="283">
        <f>$B$6</f>
        <v/>
      </c>
      <c r="C88" s="283">
        <f>B88-D88</f>
        <v/>
      </c>
      <c r="D88" s="283">
        <f>E87*$B$4/12</f>
        <v/>
      </c>
      <c r="E88" s="283">
        <f>E87-C88</f>
        <v/>
      </c>
    </row>
    <row r="89" ht="15" customHeight="1" s="160">
      <c r="A89" s="281" t="n">
        <v>81</v>
      </c>
      <c r="B89" s="195">
        <f>$B$6</f>
        <v/>
      </c>
      <c r="C89" s="195">
        <f>B89-D89</f>
        <v/>
      </c>
      <c r="D89" s="195">
        <f>E88*$B$4/12</f>
        <v/>
      </c>
      <c r="E89" s="195">
        <f>E88-C89</f>
        <v/>
      </c>
    </row>
    <row r="90" ht="15" customHeight="1" s="160">
      <c r="A90" s="282" t="n">
        <v>82</v>
      </c>
      <c r="B90" s="283">
        <f>$B$6</f>
        <v/>
      </c>
      <c r="C90" s="283">
        <f>B90-D90</f>
        <v/>
      </c>
      <c r="D90" s="283">
        <f>E89*$B$4/12</f>
        <v/>
      </c>
      <c r="E90" s="283">
        <f>E89-C90</f>
        <v/>
      </c>
    </row>
    <row r="91" ht="15" customHeight="1" s="160">
      <c r="A91" s="281" t="n">
        <v>83</v>
      </c>
      <c r="B91" s="195">
        <f>$B$6</f>
        <v/>
      </c>
      <c r="C91" s="195">
        <f>B91-D91</f>
        <v/>
      </c>
      <c r="D91" s="195">
        <f>E90*$B$4/12</f>
        <v/>
      </c>
      <c r="E91" s="195">
        <f>E90-C91</f>
        <v/>
      </c>
    </row>
    <row r="92" ht="15" customHeight="1" s="160">
      <c r="A92" s="282" t="n">
        <v>84</v>
      </c>
      <c r="B92" s="283">
        <f>$B$6</f>
        <v/>
      </c>
      <c r="C92" s="283">
        <f>B92-D92</f>
        <v/>
      </c>
      <c r="D92" s="283">
        <f>E91*$B$4/12</f>
        <v/>
      </c>
      <c r="E92" s="283">
        <f>E91-C92</f>
        <v/>
      </c>
    </row>
    <row r="93" ht="15" customHeight="1" s="160">
      <c r="A93" s="281" t="n">
        <v>85</v>
      </c>
      <c r="B93" s="195">
        <f>$B$6</f>
        <v/>
      </c>
      <c r="C93" s="195">
        <f>B93-D93</f>
        <v/>
      </c>
      <c r="D93" s="195">
        <f>E92*$B$4/12</f>
        <v/>
      </c>
      <c r="E93" s="195">
        <f>E92-C93</f>
        <v/>
      </c>
    </row>
    <row r="94" ht="15" customHeight="1" s="160">
      <c r="A94" s="282" t="n">
        <v>86</v>
      </c>
      <c r="B94" s="283">
        <f>$B$6</f>
        <v/>
      </c>
      <c r="C94" s="283">
        <f>B94-D94</f>
        <v/>
      </c>
      <c r="D94" s="283">
        <f>E93*$B$4/12</f>
        <v/>
      </c>
      <c r="E94" s="283">
        <f>E93-C94</f>
        <v/>
      </c>
    </row>
    <row r="95" ht="15" customHeight="1" s="160">
      <c r="A95" s="281" t="n">
        <v>87</v>
      </c>
      <c r="B95" s="195">
        <f>$B$6</f>
        <v/>
      </c>
      <c r="C95" s="195">
        <f>B95-D95</f>
        <v/>
      </c>
      <c r="D95" s="195">
        <f>E94*$B$4/12</f>
        <v/>
      </c>
      <c r="E95" s="195">
        <f>E94-C95</f>
        <v/>
      </c>
    </row>
    <row r="96" ht="15" customHeight="1" s="160">
      <c r="A96" s="282" t="n">
        <v>88</v>
      </c>
      <c r="B96" s="283">
        <f>$B$6</f>
        <v/>
      </c>
      <c r="C96" s="283">
        <f>B96-D96</f>
        <v/>
      </c>
      <c r="D96" s="283">
        <f>E95*$B$4/12</f>
        <v/>
      </c>
      <c r="E96" s="283">
        <f>E95-C96</f>
        <v/>
      </c>
    </row>
    <row r="97" ht="15" customHeight="1" s="160">
      <c r="A97" s="281" t="n">
        <v>89</v>
      </c>
      <c r="B97" s="195">
        <f>$B$6</f>
        <v/>
      </c>
      <c r="C97" s="195">
        <f>B97-D97</f>
        <v/>
      </c>
      <c r="D97" s="195">
        <f>E96*$B$4/12</f>
        <v/>
      </c>
      <c r="E97" s="195">
        <f>E96-C97</f>
        <v/>
      </c>
    </row>
    <row r="98" ht="15" customHeight="1" s="160">
      <c r="A98" s="282" t="n">
        <v>90</v>
      </c>
      <c r="B98" s="283">
        <f>$B$6</f>
        <v/>
      </c>
      <c r="C98" s="283">
        <f>B98-D98</f>
        <v/>
      </c>
      <c r="D98" s="283">
        <f>E97*$B$4/12</f>
        <v/>
      </c>
      <c r="E98" s="283">
        <f>E97-C98</f>
        <v/>
      </c>
    </row>
    <row r="99" ht="15" customHeight="1" s="160">
      <c r="A99" s="281" t="n">
        <v>91</v>
      </c>
      <c r="B99" s="195">
        <f>$B$6</f>
        <v/>
      </c>
      <c r="C99" s="195">
        <f>B99-D99</f>
        <v/>
      </c>
      <c r="D99" s="195">
        <f>E98*$B$4/12</f>
        <v/>
      </c>
      <c r="E99" s="195">
        <f>E98-C99</f>
        <v/>
      </c>
    </row>
    <row r="100" ht="15" customHeight="1" s="160">
      <c r="A100" s="282" t="n">
        <v>92</v>
      </c>
      <c r="B100" s="283">
        <f>$B$6</f>
        <v/>
      </c>
      <c r="C100" s="283">
        <f>B100-D100</f>
        <v/>
      </c>
      <c r="D100" s="283">
        <f>E99*$B$4/12</f>
        <v/>
      </c>
      <c r="E100" s="283">
        <f>E99-C100</f>
        <v/>
      </c>
    </row>
    <row r="101" ht="15" customHeight="1" s="160">
      <c r="A101" s="281" t="n">
        <v>93</v>
      </c>
      <c r="B101" s="195">
        <f>$B$6</f>
        <v/>
      </c>
      <c r="C101" s="195">
        <f>B101-D101</f>
        <v/>
      </c>
      <c r="D101" s="195">
        <f>E100*$B$4/12</f>
        <v/>
      </c>
      <c r="E101" s="195">
        <f>E100-C101</f>
        <v/>
      </c>
    </row>
    <row r="102" ht="15" customHeight="1" s="160">
      <c r="A102" s="282" t="n">
        <v>94</v>
      </c>
      <c r="B102" s="283">
        <f>$B$6</f>
        <v/>
      </c>
      <c r="C102" s="283">
        <f>B102-D102</f>
        <v/>
      </c>
      <c r="D102" s="283">
        <f>E101*$B$4/12</f>
        <v/>
      </c>
      <c r="E102" s="283">
        <f>E101-C102</f>
        <v/>
      </c>
    </row>
    <row r="103" ht="15" customHeight="1" s="160">
      <c r="A103" s="281" t="n">
        <v>95</v>
      </c>
      <c r="B103" s="195">
        <f>$B$6</f>
        <v/>
      </c>
      <c r="C103" s="195">
        <f>B103-D103</f>
        <v/>
      </c>
      <c r="D103" s="195">
        <f>E102*$B$4/12</f>
        <v/>
      </c>
      <c r="E103" s="195">
        <f>E102-C103</f>
        <v/>
      </c>
    </row>
    <row r="104" ht="15" customHeight="1" s="160">
      <c r="A104" s="282" t="n">
        <v>96</v>
      </c>
      <c r="B104" s="283">
        <f>$B$6</f>
        <v/>
      </c>
      <c r="C104" s="283">
        <f>B104-D104</f>
        <v/>
      </c>
      <c r="D104" s="283">
        <f>E103*$B$4/12</f>
        <v/>
      </c>
      <c r="E104" s="283">
        <f>E103-C104</f>
        <v/>
      </c>
    </row>
    <row r="105" ht="15" customHeight="1" s="160">
      <c r="A105" s="281" t="n">
        <v>97</v>
      </c>
      <c r="B105" s="195">
        <f>$B$6</f>
        <v/>
      </c>
      <c r="C105" s="195">
        <f>B105-D105</f>
        <v/>
      </c>
      <c r="D105" s="195">
        <f>E104*$B$4/12</f>
        <v/>
      </c>
      <c r="E105" s="195">
        <f>E104-C105</f>
        <v/>
      </c>
    </row>
    <row r="106" ht="15" customHeight="1" s="160">
      <c r="A106" s="282" t="n">
        <v>98</v>
      </c>
      <c r="B106" s="283">
        <f>$B$6</f>
        <v/>
      </c>
      <c r="C106" s="283">
        <f>B106-D106</f>
        <v/>
      </c>
      <c r="D106" s="283">
        <f>E105*$B$4/12</f>
        <v/>
      </c>
      <c r="E106" s="283">
        <f>E105-C106</f>
        <v/>
      </c>
    </row>
    <row r="107" ht="15" customHeight="1" s="160">
      <c r="A107" s="281" t="n">
        <v>99</v>
      </c>
      <c r="B107" s="195">
        <f>$B$6</f>
        <v/>
      </c>
      <c r="C107" s="195">
        <f>B107-D107</f>
        <v/>
      </c>
      <c r="D107" s="195">
        <f>E106*$B$4/12</f>
        <v/>
      </c>
      <c r="E107" s="195">
        <f>E106-C107</f>
        <v/>
      </c>
    </row>
    <row r="108" ht="15" customHeight="1" s="160">
      <c r="A108" s="282" t="n">
        <v>100</v>
      </c>
      <c r="B108" s="283">
        <f>$B$6</f>
        <v/>
      </c>
      <c r="C108" s="283">
        <f>B108-D108</f>
        <v/>
      </c>
      <c r="D108" s="283">
        <f>E107*$B$4/12</f>
        <v/>
      </c>
      <c r="E108" s="283">
        <f>E107-C108</f>
        <v/>
      </c>
    </row>
    <row r="109" ht="15" customHeight="1" s="160">
      <c r="A109" s="281" t="n">
        <v>101</v>
      </c>
      <c r="B109" s="195">
        <f>$B$6</f>
        <v/>
      </c>
      <c r="C109" s="195">
        <f>B109-D109</f>
        <v/>
      </c>
      <c r="D109" s="195">
        <f>E108*$B$4/12</f>
        <v/>
      </c>
      <c r="E109" s="195">
        <f>E108-C109</f>
        <v/>
      </c>
    </row>
    <row r="110" ht="15" customHeight="1" s="160">
      <c r="A110" s="282" t="n">
        <v>102</v>
      </c>
      <c r="B110" s="283">
        <f>$B$6</f>
        <v/>
      </c>
      <c r="C110" s="283">
        <f>B110-D110</f>
        <v/>
      </c>
      <c r="D110" s="283">
        <f>E109*$B$4/12</f>
        <v/>
      </c>
      <c r="E110" s="283">
        <f>E109-C110</f>
        <v/>
      </c>
    </row>
    <row r="111" ht="15" customHeight="1" s="160">
      <c r="A111" s="281" t="n">
        <v>103</v>
      </c>
      <c r="B111" s="195">
        <f>$B$6</f>
        <v/>
      </c>
      <c r="C111" s="195">
        <f>B111-D111</f>
        <v/>
      </c>
      <c r="D111" s="195">
        <f>E110*$B$4/12</f>
        <v/>
      </c>
      <c r="E111" s="195">
        <f>E110-C111</f>
        <v/>
      </c>
    </row>
    <row r="112" ht="15" customHeight="1" s="160">
      <c r="A112" s="282" t="n">
        <v>104</v>
      </c>
      <c r="B112" s="283">
        <f>$B$6</f>
        <v/>
      </c>
      <c r="C112" s="283">
        <f>B112-D112</f>
        <v/>
      </c>
      <c r="D112" s="283">
        <f>E111*$B$4/12</f>
        <v/>
      </c>
      <c r="E112" s="283">
        <f>E111-C112</f>
        <v/>
      </c>
    </row>
    <row r="113" ht="15" customHeight="1" s="160">
      <c r="A113" s="281" t="n">
        <v>105</v>
      </c>
      <c r="B113" s="195">
        <f>$B$6</f>
        <v/>
      </c>
      <c r="C113" s="195">
        <f>B113-D113</f>
        <v/>
      </c>
      <c r="D113" s="195">
        <f>E112*$B$4/12</f>
        <v/>
      </c>
      <c r="E113" s="195">
        <f>E112-C113</f>
        <v/>
      </c>
    </row>
    <row r="114" ht="15" customHeight="1" s="160">
      <c r="A114" s="282" t="n">
        <v>106</v>
      </c>
      <c r="B114" s="283">
        <f>$B$6</f>
        <v/>
      </c>
      <c r="C114" s="283">
        <f>B114-D114</f>
        <v/>
      </c>
      <c r="D114" s="283">
        <f>E113*$B$4/12</f>
        <v/>
      </c>
      <c r="E114" s="283">
        <f>E113-C114</f>
        <v/>
      </c>
    </row>
    <row r="115" ht="15" customHeight="1" s="160">
      <c r="A115" s="281" t="n">
        <v>107</v>
      </c>
      <c r="B115" s="195">
        <f>$B$6</f>
        <v/>
      </c>
      <c r="C115" s="195">
        <f>B115-D115</f>
        <v/>
      </c>
      <c r="D115" s="195">
        <f>E114*$B$4/12</f>
        <v/>
      </c>
      <c r="E115" s="195">
        <f>E114-C115</f>
        <v/>
      </c>
    </row>
    <row r="116" ht="15" customHeight="1" s="160">
      <c r="A116" s="282" t="n">
        <v>108</v>
      </c>
      <c r="B116" s="283">
        <f>$B$6</f>
        <v/>
      </c>
      <c r="C116" s="283">
        <f>B116-D116</f>
        <v/>
      </c>
      <c r="D116" s="283">
        <f>E115*$B$4/12</f>
        <v/>
      </c>
      <c r="E116" s="283">
        <f>E115-C116</f>
        <v/>
      </c>
    </row>
    <row r="117" ht="15" customHeight="1" s="160">
      <c r="A117" s="281" t="n">
        <v>109</v>
      </c>
      <c r="B117" s="195">
        <f>$B$6</f>
        <v/>
      </c>
      <c r="C117" s="195">
        <f>B117-D117</f>
        <v/>
      </c>
      <c r="D117" s="195">
        <f>E116*$B$4/12</f>
        <v/>
      </c>
      <c r="E117" s="195">
        <f>E116-C117</f>
        <v/>
      </c>
    </row>
    <row r="118" ht="15" customHeight="1" s="160">
      <c r="A118" s="282" t="n">
        <v>110</v>
      </c>
      <c r="B118" s="283">
        <f>$B$6</f>
        <v/>
      </c>
      <c r="C118" s="283">
        <f>B118-D118</f>
        <v/>
      </c>
      <c r="D118" s="283">
        <f>E117*$B$4/12</f>
        <v/>
      </c>
      <c r="E118" s="283">
        <f>E117-C118</f>
        <v/>
      </c>
    </row>
    <row r="119" ht="15" customHeight="1" s="160">
      <c r="A119" s="281" t="n">
        <v>111</v>
      </c>
      <c r="B119" s="195">
        <f>$B$6</f>
        <v/>
      </c>
      <c r="C119" s="195">
        <f>B119-D119</f>
        <v/>
      </c>
      <c r="D119" s="195">
        <f>E118*$B$4/12</f>
        <v/>
      </c>
      <c r="E119" s="195">
        <f>E118-C119</f>
        <v/>
      </c>
    </row>
    <row r="120" ht="15" customHeight="1" s="160">
      <c r="A120" s="282" t="n">
        <v>112</v>
      </c>
      <c r="B120" s="283">
        <f>$B$6</f>
        <v/>
      </c>
      <c r="C120" s="283">
        <f>B120-D120</f>
        <v/>
      </c>
      <c r="D120" s="283">
        <f>E119*$B$4/12</f>
        <v/>
      </c>
      <c r="E120" s="283">
        <f>E119-C120</f>
        <v/>
      </c>
    </row>
    <row r="121" ht="15" customHeight="1" s="160">
      <c r="A121" s="281" t="n">
        <v>113</v>
      </c>
      <c r="B121" s="195">
        <f>$B$6</f>
        <v/>
      </c>
      <c r="C121" s="195">
        <f>B121-D121</f>
        <v/>
      </c>
      <c r="D121" s="195">
        <f>E120*$B$4/12</f>
        <v/>
      </c>
      <c r="E121" s="195">
        <f>E120-C121</f>
        <v/>
      </c>
    </row>
    <row r="122" ht="15" customHeight="1" s="160">
      <c r="A122" s="282" t="n">
        <v>114</v>
      </c>
      <c r="B122" s="283">
        <f>$B$6</f>
        <v/>
      </c>
      <c r="C122" s="283">
        <f>B122-D122</f>
        <v/>
      </c>
      <c r="D122" s="283">
        <f>E121*$B$4/12</f>
        <v/>
      </c>
      <c r="E122" s="283">
        <f>E121-C122</f>
        <v/>
      </c>
    </row>
    <row r="123" ht="15" customHeight="1" s="160">
      <c r="A123" s="281" t="n">
        <v>115</v>
      </c>
      <c r="B123" s="195">
        <f>$B$6</f>
        <v/>
      </c>
      <c r="C123" s="195">
        <f>B123-D123</f>
        <v/>
      </c>
      <c r="D123" s="195">
        <f>E122*$B$4/12</f>
        <v/>
      </c>
      <c r="E123" s="195">
        <f>E122-C123</f>
        <v/>
      </c>
    </row>
    <row r="124" ht="15" customHeight="1" s="160">
      <c r="A124" s="282" t="n">
        <v>116</v>
      </c>
      <c r="B124" s="283">
        <f>$B$6</f>
        <v/>
      </c>
      <c r="C124" s="283">
        <f>B124-D124</f>
        <v/>
      </c>
      <c r="D124" s="283">
        <f>E123*$B$4/12</f>
        <v/>
      </c>
      <c r="E124" s="283">
        <f>E123-C124</f>
        <v/>
      </c>
    </row>
    <row r="125" ht="15" customHeight="1" s="160">
      <c r="A125" s="281" t="n">
        <v>117</v>
      </c>
      <c r="B125" s="195">
        <f>$B$6</f>
        <v/>
      </c>
      <c r="C125" s="195">
        <f>B125-D125</f>
        <v/>
      </c>
      <c r="D125" s="195">
        <f>E124*$B$4/12</f>
        <v/>
      </c>
      <c r="E125" s="195">
        <f>E124-C125</f>
        <v/>
      </c>
    </row>
    <row r="126" ht="15" customHeight="1" s="160">
      <c r="A126" s="282" t="n">
        <v>118</v>
      </c>
      <c r="B126" s="283">
        <f>$B$6</f>
        <v/>
      </c>
      <c r="C126" s="283">
        <f>B126-D126</f>
        <v/>
      </c>
      <c r="D126" s="283">
        <f>E125*$B$4/12</f>
        <v/>
      </c>
      <c r="E126" s="283">
        <f>E125-C126</f>
        <v/>
      </c>
    </row>
    <row r="127" ht="15" customHeight="1" s="160">
      <c r="A127" s="281" t="n">
        <v>119</v>
      </c>
      <c r="B127" s="195">
        <f>$B$6</f>
        <v/>
      </c>
      <c r="C127" s="195">
        <f>B127-D127</f>
        <v/>
      </c>
      <c r="D127" s="195">
        <f>E126*$B$4/12</f>
        <v/>
      </c>
      <c r="E127" s="195">
        <f>E126-C127</f>
        <v/>
      </c>
    </row>
    <row r="128" ht="15" customHeight="1" s="160">
      <c r="A128" s="282" t="n">
        <v>120</v>
      </c>
      <c r="B128" s="283">
        <f>$B$6</f>
        <v/>
      </c>
      <c r="C128" s="283">
        <f>B128-D128</f>
        <v/>
      </c>
      <c r="D128" s="283">
        <f>E127*$B$4/12</f>
        <v/>
      </c>
      <c r="E128" s="283">
        <f>E127-C128</f>
        <v/>
      </c>
    </row>
    <row r="129" ht="15" customHeight="1" s="160">
      <c r="A129" s="281" t="n">
        <v>121</v>
      </c>
      <c r="B129" s="195">
        <f>$B$6</f>
        <v/>
      </c>
      <c r="C129" s="195">
        <f>B129-D129</f>
        <v/>
      </c>
      <c r="D129" s="195">
        <f>E128*$B$4/12</f>
        <v/>
      </c>
      <c r="E129" s="195">
        <f>E128-C129</f>
        <v/>
      </c>
    </row>
    <row r="130" ht="15" customHeight="1" s="160">
      <c r="A130" s="282" t="n">
        <v>122</v>
      </c>
      <c r="B130" s="283">
        <f>$B$6</f>
        <v/>
      </c>
      <c r="C130" s="283">
        <f>B130-D130</f>
        <v/>
      </c>
      <c r="D130" s="283">
        <f>E129*$B$4/12</f>
        <v/>
      </c>
      <c r="E130" s="283">
        <f>E129-C130</f>
        <v/>
      </c>
    </row>
    <row r="131" ht="15" customHeight="1" s="160">
      <c r="A131" s="281" t="n">
        <v>123</v>
      </c>
      <c r="B131" s="195">
        <f>$B$6</f>
        <v/>
      </c>
      <c r="C131" s="195">
        <f>B131-D131</f>
        <v/>
      </c>
      <c r="D131" s="195">
        <f>E130*$B$4/12</f>
        <v/>
      </c>
      <c r="E131" s="195">
        <f>E130-C131</f>
        <v/>
      </c>
    </row>
    <row r="132" ht="15" customHeight="1" s="160">
      <c r="A132" s="282" t="n">
        <v>124</v>
      </c>
      <c r="B132" s="283">
        <f>$B$6</f>
        <v/>
      </c>
      <c r="C132" s="283">
        <f>B132-D132</f>
        <v/>
      </c>
      <c r="D132" s="283">
        <f>E131*$B$4/12</f>
        <v/>
      </c>
      <c r="E132" s="283">
        <f>E131-C132</f>
        <v/>
      </c>
    </row>
    <row r="133" ht="15" customHeight="1" s="160">
      <c r="A133" s="281" t="n">
        <v>125</v>
      </c>
      <c r="B133" s="195">
        <f>$B$6</f>
        <v/>
      </c>
      <c r="C133" s="195">
        <f>B133-D133</f>
        <v/>
      </c>
      <c r="D133" s="195">
        <f>E132*$B$4/12</f>
        <v/>
      </c>
      <c r="E133" s="195">
        <f>E132-C133</f>
        <v/>
      </c>
    </row>
    <row r="134" ht="15" customHeight="1" s="160">
      <c r="A134" s="282" t="n">
        <v>126</v>
      </c>
      <c r="B134" s="283">
        <f>$B$6</f>
        <v/>
      </c>
      <c r="C134" s="283">
        <f>B134-D134</f>
        <v/>
      </c>
      <c r="D134" s="283">
        <f>E133*$B$4/12</f>
        <v/>
      </c>
      <c r="E134" s="283">
        <f>E133-C134</f>
        <v/>
      </c>
    </row>
    <row r="135" ht="15" customHeight="1" s="160">
      <c r="A135" s="281" t="n">
        <v>127</v>
      </c>
      <c r="B135" s="195">
        <f>$B$6</f>
        <v/>
      </c>
      <c r="C135" s="195">
        <f>B135-D135</f>
        <v/>
      </c>
      <c r="D135" s="195">
        <f>E134*$B$4/12</f>
        <v/>
      </c>
      <c r="E135" s="195">
        <f>E134-C135</f>
        <v/>
      </c>
    </row>
    <row r="136" ht="15" customHeight="1" s="160">
      <c r="A136" s="282" t="n">
        <v>128</v>
      </c>
      <c r="B136" s="283">
        <f>$B$6</f>
        <v/>
      </c>
      <c r="C136" s="283">
        <f>B136-D136</f>
        <v/>
      </c>
      <c r="D136" s="283">
        <f>E135*$B$4/12</f>
        <v/>
      </c>
      <c r="E136" s="283">
        <f>E135-C136</f>
        <v/>
      </c>
    </row>
    <row r="137" ht="15" customHeight="1" s="160">
      <c r="A137" s="281" t="n">
        <v>129</v>
      </c>
      <c r="B137" s="195">
        <f>$B$6</f>
        <v/>
      </c>
      <c r="C137" s="195">
        <f>B137-D137</f>
        <v/>
      </c>
      <c r="D137" s="195">
        <f>E136*$B$4/12</f>
        <v/>
      </c>
      <c r="E137" s="195">
        <f>E136-C137</f>
        <v/>
      </c>
    </row>
    <row r="138" ht="15" customHeight="1" s="160">
      <c r="A138" s="282" t="n">
        <v>130</v>
      </c>
      <c r="B138" s="283">
        <f>$B$6</f>
        <v/>
      </c>
      <c r="C138" s="283">
        <f>B138-D138</f>
        <v/>
      </c>
      <c r="D138" s="283">
        <f>E137*$B$4/12</f>
        <v/>
      </c>
      <c r="E138" s="283">
        <f>E137-C138</f>
        <v/>
      </c>
    </row>
    <row r="139" ht="15" customHeight="1" s="160">
      <c r="A139" s="281" t="n">
        <v>131</v>
      </c>
      <c r="B139" s="195">
        <f>$B$6</f>
        <v/>
      </c>
      <c r="C139" s="195">
        <f>B139-D139</f>
        <v/>
      </c>
      <c r="D139" s="195">
        <f>E138*$B$4/12</f>
        <v/>
      </c>
      <c r="E139" s="195">
        <f>E138-C139</f>
        <v/>
      </c>
    </row>
    <row r="140" ht="15" customHeight="1" s="160">
      <c r="A140" s="282" t="n">
        <v>132</v>
      </c>
      <c r="B140" s="283">
        <f>$B$6</f>
        <v/>
      </c>
      <c r="C140" s="283">
        <f>B140-D140</f>
        <v/>
      </c>
      <c r="D140" s="283">
        <f>E139*$B$4/12</f>
        <v/>
      </c>
      <c r="E140" s="283">
        <f>E139-C140</f>
        <v/>
      </c>
    </row>
    <row r="141" ht="15" customHeight="1" s="160">
      <c r="A141" s="281" t="n">
        <v>133</v>
      </c>
      <c r="B141" s="195">
        <f>$B$6</f>
        <v/>
      </c>
      <c r="C141" s="195">
        <f>B141-D141</f>
        <v/>
      </c>
      <c r="D141" s="195">
        <f>E140*$B$4/12</f>
        <v/>
      </c>
      <c r="E141" s="195">
        <f>E140-C141</f>
        <v/>
      </c>
    </row>
    <row r="142" ht="15" customHeight="1" s="160">
      <c r="A142" s="282" t="n">
        <v>134</v>
      </c>
      <c r="B142" s="283">
        <f>$B$6</f>
        <v/>
      </c>
      <c r="C142" s="283">
        <f>B142-D142</f>
        <v/>
      </c>
      <c r="D142" s="283">
        <f>E141*$B$4/12</f>
        <v/>
      </c>
      <c r="E142" s="283">
        <f>E141-C142</f>
        <v/>
      </c>
    </row>
    <row r="143" ht="15" customHeight="1" s="160">
      <c r="A143" s="281" t="n">
        <v>135</v>
      </c>
      <c r="B143" s="195">
        <f>$B$6</f>
        <v/>
      </c>
      <c r="C143" s="195">
        <f>B143-D143</f>
        <v/>
      </c>
      <c r="D143" s="195">
        <f>E142*$B$4/12</f>
        <v/>
      </c>
      <c r="E143" s="195">
        <f>E142-C143</f>
        <v/>
      </c>
    </row>
    <row r="144" ht="15" customHeight="1" s="160">
      <c r="A144" s="282" t="n">
        <v>136</v>
      </c>
      <c r="B144" s="283">
        <f>$B$6</f>
        <v/>
      </c>
      <c r="C144" s="283">
        <f>B144-D144</f>
        <v/>
      </c>
      <c r="D144" s="283">
        <f>E143*$B$4/12</f>
        <v/>
      </c>
      <c r="E144" s="283">
        <f>E143-C144</f>
        <v/>
      </c>
    </row>
    <row r="145" ht="15" customHeight="1" s="160">
      <c r="A145" s="281" t="n">
        <v>137</v>
      </c>
      <c r="B145" s="195">
        <f>$B$6</f>
        <v/>
      </c>
      <c r="C145" s="195">
        <f>B145-D145</f>
        <v/>
      </c>
      <c r="D145" s="195">
        <f>E144*$B$4/12</f>
        <v/>
      </c>
      <c r="E145" s="195">
        <f>E144-C145</f>
        <v/>
      </c>
    </row>
    <row r="146" ht="15" customHeight="1" s="160">
      <c r="A146" s="282" t="n">
        <v>138</v>
      </c>
      <c r="B146" s="283">
        <f>$B$6</f>
        <v/>
      </c>
      <c r="C146" s="283">
        <f>B146-D146</f>
        <v/>
      </c>
      <c r="D146" s="283">
        <f>E145*$B$4/12</f>
        <v/>
      </c>
      <c r="E146" s="283">
        <f>E145-C146</f>
        <v/>
      </c>
    </row>
    <row r="147" ht="15" customHeight="1" s="160">
      <c r="A147" s="281" t="n">
        <v>139</v>
      </c>
      <c r="B147" s="195">
        <f>$B$6</f>
        <v/>
      </c>
      <c r="C147" s="195">
        <f>B147-D147</f>
        <v/>
      </c>
      <c r="D147" s="195">
        <f>E146*$B$4/12</f>
        <v/>
      </c>
      <c r="E147" s="195">
        <f>E146-C147</f>
        <v/>
      </c>
    </row>
    <row r="148" ht="15" customHeight="1" s="160">
      <c r="A148" s="282" t="n">
        <v>140</v>
      </c>
      <c r="B148" s="283">
        <f>$B$6</f>
        <v/>
      </c>
      <c r="C148" s="283">
        <f>B148-D148</f>
        <v/>
      </c>
      <c r="D148" s="283">
        <f>E147*$B$4/12</f>
        <v/>
      </c>
      <c r="E148" s="283">
        <f>E147-C148</f>
        <v/>
      </c>
    </row>
    <row r="149" ht="15" customHeight="1" s="160">
      <c r="A149" s="281" t="n">
        <v>141</v>
      </c>
      <c r="B149" s="195">
        <f>$B$6</f>
        <v/>
      </c>
      <c r="C149" s="195">
        <f>B149-D149</f>
        <v/>
      </c>
      <c r="D149" s="195">
        <f>E148*$B$4/12</f>
        <v/>
      </c>
      <c r="E149" s="195">
        <f>E148-C149</f>
        <v/>
      </c>
    </row>
    <row r="150" ht="15" customHeight="1" s="160">
      <c r="A150" s="282" t="n">
        <v>142</v>
      </c>
      <c r="B150" s="283">
        <f>$B$6</f>
        <v/>
      </c>
      <c r="C150" s="283">
        <f>B150-D150</f>
        <v/>
      </c>
      <c r="D150" s="283">
        <f>E149*$B$4/12</f>
        <v/>
      </c>
      <c r="E150" s="283">
        <f>E149-C150</f>
        <v/>
      </c>
    </row>
    <row r="151" ht="15" customHeight="1" s="160">
      <c r="A151" s="281" t="n">
        <v>143</v>
      </c>
      <c r="B151" s="195">
        <f>$B$6</f>
        <v/>
      </c>
      <c r="C151" s="195">
        <f>B151-D151</f>
        <v/>
      </c>
      <c r="D151" s="195">
        <f>E150*$B$4/12</f>
        <v/>
      </c>
      <c r="E151" s="195">
        <f>E150-C151</f>
        <v/>
      </c>
    </row>
    <row r="152" ht="15" customHeight="1" s="160">
      <c r="A152" s="282" t="n">
        <v>144</v>
      </c>
      <c r="B152" s="283">
        <f>$B$6</f>
        <v/>
      </c>
      <c r="C152" s="283">
        <f>B152-D152</f>
        <v/>
      </c>
      <c r="D152" s="283">
        <f>E151*$B$4/12</f>
        <v/>
      </c>
      <c r="E152" s="283">
        <f>E151-C152</f>
        <v/>
      </c>
    </row>
    <row r="153" ht="15" customHeight="1" s="160">
      <c r="A153" s="281" t="n">
        <v>145</v>
      </c>
      <c r="B153" s="195">
        <f>$B$6</f>
        <v/>
      </c>
      <c r="C153" s="195">
        <f>B153-D153</f>
        <v/>
      </c>
      <c r="D153" s="195">
        <f>E152*$B$4/12</f>
        <v/>
      </c>
      <c r="E153" s="195">
        <f>E152-C153</f>
        <v/>
      </c>
    </row>
    <row r="154" ht="15" customHeight="1" s="160">
      <c r="A154" s="282" t="n">
        <v>146</v>
      </c>
      <c r="B154" s="283">
        <f>$B$6</f>
        <v/>
      </c>
      <c r="C154" s="283">
        <f>B154-D154</f>
        <v/>
      </c>
      <c r="D154" s="283">
        <f>E153*$B$4/12</f>
        <v/>
      </c>
      <c r="E154" s="283">
        <f>E153-C154</f>
        <v/>
      </c>
    </row>
    <row r="155" ht="15" customHeight="1" s="160">
      <c r="A155" s="281" t="n">
        <v>147</v>
      </c>
      <c r="B155" s="195">
        <f>$B$6</f>
        <v/>
      </c>
      <c r="C155" s="195">
        <f>B155-D155</f>
        <v/>
      </c>
      <c r="D155" s="195">
        <f>E154*$B$4/12</f>
        <v/>
      </c>
      <c r="E155" s="195">
        <f>E154-C155</f>
        <v/>
      </c>
    </row>
    <row r="156" ht="15" customHeight="1" s="160">
      <c r="A156" s="282" t="n">
        <v>148</v>
      </c>
      <c r="B156" s="283">
        <f>$B$6</f>
        <v/>
      </c>
      <c r="C156" s="283">
        <f>B156-D156</f>
        <v/>
      </c>
      <c r="D156" s="283">
        <f>E155*$B$4/12</f>
        <v/>
      </c>
      <c r="E156" s="283">
        <f>E155-C156</f>
        <v/>
      </c>
    </row>
    <row r="157" ht="15" customHeight="1" s="160">
      <c r="A157" s="281" t="n">
        <v>149</v>
      </c>
      <c r="B157" s="195">
        <f>$B$6</f>
        <v/>
      </c>
      <c r="C157" s="195">
        <f>B157-D157</f>
        <v/>
      </c>
      <c r="D157" s="195">
        <f>E156*$B$4/12</f>
        <v/>
      </c>
      <c r="E157" s="195">
        <f>E156-C157</f>
        <v/>
      </c>
    </row>
    <row r="158" ht="15" customHeight="1" s="160">
      <c r="A158" s="282" t="n">
        <v>150</v>
      </c>
      <c r="B158" s="283">
        <f>$B$6</f>
        <v/>
      </c>
      <c r="C158" s="283">
        <f>B158-D158</f>
        <v/>
      </c>
      <c r="D158" s="283">
        <f>E157*$B$4/12</f>
        <v/>
      </c>
      <c r="E158" s="283">
        <f>E157-C158</f>
        <v/>
      </c>
    </row>
    <row r="159" ht="15" customHeight="1" s="160">
      <c r="A159" s="281" t="n">
        <v>151</v>
      </c>
      <c r="B159" s="195">
        <f>$B$6</f>
        <v/>
      </c>
      <c r="C159" s="195">
        <f>B159-D159</f>
        <v/>
      </c>
      <c r="D159" s="195">
        <f>E158*$B$4/12</f>
        <v/>
      </c>
      <c r="E159" s="195">
        <f>E158-C159</f>
        <v/>
      </c>
    </row>
    <row r="160" ht="15" customHeight="1" s="160">
      <c r="A160" s="282" t="n">
        <v>152</v>
      </c>
      <c r="B160" s="283">
        <f>$B$6</f>
        <v/>
      </c>
      <c r="C160" s="283">
        <f>B160-D160</f>
        <v/>
      </c>
      <c r="D160" s="283">
        <f>E159*$B$4/12</f>
        <v/>
      </c>
      <c r="E160" s="283">
        <f>E159-C160</f>
        <v/>
      </c>
    </row>
    <row r="161" ht="15" customHeight="1" s="160">
      <c r="A161" s="281" t="n">
        <v>153</v>
      </c>
      <c r="B161" s="195">
        <f>$B$6</f>
        <v/>
      </c>
      <c r="C161" s="195">
        <f>B161-D161</f>
        <v/>
      </c>
      <c r="D161" s="195">
        <f>E160*$B$4/12</f>
        <v/>
      </c>
      <c r="E161" s="195">
        <f>E160-C161</f>
        <v/>
      </c>
    </row>
    <row r="162" ht="15" customHeight="1" s="160">
      <c r="A162" s="282" t="n">
        <v>154</v>
      </c>
      <c r="B162" s="283">
        <f>$B$6</f>
        <v/>
      </c>
      <c r="C162" s="283">
        <f>B162-D162</f>
        <v/>
      </c>
      <c r="D162" s="283">
        <f>E161*$B$4/12</f>
        <v/>
      </c>
      <c r="E162" s="283">
        <f>E161-C162</f>
        <v/>
      </c>
    </row>
    <row r="163" ht="15" customHeight="1" s="160">
      <c r="A163" s="281" t="n">
        <v>155</v>
      </c>
      <c r="B163" s="195">
        <f>$B$6</f>
        <v/>
      </c>
      <c r="C163" s="195">
        <f>B163-D163</f>
        <v/>
      </c>
      <c r="D163" s="195">
        <f>E162*$B$4/12</f>
        <v/>
      </c>
      <c r="E163" s="195">
        <f>E162-C163</f>
        <v/>
      </c>
    </row>
    <row r="164" ht="15" customHeight="1" s="160">
      <c r="A164" s="282" t="n">
        <v>156</v>
      </c>
      <c r="B164" s="283">
        <f>$B$6</f>
        <v/>
      </c>
      <c r="C164" s="283">
        <f>B164-D164</f>
        <v/>
      </c>
      <c r="D164" s="283">
        <f>E163*$B$4/12</f>
        <v/>
      </c>
      <c r="E164" s="283">
        <f>E163-C164</f>
        <v/>
      </c>
    </row>
    <row r="165" ht="15" customHeight="1" s="160">
      <c r="A165" s="281" t="n">
        <v>157</v>
      </c>
      <c r="B165" s="195">
        <f>$B$6</f>
        <v/>
      </c>
      <c r="C165" s="195">
        <f>B165-D165</f>
        <v/>
      </c>
      <c r="D165" s="195">
        <f>E164*$B$4/12</f>
        <v/>
      </c>
      <c r="E165" s="195">
        <f>E164-C165</f>
        <v/>
      </c>
    </row>
    <row r="166" ht="15" customHeight="1" s="160">
      <c r="A166" s="282" t="n">
        <v>158</v>
      </c>
      <c r="B166" s="283">
        <f>$B$6</f>
        <v/>
      </c>
      <c r="C166" s="283">
        <f>B166-D166</f>
        <v/>
      </c>
      <c r="D166" s="283">
        <f>E165*$B$4/12</f>
        <v/>
      </c>
      <c r="E166" s="283">
        <f>E165-C166</f>
        <v/>
      </c>
    </row>
    <row r="167" ht="15" customHeight="1" s="160">
      <c r="A167" s="281" t="n">
        <v>159</v>
      </c>
      <c r="B167" s="195">
        <f>$B$6</f>
        <v/>
      </c>
      <c r="C167" s="195">
        <f>B167-D167</f>
        <v/>
      </c>
      <c r="D167" s="195">
        <f>E166*$B$4/12</f>
        <v/>
      </c>
      <c r="E167" s="195">
        <f>E166-C167</f>
        <v/>
      </c>
    </row>
    <row r="168" ht="15" customHeight="1" s="160">
      <c r="A168" s="282" t="n">
        <v>160</v>
      </c>
      <c r="B168" s="283">
        <f>$B$6</f>
        <v/>
      </c>
      <c r="C168" s="283">
        <f>B168-D168</f>
        <v/>
      </c>
      <c r="D168" s="283">
        <f>E167*$B$4/12</f>
        <v/>
      </c>
      <c r="E168" s="283">
        <f>E167-C168</f>
        <v/>
      </c>
    </row>
    <row r="169" ht="15" customHeight="1" s="160">
      <c r="A169" s="281" t="n">
        <v>161</v>
      </c>
      <c r="B169" s="195">
        <f>$B$6</f>
        <v/>
      </c>
      <c r="C169" s="195">
        <f>B169-D169</f>
        <v/>
      </c>
      <c r="D169" s="195">
        <f>E168*$B$4/12</f>
        <v/>
      </c>
      <c r="E169" s="195">
        <f>E168-C169</f>
        <v/>
      </c>
    </row>
    <row r="170" ht="15" customHeight="1" s="160">
      <c r="A170" s="282" t="n">
        <v>162</v>
      </c>
      <c r="B170" s="283">
        <f>$B$6</f>
        <v/>
      </c>
      <c r="C170" s="283">
        <f>B170-D170</f>
        <v/>
      </c>
      <c r="D170" s="283">
        <f>E169*$B$4/12</f>
        <v/>
      </c>
      <c r="E170" s="283">
        <f>E169-C170</f>
        <v/>
      </c>
    </row>
    <row r="171" ht="15" customHeight="1" s="160">
      <c r="A171" s="281" t="n">
        <v>163</v>
      </c>
      <c r="B171" s="195">
        <f>$B$6</f>
        <v/>
      </c>
      <c r="C171" s="195">
        <f>B171-D171</f>
        <v/>
      </c>
      <c r="D171" s="195">
        <f>E170*$B$4/12</f>
        <v/>
      </c>
      <c r="E171" s="195">
        <f>E170-C171</f>
        <v/>
      </c>
    </row>
    <row r="172" ht="15" customHeight="1" s="160">
      <c r="A172" s="282" t="n">
        <v>164</v>
      </c>
      <c r="B172" s="283">
        <f>$B$6</f>
        <v/>
      </c>
      <c r="C172" s="283">
        <f>B172-D172</f>
        <v/>
      </c>
      <c r="D172" s="283">
        <f>E171*$B$4/12</f>
        <v/>
      </c>
      <c r="E172" s="283">
        <f>E171-C172</f>
        <v/>
      </c>
    </row>
    <row r="173" ht="15" customHeight="1" s="160">
      <c r="A173" s="281" t="n">
        <v>165</v>
      </c>
      <c r="B173" s="195">
        <f>$B$6</f>
        <v/>
      </c>
      <c r="C173" s="195">
        <f>B173-D173</f>
        <v/>
      </c>
      <c r="D173" s="195">
        <f>E172*$B$4/12</f>
        <v/>
      </c>
      <c r="E173" s="195">
        <f>E172-C173</f>
        <v/>
      </c>
    </row>
    <row r="174" ht="15" customHeight="1" s="160">
      <c r="A174" s="282" t="n">
        <v>166</v>
      </c>
      <c r="B174" s="283">
        <f>$B$6</f>
        <v/>
      </c>
      <c r="C174" s="283">
        <f>B174-D174</f>
        <v/>
      </c>
      <c r="D174" s="283">
        <f>E173*$B$4/12</f>
        <v/>
      </c>
      <c r="E174" s="283">
        <f>E173-C174</f>
        <v/>
      </c>
    </row>
    <row r="175" ht="15" customHeight="1" s="160">
      <c r="A175" s="281" t="n">
        <v>167</v>
      </c>
      <c r="B175" s="195">
        <f>$B$6</f>
        <v/>
      </c>
      <c r="C175" s="195">
        <f>B175-D175</f>
        <v/>
      </c>
      <c r="D175" s="195">
        <f>E174*$B$4/12</f>
        <v/>
      </c>
      <c r="E175" s="195">
        <f>E174-C175</f>
        <v/>
      </c>
    </row>
    <row r="176" ht="15" customHeight="1" s="160">
      <c r="A176" s="282" t="n">
        <v>168</v>
      </c>
      <c r="B176" s="283">
        <f>$B$6</f>
        <v/>
      </c>
      <c r="C176" s="283">
        <f>B176-D176</f>
        <v/>
      </c>
      <c r="D176" s="283">
        <f>E175*$B$4/12</f>
        <v/>
      </c>
      <c r="E176" s="283">
        <f>E175-C176</f>
        <v/>
      </c>
    </row>
    <row r="177" ht="15" customHeight="1" s="160">
      <c r="A177" s="281" t="n">
        <v>169</v>
      </c>
      <c r="B177" s="195">
        <f>$B$6</f>
        <v/>
      </c>
      <c r="C177" s="195">
        <f>B177-D177</f>
        <v/>
      </c>
      <c r="D177" s="195">
        <f>E176*$B$4/12</f>
        <v/>
      </c>
      <c r="E177" s="195">
        <f>E176-C177</f>
        <v/>
      </c>
    </row>
    <row r="178" ht="15" customHeight="1" s="160">
      <c r="A178" s="282" t="n">
        <v>170</v>
      </c>
      <c r="B178" s="283">
        <f>$B$6</f>
        <v/>
      </c>
      <c r="C178" s="283">
        <f>B178-D178</f>
        <v/>
      </c>
      <c r="D178" s="283">
        <f>E177*$B$4/12</f>
        <v/>
      </c>
      <c r="E178" s="283">
        <f>E177-C178</f>
        <v/>
      </c>
    </row>
    <row r="179" ht="15" customHeight="1" s="160">
      <c r="A179" s="281" t="n">
        <v>171</v>
      </c>
      <c r="B179" s="195">
        <f>$B$6</f>
        <v/>
      </c>
      <c r="C179" s="195">
        <f>B179-D179</f>
        <v/>
      </c>
      <c r="D179" s="195">
        <f>E178*$B$4/12</f>
        <v/>
      </c>
      <c r="E179" s="195">
        <f>E178-C179</f>
        <v/>
      </c>
    </row>
    <row r="180" ht="15" customHeight="1" s="160">
      <c r="A180" s="282" t="n">
        <v>172</v>
      </c>
      <c r="B180" s="283">
        <f>$B$6</f>
        <v/>
      </c>
      <c r="C180" s="283">
        <f>B180-D180</f>
        <v/>
      </c>
      <c r="D180" s="283">
        <f>E179*$B$4/12</f>
        <v/>
      </c>
      <c r="E180" s="283">
        <f>E179-C180</f>
        <v/>
      </c>
    </row>
    <row r="181" ht="15" customHeight="1" s="160">
      <c r="A181" s="281" t="n">
        <v>173</v>
      </c>
      <c r="B181" s="195">
        <f>$B$6</f>
        <v/>
      </c>
      <c r="C181" s="195">
        <f>B181-D181</f>
        <v/>
      </c>
      <c r="D181" s="195">
        <f>E180*$B$4/12</f>
        <v/>
      </c>
      <c r="E181" s="195">
        <f>E180-C181</f>
        <v/>
      </c>
    </row>
    <row r="182" ht="15" customHeight="1" s="160">
      <c r="A182" s="282" t="n">
        <v>174</v>
      </c>
      <c r="B182" s="283">
        <f>$B$6</f>
        <v/>
      </c>
      <c r="C182" s="283">
        <f>B182-D182</f>
        <v/>
      </c>
      <c r="D182" s="283">
        <f>E181*$B$4/12</f>
        <v/>
      </c>
      <c r="E182" s="283">
        <f>E181-C182</f>
        <v/>
      </c>
    </row>
    <row r="183" ht="15" customHeight="1" s="160">
      <c r="A183" s="281" t="n">
        <v>175</v>
      </c>
      <c r="B183" s="195">
        <f>$B$6</f>
        <v/>
      </c>
      <c r="C183" s="195">
        <f>B183-D183</f>
        <v/>
      </c>
      <c r="D183" s="195">
        <f>E182*$B$4/12</f>
        <v/>
      </c>
      <c r="E183" s="195">
        <f>E182-C183</f>
        <v/>
      </c>
    </row>
    <row r="184" ht="15" customHeight="1" s="160">
      <c r="A184" s="282" t="n">
        <v>176</v>
      </c>
      <c r="B184" s="283">
        <f>$B$6</f>
        <v/>
      </c>
      <c r="C184" s="283">
        <f>B184-D184</f>
        <v/>
      </c>
      <c r="D184" s="283">
        <f>E183*$B$4/12</f>
        <v/>
      </c>
      <c r="E184" s="283">
        <f>E183-C184</f>
        <v/>
      </c>
    </row>
    <row r="185" ht="15" customHeight="1" s="160">
      <c r="A185" s="281" t="n">
        <v>177</v>
      </c>
      <c r="B185" s="195">
        <f>$B$6</f>
        <v/>
      </c>
      <c r="C185" s="195">
        <f>B185-D185</f>
        <v/>
      </c>
      <c r="D185" s="195">
        <f>E184*$B$4/12</f>
        <v/>
      </c>
      <c r="E185" s="195">
        <f>E184-C185</f>
        <v/>
      </c>
    </row>
    <row r="186" ht="15" customHeight="1" s="160">
      <c r="A186" s="282" t="n">
        <v>178</v>
      </c>
      <c r="B186" s="283">
        <f>$B$6</f>
        <v/>
      </c>
      <c r="C186" s="283">
        <f>B186-D186</f>
        <v/>
      </c>
      <c r="D186" s="283">
        <f>E185*$B$4/12</f>
        <v/>
      </c>
      <c r="E186" s="283">
        <f>E185-C186</f>
        <v/>
      </c>
    </row>
    <row r="187" ht="15" customHeight="1" s="160">
      <c r="A187" s="281" t="n">
        <v>179</v>
      </c>
      <c r="B187" s="195">
        <f>$B$6</f>
        <v/>
      </c>
      <c r="C187" s="195">
        <f>B187-D187</f>
        <v/>
      </c>
      <c r="D187" s="195">
        <f>E186*$B$4/12</f>
        <v/>
      </c>
      <c r="E187" s="195">
        <f>E186-C187</f>
        <v/>
      </c>
    </row>
    <row r="188" ht="15" customHeight="1" s="160">
      <c r="A188" s="282" t="n">
        <v>180</v>
      </c>
      <c r="B188" s="283">
        <f>$B$6</f>
        <v/>
      </c>
      <c r="C188" s="283">
        <f>B188-D188</f>
        <v/>
      </c>
      <c r="D188" s="283">
        <f>E187*$B$4/12</f>
        <v/>
      </c>
      <c r="E188" s="283">
        <f>E187-C188</f>
        <v/>
      </c>
    </row>
    <row r="189" ht="15" customHeight="1" s="160">
      <c r="A189" s="281" t="n">
        <v>181</v>
      </c>
      <c r="B189" s="195">
        <f>$B$6</f>
        <v/>
      </c>
      <c r="C189" s="195">
        <f>B189-D189</f>
        <v/>
      </c>
      <c r="D189" s="195">
        <f>E188*$B$4/12</f>
        <v/>
      </c>
      <c r="E189" s="195">
        <f>E188-C189</f>
        <v/>
      </c>
    </row>
    <row r="190" ht="15" customHeight="1" s="160">
      <c r="A190" s="282" t="n">
        <v>182</v>
      </c>
      <c r="B190" s="283">
        <f>$B$6</f>
        <v/>
      </c>
      <c r="C190" s="283">
        <f>B190-D190</f>
        <v/>
      </c>
      <c r="D190" s="283">
        <f>E189*$B$4/12</f>
        <v/>
      </c>
      <c r="E190" s="283">
        <f>E189-C190</f>
        <v/>
      </c>
    </row>
    <row r="191" ht="15" customHeight="1" s="160">
      <c r="A191" s="281" t="n">
        <v>183</v>
      </c>
      <c r="B191" s="195">
        <f>$B$6</f>
        <v/>
      </c>
      <c r="C191" s="195">
        <f>B191-D191</f>
        <v/>
      </c>
      <c r="D191" s="195">
        <f>E190*$B$4/12</f>
        <v/>
      </c>
      <c r="E191" s="195">
        <f>E190-C191</f>
        <v/>
      </c>
    </row>
    <row r="192" ht="15" customHeight="1" s="160">
      <c r="A192" s="282" t="n">
        <v>184</v>
      </c>
      <c r="B192" s="283">
        <f>$B$6</f>
        <v/>
      </c>
      <c r="C192" s="283">
        <f>B192-D192</f>
        <v/>
      </c>
      <c r="D192" s="283">
        <f>E191*$B$4/12</f>
        <v/>
      </c>
      <c r="E192" s="283">
        <f>E191-C192</f>
        <v/>
      </c>
    </row>
    <row r="193" ht="15" customHeight="1" s="160">
      <c r="A193" s="281" t="n">
        <v>185</v>
      </c>
      <c r="B193" s="195">
        <f>$B$6</f>
        <v/>
      </c>
      <c r="C193" s="195">
        <f>B193-D193</f>
        <v/>
      </c>
      <c r="D193" s="195">
        <f>E192*$B$4/12</f>
        <v/>
      </c>
      <c r="E193" s="195">
        <f>E192-C193</f>
        <v/>
      </c>
    </row>
    <row r="194" ht="15" customHeight="1" s="160">
      <c r="A194" s="282" t="n">
        <v>186</v>
      </c>
      <c r="B194" s="283">
        <f>$B$6</f>
        <v/>
      </c>
      <c r="C194" s="283">
        <f>B194-D194</f>
        <v/>
      </c>
      <c r="D194" s="283">
        <f>E193*$B$4/12</f>
        <v/>
      </c>
      <c r="E194" s="283">
        <f>E193-C194</f>
        <v/>
      </c>
    </row>
    <row r="195" ht="15" customHeight="1" s="160">
      <c r="A195" s="281" t="n">
        <v>187</v>
      </c>
      <c r="B195" s="195">
        <f>$B$6</f>
        <v/>
      </c>
      <c r="C195" s="195">
        <f>B195-D195</f>
        <v/>
      </c>
      <c r="D195" s="195">
        <f>E194*$B$4/12</f>
        <v/>
      </c>
      <c r="E195" s="195">
        <f>E194-C195</f>
        <v/>
      </c>
    </row>
    <row r="196" ht="15" customHeight="1" s="160">
      <c r="A196" s="282" t="n">
        <v>188</v>
      </c>
      <c r="B196" s="283">
        <f>$B$6</f>
        <v/>
      </c>
      <c r="C196" s="283">
        <f>B196-D196</f>
        <v/>
      </c>
      <c r="D196" s="283">
        <f>E195*$B$4/12</f>
        <v/>
      </c>
      <c r="E196" s="283">
        <f>E195-C196</f>
        <v/>
      </c>
    </row>
    <row r="197" ht="15" customHeight="1" s="160">
      <c r="A197" s="281" t="n">
        <v>189</v>
      </c>
      <c r="B197" s="195">
        <f>$B$6</f>
        <v/>
      </c>
      <c r="C197" s="195">
        <f>B197-D197</f>
        <v/>
      </c>
      <c r="D197" s="195">
        <f>E196*$B$4/12</f>
        <v/>
      </c>
      <c r="E197" s="195">
        <f>E196-C197</f>
        <v/>
      </c>
    </row>
    <row r="198" ht="15" customHeight="1" s="160">
      <c r="A198" s="282" t="n">
        <v>190</v>
      </c>
      <c r="B198" s="283">
        <f>$B$6</f>
        <v/>
      </c>
      <c r="C198" s="283">
        <f>B198-D198</f>
        <v/>
      </c>
      <c r="D198" s="283">
        <f>E197*$B$4/12</f>
        <v/>
      </c>
      <c r="E198" s="283">
        <f>E197-C198</f>
        <v/>
      </c>
    </row>
    <row r="199" ht="15" customHeight="1" s="160">
      <c r="A199" s="281" t="n">
        <v>191</v>
      </c>
      <c r="B199" s="195">
        <f>$B$6</f>
        <v/>
      </c>
      <c r="C199" s="195">
        <f>B199-D199</f>
        <v/>
      </c>
      <c r="D199" s="195">
        <f>E198*$B$4/12</f>
        <v/>
      </c>
      <c r="E199" s="195">
        <f>E198-C199</f>
        <v/>
      </c>
    </row>
    <row r="200" ht="15" customHeight="1" s="160">
      <c r="A200" s="282" t="n">
        <v>192</v>
      </c>
      <c r="B200" s="283">
        <f>$B$6</f>
        <v/>
      </c>
      <c r="C200" s="283">
        <f>B200-D200</f>
        <v/>
      </c>
      <c r="D200" s="283">
        <f>E199*$B$4/12</f>
        <v/>
      </c>
      <c r="E200" s="283">
        <f>E199-C200</f>
        <v/>
      </c>
    </row>
    <row r="201" ht="15" customHeight="1" s="160">
      <c r="A201" s="281" t="n">
        <v>193</v>
      </c>
      <c r="B201" s="195">
        <f>$B$6</f>
        <v/>
      </c>
      <c r="C201" s="195">
        <f>B201-D201</f>
        <v/>
      </c>
      <c r="D201" s="195">
        <f>E200*$B$4/12</f>
        <v/>
      </c>
      <c r="E201" s="195">
        <f>E200-C201</f>
        <v/>
      </c>
    </row>
    <row r="202" ht="15" customHeight="1" s="160">
      <c r="A202" s="282" t="n">
        <v>194</v>
      </c>
      <c r="B202" s="283">
        <f>$B$6</f>
        <v/>
      </c>
      <c r="C202" s="283">
        <f>B202-D202</f>
        <v/>
      </c>
      <c r="D202" s="283">
        <f>E201*$B$4/12</f>
        <v/>
      </c>
      <c r="E202" s="283">
        <f>E201-C202</f>
        <v/>
      </c>
    </row>
    <row r="203" ht="15" customHeight="1" s="160">
      <c r="A203" s="281" t="n">
        <v>195</v>
      </c>
      <c r="B203" s="195">
        <f>$B$6</f>
        <v/>
      </c>
      <c r="C203" s="195">
        <f>B203-D203</f>
        <v/>
      </c>
      <c r="D203" s="195">
        <f>E202*$B$4/12</f>
        <v/>
      </c>
      <c r="E203" s="195">
        <f>E202-C203</f>
        <v/>
      </c>
    </row>
    <row r="204" ht="15" customHeight="1" s="160">
      <c r="A204" s="282" t="n">
        <v>196</v>
      </c>
      <c r="B204" s="283">
        <f>$B$6</f>
        <v/>
      </c>
      <c r="C204" s="283">
        <f>B204-D204</f>
        <v/>
      </c>
      <c r="D204" s="283">
        <f>E203*$B$4/12</f>
        <v/>
      </c>
      <c r="E204" s="283">
        <f>E203-C204</f>
        <v/>
      </c>
    </row>
    <row r="205" ht="15" customHeight="1" s="160">
      <c r="A205" s="281" t="n">
        <v>197</v>
      </c>
      <c r="B205" s="195">
        <f>$B$6</f>
        <v/>
      </c>
      <c r="C205" s="195">
        <f>B205-D205</f>
        <v/>
      </c>
      <c r="D205" s="195">
        <f>E204*$B$4/12</f>
        <v/>
      </c>
      <c r="E205" s="195">
        <f>E204-C205</f>
        <v/>
      </c>
    </row>
    <row r="206" ht="15" customHeight="1" s="160">
      <c r="A206" s="282" t="n">
        <v>198</v>
      </c>
      <c r="B206" s="283">
        <f>$B$6</f>
        <v/>
      </c>
      <c r="C206" s="283">
        <f>B206-D206</f>
        <v/>
      </c>
      <c r="D206" s="283">
        <f>E205*$B$4/12</f>
        <v/>
      </c>
      <c r="E206" s="283">
        <f>E205-C206</f>
        <v/>
      </c>
    </row>
    <row r="207" ht="15" customHeight="1" s="160">
      <c r="A207" s="281" t="n">
        <v>199</v>
      </c>
      <c r="B207" s="195">
        <f>$B$6</f>
        <v/>
      </c>
      <c r="C207" s="195">
        <f>B207-D207</f>
        <v/>
      </c>
      <c r="D207" s="195">
        <f>E206*$B$4/12</f>
        <v/>
      </c>
      <c r="E207" s="195">
        <f>E206-C207</f>
        <v/>
      </c>
    </row>
    <row r="208" ht="15" customHeight="1" s="160">
      <c r="A208" s="282" t="n">
        <v>200</v>
      </c>
      <c r="B208" s="283">
        <f>$B$6</f>
        <v/>
      </c>
      <c r="C208" s="283">
        <f>B208-D208</f>
        <v/>
      </c>
      <c r="D208" s="283">
        <f>E207*$B$4/12</f>
        <v/>
      </c>
      <c r="E208" s="283">
        <f>E207-C208</f>
        <v/>
      </c>
    </row>
    <row r="209" ht="15" customHeight="1" s="160">
      <c r="A209" s="281" t="n">
        <v>201</v>
      </c>
      <c r="B209" s="195">
        <f>$B$6</f>
        <v/>
      </c>
      <c r="C209" s="195">
        <f>B209-D209</f>
        <v/>
      </c>
      <c r="D209" s="195">
        <f>E208*$B$4/12</f>
        <v/>
      </c>
      <c r="E209" s="195">
        <f>E208-C209</f>
        <v/>
      </c>
    </row>
    <row r="210" ht="15" customHeight="1" s="160">
      <c r="A210" s="282" t="n">
        <v>202</v>
      </c>
      <c r="B210" s="283">
        <f>$B$6</f>
        <v/>
      </c>
      <c r="C210" s="283">
        <f>B210-D210</f>
        <v/>
      </c>
      <c r="D210" s="283">
        <f>E209*$B$4/12</f>
        <v/>
      </c>
      <c r="E210" s="283">
        <f>E209-C210</f>
        <v/>
      </c>
    </row>
    <row r="211" ht="15" customHeight="1" s="160">
      <c r="A211" s="281" t="n">
        <v>203</v>
      </c>
      <c r="B211" s="195">
        <f>$B$6</f>
        <v/>
      </c>
      <c r="C211" s="195">
        <f>B211-D211</f>
        <v/>
      </c>
      <c r="D211" s="195">
        <f>E210*$B$4/12</f>
        <v/>
      </c>
      <c r="E211" s="195">
        <f>E210-C211</f>
        <v/>
      </c>
    </row>
    <row r="212" ht="15" customHeight="1" s="160">
      <c r="A212" s="282" t="n">
        <v>204</v>
      </c>
      <c r="B212" s="283">
        <f>$B$6</f>
        <v/>
      </c>
      <c r="C212" s="283">
        <f>B212-D212</f>
        <v/>
      </c>
      <c r="D212" s="283">
        <f>E211*$B$4/12</f>
        <v/>
      </c>
      <c r="E212" s="283">
        <f>E211-C212</f>
        <v/>
      </c>
    </row>
    <row r="213" ht="15" customHeight="1" s="160">
      <c r="A213" s="281" t="n">
        <v>205</v>
      </c>
      <c r="B213" s="195">
        <f>$B$6</f>
        <v/>
      </c>
      <c r="C213" s="195">
        <f>B213-D213</f>
        <v/>
      </c>
      <c r="D213" s="195">
        <f>E212*$B$4/12</f>
        <v/>
      </c>
      <c r="E213" s="195">
        <f>E212-C213</f>
        <v/>
      </c>
    </row>
    <row r="214" ht="15" customHeight="1" s="160">
      <c r="A214" s="282" t="n">
        <v>206</v>
      </c>
      <c r="B214" s="283">
        <f>$B$6</f>
        <v/>
      </c>
      <c r="C214" s="283">
        <f>B214-D214</f>
        <v/>
      </c>
      <c r="D214" s="283">
        <f>E213*$B$4/12</f>
        <v/>
      </c>
      <c r="E214" s="283">
        <f>E213-C214</f>
        <v/>
      </c>
    </row>
    <row r="215" ht="15" customHeight="1" s="160">
      <c r="A215" s="281" t="n">
        <v>207</v>
      </c>
      <c r="B215" s="195">
        <f>$B$6</f>
        <v/>
      </c>
      <c r="C215" s="195">
        <f>B215-D215</f>
        <v/>
      </c>
      <c r="D215" s="195">
        <f>E214*$B$4/12</f>
        <v/>
      </c>
      <c r="E215" s="195">
        <f>E214-C215</f>
        <v/>
      </c>
    </row>
    <row r="216" ht="15" customHeight="1" s="160">
      <c r="A216" s="282" t="n">
        <v>208</v>
      </c>
      <c r="B216" s="283">
        <f>$B$6</f>
        <v/>
      </c>
      <c r="C216" s="283">
        <f>B216-D216</f>
        <v/>
      </c>
      <c r="D216" s="283">
        <f>E215*$B$4/12</f>
        <v/>
      </c>
      <c r="E216" s="283">
        <f>E215-C216</f>
        <v/>
      </c>
    </row>
    <row r="217" ht="15" customHeight="1" s="160">
      <c r="A217" s="281" t="n">
        <v>209</v>
      </c>
      <c r="B217" s="195">
        <f>$B$6</f>
        <v/>
      </c>
      <c r="C217" s="195">
        <f>B217-D217</f>
        <v/>
      </c>
      <c r="D217" s="195">
        <f>E216*$B$4/12</f>
        <v/>
      </c>
      <c r="E217" s="195">
        <f>E216-C217</f>
        <v/>
      </c>
    </row>
    <row r="218" ht="15" customHeight="1" s="160">
      <c r="A218" s="282" t="n">
        <v>210</v>
      </c>
      <c r="B218" s="283">
        <f>$B$6</f>
        <v/>
      </c>
      <c r="C218" s="283">
        <f>B218-D218</f>
        <v/>
      </c>
      <c r="D218" s="283">
        <f>E217*$B$4/12</f>
        <v/>
      </c>
      <c r="E218" s="283">
        <f>E217-C218</f>
        <v/>
      </c>
    </row>
    <row r="219" ht="15" customHeight="1" s="160">
      <c r="A219" s="281" t="n">
        <v>211</v>
      </c>
      <c r="B219" s="195">
        <f>$B$6</f>
        <v/>
      </c>
      <c r="C219" s="195">
        <f>B219-D219</f>
        <v/>
      </c>
      <c r="D219" s="195">
        <f>E218*$B$4/12</f>
        <v/>
      </c>
      <c r="E219" s="195">
        <f>E218-C219</f>
        <v/>
      </c>
    </row>
    <row r="220" ht="15" customHeight="1" s="160">
      <c r="A220" s="282" t="n">
        <v>212</v>
      </c>
      <c r="B220" s="283">
        <f>$B$6</f>
        <v/>
      </c>
      <c r="C220" s="283">
        <f>B220-D220</f>
        <v/>
      </c>
      <c r="D220" s="283">
        <f>E219*$B$4/12</f>
        <v/>
      </c>
      <c r="E220" s="283">
        <f>E219-C220</f>
        <v/>
      </c>
    </row>
    <row r="221" ht="15" customHeight="1" s="160">
      <c r="A221" s="281" t="n">
        <v>213</v>
      </c>
      <c r="B221" s="195">
        <f>$B$6</f>
        <v/>
      </c>
      <c r="C221" s="195">
        <f>B221-D221</f>
        <v/>
      </c>
      <c r="D221" s="195">
        <f>E220*$B$4/12</f>
        <v/>
      </c>
      <c r="E221" s="195">
        <f>E220-C221</f>
        <v/>
      </c>
    </row>
    <row r="222" ht="15" customHeight="1" s="160">
      <c r="A222" s="282" t="n">
        <v>214</v>
      </c>
      <c r="B222" s="283">
        <f>$B$6</f>
        <v/>
      </c>
      <c r="C222" s="283">
        <f>B222-D222</f>
        <v/>
      </c>
      <c r="D222" s="283">
        <f>E221*$B$4/12</f>
        <v/>
      </c>
      <c r="E222" s="283">
        <f>E221-C222</f>
        <v/>
      </c>
    </row>
    <row r="223" ht="15" customHeight="1" s="160">
      <c r="A223" s="281" t="n">
        <v>215</v>
      </c>
      <c r="B223" s="195">
        <f>$B$6</f>
        <v/>
      </c>
      <c r="C223" s="195">
        <f>B223-D223</f>
        <v/>
      </c>
      <c r="D223" s="195">
        <f>E222*$B$4/12</f>
        <v/>
      </c>
      <c r="E223" s="195">
        <f>E222-C223</f>
        <v/>
      </c>
    </row>
    <row r="224" ht="15" customHeight="1" s="160">
      <c r="A224" s="282" t="n">
        <v>216</v>
      </c>
      <c r="B224" s="283">
        <f>$B$6</f>
        <v/>
      </c>
      <c r="C224" s="283">
        <f>B224-D224</f>
        <v/>
      </c>
      <c r="D224" s="283">
        <f>E223*$B$4/12</f>
        <v/>
      </c>
      <c r="E224" s="283">
        <f>E223-C224</f>
        <v/>
      </c>
    </row>
    <row r="225" ht="15" customHeight="1" s="160">
      <c r="A225" s="281" t="n">
        <v>217</v>
      </c>
      <c r="B225" s="195">
        <f>$B$6</f>
        <v/>
      </c>
      <c r="C225" s="195">
        <f>B225-D225</f>
        <v/>
      </c>
      <c r="D225" s="195">
        <f>E224*$B$4/12</f>
        <v/>
      </c>
      <c r="E225" s="195">
        <f>E224-C225</f>
        <v/>
      </c>
    </row>
    <row r="226" ht="15" customHeight="1" s="160">
      <c r="A226" s="282" t="n">
        <v>218</v>
      </c>
      <c r="B226" s="283">
        <f>$B$6</f>
        <v/>
      </c>
      <c r="C226" s="283">
        <f>B226-D226</f>
        <v/>
      </c>
      <c r="D226" s="283">
        <f>E225*$B$4/12</f>
        <v/>
      </c>
      <c r="E226" s="283">
        <f>E225-C226</f>
        <v/>
      </c>
    </row>
    <row r="227" ht="15" customHeight="1" s="160">
      <c r="A227" s="281" t="n">
        <v>219</v>
      </c>
      <c r="B227" s="195">
        <f>$B$6</f>
        <v/>
      </c>
      <c r="C227" s="195">
        <f>B227-D227</f>
        <v/>
      </c>
      <c r="D227" s="195">
        <f>E226*$B$4/12</f>
        <v/>
      </c>
      <c r="E227" s="195">
        <f>E226-C227</f>
        <v/>
      </c>
    </row>
    <row r="228" ht="15" customHeight="1" s="160">
      <c r="A228" s="282" t="n">
        <v>220</v>
      </c>
      <c r="B228" s="283">
        <f>$B$6</f>
        <v/>
      </c>
      <c r="C228" s="283">
        <f>B228-D228</f>
        <v/>
      </c>
      <c r="D228" s="283">
        <f>E227*$B$4/12</f>
        <v/>
      </c>
      <c r="E228" s="283">
        <f>E227-C228</f>
        <v/>
      </c>
    </row>
    <row r="229" ht="15" customHeight="1" s="160">
      <c r="A229" s="281" t="n">
        <v>221</v>
      </c>
      <c r="B229" s="195">
        <f>$B$6</f>
        <v/>
      </c>
      <c r="C229" s="195">
        <f>B229-D229</f>
        <v/>
      </c>
      <c r="D229" s="195">
        <f>E228*$B$4/12</f>
        <v/>
      </c>
      <c r="E229" s="195">
        <f>E228-C229</f>
        <v/>
      </c>
    </row>
    <row r="230" ht="15" customHeight="1" s="160">
      <c r="A230" s="282" t="n">
        <v>222</v>
      </c>
      <c r="B230" s="283">
        <f>$B$6</f>
        <v/>
      </c>
      <c r="C230" s="283">
        <f>B230-D230</f>
        <v/>
      </c>
      <c r="D230" s="283">
        <f>E229*$B$4/12</f>
        <v/>
      </c>
      <c r="E230" s="283">
        <f>E229-C230</f>
        <v/>
      </c>
    </row>
    <row r="231" ht="15" customHeight="1" s="160">
      <c r="A231" s="281" t="n">
        <v>223</v>
      </c>
      <c r="B231" s="195">
        <f>$B$6</f>
        <v/>
      </c>
      <c r="C231" s="195">
        <f>B231-D231</f>
        <v/>
      </c>
      <c r="D231" s="195">
        <f>E230*$B$4/12</f>
        <v/>
      </c>
      <c r="E231" s="195">
        <f>E230-C231</f>
        <v/>
      </c>
    </row>
    <row r="232" ht="15" customHeight="1" s="160">
      <c r="A232" s="282" t="n">
        <v>224</v>
      </c>
      <c r="B232" s="283">
        <f>$B$6</f>
        <v/>
      </c>
      <c r="C232" s="283">
        <f>B232-D232</f>
        <v/>
      </c>
      <c r="D232" s="283">
        <f>E231*$B$4/12</f>
        <v/>
      </c>
      <c r="E232" s="283">
        <f>E231-C232</f>
        <v/>
      </c>
    </row>
    <row r="233" ht="15" customHeight="1" s="160">
      <c r="A233" s="281" t="n">
        <v>225</v>
      </c>
      <c r="B233" s="195">
        <f>$B$6</f>
        <v/>
      </c>
      <c r="C233" s="195">
        <f>B233-D233</f>
        <v/>
      </c>
      <c r="D233" s="195">
        <f>E232*$B$4/12</f>
        <v/>
      </c>
      <c r="E233" s="195">
        <f>E232-C233</f>
        <v/>
      </c>
    </row>
    <row r="234" ht="15" customHeight="1" s="160">
      <c r="A234" s="282" t="n">
        <v>226</v>
      </c>
      <c r="B234" s="283">
        <f>$B$6</f>
        <v/>
      </c>
      <c r="C234" s="283">
        <f>B234-D234</f>
        <v/>
      </c>
      <c r="D234" s="283">
        <f>E233*$B$4/12</f>
        <v/>
      </c>
      <c r="E234" s="283">
        <f>E233-C234</f>
        <v/>
      </c>
    </row>
    <row r="235" ht="15" customHeight="1" s="160">
      <c r="A235" s="281" t="n">
        <v>227</v>
      </c>
      <c r="B235" s="195">
        <f>$B$6</f>
        <v/>
      </c>
      <c r="C235" s="195">
        <f>B235-D235</f>
        <v/>
      </c>
      <c r="D235" s="195">
        <f>E234*$B$4/12</f>
        <v/>
      </c>
      <c r="E235" s="195">
        <f>E234-C235</f>
        <v/>
      </c>
    </row>
    <row r="236" ht="15" customHeight="1" s="160">
      <c r="A236" s="282" t="n">
        <v>228</v>
      </c>
      <c r="B236" s="283">
        <f>$B$6</f>
        <v/>
      </c>
      <c r="C236" s="283">
        <f>B236-D236</f>
        <v/>
      </c>
      <c r="D236" s="283">
        <f>E235*$B$4/12</f>
        <v/>
      </c>
      <c r="E236" s="283">
        <f>E235-C236</f>
        <v/>
      </c>
    </row>
    <row r="237" ht="15" customHeight="1" s="160">
      <c r="A237" s="281" t="n">
        <v>229</v>
      </c>
      <c r="B237" s="195">
        <f>$B$6</f>
        <v/>
      </c>
      <c r="C237" s="195">
        <f>B237-D237</f>
        <v/>
      </c>
      <c r="D237" s="195">
        <f>E236*$B$4/12</f>
        <v/>
      </c>
      <c r="E237" s="195">
        <f>E236-C237</f>
        <v/>
      </c>
    </row>
    <row r="238" ht="15" customHeight="1" s="160">
      <c r="A238" s="282" t="n">
        <v>230</v>
      </c>
      <c r="B238" s="283">
        <f>$B$6</f>
        <v/>
      </c>
      <c r="C238" s="283">
        <f>B238-D238</f>
        <v/>
      </c>
      <c r="D238" s="283">
        <f>E237*$B$4/12</f>
        <v/>
      </c>
      <c r="E238" s="283">
        <f>E237-C238</f>
        <v/>
      </c>
    </row>
    <row r="239" ht="15" customHeight="1" s="160">
      <c r="A239" s="281" t="n">
        <v>231</v>
      </c>
      <c r="B239" s="195">
        <f>$B$6</f>
        <v/>
      </c>
      <c r="C239" s="195">
        <f>B239-D239</f>
        <v/>
      </c>
      <c r="D239" s="195">
        <f>E238*$B$4/12</f>
        <v/>
      </c>
      <c r="E239" s="195">
        <f>E238-C239</f>
        <v/>
      </c>
    </row>
    <row r="240" ht="15" customHeight="1" s="160">
      <c r="A240" s="282" t="n">
        <v>232</v>
      </c>
      <c r="B240" s="283">
        <f>$B$6</f>
        <v/>
      </c>
      <c r="C240" s="283">
        <f>B240-D240</f>
        <v/>
      </c>
      <c r="D240" s="283">
        <f>E239*$B$4/12</f>
        <v/>
      </c>
      <c r="E240" s="283">
        <f>E239-C240</f>
        <v/>
      </c>
    </row>
    <row r="241" ht="15" customHeight="1" s="160">
      <c r="A241" s="281" t="n">
        <v>233</v>
      </c>
      <c r="B241" s="195">
        <f>$B$6</f>
        <v/>
      </c>
      <c r="C241" s="195">
        <f>B241-D241</f>
        <v/>
      </c>
      <c r="D241" s="195">
        <f>E240*$B$4/12</f>
        <v/>
      </c>
      <c r="E241" s="195">
        <f>E240-C241</f>
        <v/>
      </c>
    </row>
    <row r="242" ht="15" customHeight="1" s="160">
      <c r="A242" s="282" t="n">
        <v>234</v>
      </c>
      <c r="B242" s="283">
        <f>$B$6</f>
        <v/>
      </c>
      <c r="C242" s="283">
        <f>B242-D242</f>
        <v/>
      </c>
      <c r="D242" s="283">
        <f>E241*$B$4/12</f>
        <v/>
      </c>
      <c r="E242" s="283">
        <f>E241-C242</f>
        <v/>
      </c>
    </row>
    <row r="243" ht="15" customHeight="1" s="160">
      <c r="A243" s="281" t="n">
        <v>235</v>
      </c>
      <c r="B243" s="195">
        <f>$B$6</f>
        <v/>
      </c>
      <c r="C243" s="195">
        <f>B243-D243</f>
        <v/>
      </c>
      <c r="D243" s="195">
        <f>E242*$B$4/12</f>
        <v/>
      </c>
      <c r="E243" s="195">
        <f>E242-C243</f>
        <v/>
      </c>
    </row>
    <row r="244" ht="15" customHeight="1" s="160">
      <c r="A244" s="282" t="n">
        <v>236</v>
      </c>
      <c r="B244" s="283">
        <f>$B$6</f>
        <v/>
      </c>
      <c r="C244" s="283">
        <f>B244-D244</f>
        <v/>
      </c>
      <c r="D244" s="283">
        <f>E243*$B$4/12</f>
        <v/>
      </c>
      <c r="E244" s="283">
        <f>E243-C244</f>
        <v/>
      </c>
    </row>
    <row r="245" ht="15" customHeight="1" s="160">
      <c r="A245" s="281" t="n">
        <v>237</v>
      </c>
      <c r="B245" s="195">
        <f>$B$6</f>
        <v/>
      </c>
      <c r="C245" s="195">
        <f>B245-D245</f>
        <v/>
      </c>
      <c r="D245" s="195">
        <f>E244*$B$4/12</f>
        <v/>
      </c>
      <c r="E245" s="195">
        <f>E244-C245</f>
        <v/>
      </c>
    </row>
    <row r="246" ht="15" customHeight="1" s="160">
      <c r="A246" s="282" t="n">
        <v>238</v>
      </c>
      <c r="B246" s="283">
        <f>$B$6</f>
        <v/>
      </c>
      <c r="C246" s="283">
        <f>B246-D246</f>
        <v/>
      </c>
      <c r="D246" s="283">
        <f>E245*$B$4/12</f>
        <v/>
      </c>
      <c r="E246" s="283">
        <f>E245-C246</f>
        <v/>
      </c>
    </row>
    <row r="247" ht="15" customHeight="1" s="160">
      <c r="A247" s="281" t="n">
        <v>239</v>
      </c>
      <c r="B247" s="195">
        <f>$B$6</f>
        <v/>
      </c>
      <c r="C247" s="195">
        <f>B247-D247</f>
        <v/>
      </c>
      <c r="D247" s="195">
        <f>E246*$B$4/12</f>
        <v/>
      </c>
      <c r="E247" s="195">
        <f>E246-C247</f>
        <v/>
      </c>
    </row>
    <row r="248" ht="15" customHeight="1" s="160">
      <c r="A248" s="282" t="n">
        <v>240</v>
      </c>
      <c r="B248" s="283">
        <f>$B$6</f>
        <v/>
      </c>
      <c r="C248" s="283">
        <f>B248-D248</f>
        <v/>
      </c>
      <c r="D248" s="283">
        <f>E247*$B$4/12</f>
        <v/>
      </c>
      <c r="E248" s="283">
        <f>E247-C248</f>
        <v/>
      </c>
    </row>
    <row r="249" ht="15" customHeight="1" s="160">
      <c r="A249" s="281" t="n">
        <v>241</v>
      </c>
      <c r="B249" s="195">
        <f>$B$6</f>
        <v/>
      </c>
      <c r="C249" s="195">
        <f>B249-D249</f>
        <v/>
      </c>
      <c r="D249" s="195">
        <f>E248*$B$4/12</f>
        <v/>
      </c>
      <c r="E249" s="195">
        <f>E248-C249</f>
        <v/>
      </c>
    </row>
    <row r="250" ht="15" customHeight="1" s="160">
      <c r="A250" s="282" t="n">
        <v>242</v>
      </c>
      <c r="B250" s="283">
        <f>$B$6</f>
        <v/>
      </c>
      <c r="C250" s="283">
        <f>B250-D250</f>
        <v/>
      </c>
      <c r="D250" s="283">
        <f>E249*$B$4/12</f>
        <v/>
      </c>
      <c r="E250" s="283">
        <f>E249-C250</f>
        <v/>
      </c>
    </row>
    <row r="251" ht="15" customHeight="1" s="160">
      <c r="A251" s="281" t="n">
        <v>243</v>
      </c>
      <c r="B251" s="195">
        <f>$B$6</f>
        <v/>
      </c>
      <c r="C251" s="195">
        <f>B251-D251</f>
        <v/>
      </c>
      <c r="D251" s="195">
        <f>E250*$B$4/12</f>
        <v/>
      </c>
      <c r="E251" s="195">
        <f>E250-C251</f>
        <v/>
      </c>
    </row>
    <row r="252" ht="15" customHeight="1" s="160">
      <c r="A252" s="282" t="n">
        <v>244</v>
      </c>
      <c r="B252" s="283">
        <f>$B$6</f>
        <v/>
      </c>
      <c r="C252" s="283">
        <f>B252-D252</f>
        <v/>
      </c>
      <c r="D252" s="283">
        <f>E251*$B$4/12</f>
        <v/>
      </c>
      <c r="E252" s="283">
        <f>E251-C252</f>
        <v/>
      </c>
    </row>
    <row r="253" ht="15" customHeight="1" s="160">
      <c r="A253" s="281" t="n">
        <v>245</v>
      </c>
      <c r="B253" s="195">
        <f>$B$6</f>
        <v/>
      </c>
      <c r="C253" s="195">
        <f>B253-D253</f>
        <v/>
      </c>
      <c r="D253" s="195">
        <f>E252*$B$4/12</f>
        <v/>
      </c>
      <c r="E253" s="195">
        <f>E252-C253</f>
        <v/>
      </c>
    </row>
    <row r="254" ht="15" customHeight="1" s="160">
      <c r="A254" s="282" t="n">
        <v>246</v>
      </c>
      <c r="B254" s="283">
        <f>$B$6</f>
        <v/>
      </c>
      <c r="C254" s="283">
        <f>B254-D254</f>
        <v/>
      </c>
      <c r="D254" s="283">
        <f>E253*$B$4/12</f>
        <v/>
      </c>
      <c r="E254" s="283">
        <f>E253-C254</f>
        <v/>
      </c>
    </row>
    <row r="255" ht="15" customHeight="1" s="160">
      <c r="A255" s="281" t="n">
        <v>247</v>
      </c>
      <c r="B255" s="195">
        <f>$B$6</f>
        <v/>
      </c>
      <c r="C255" s="195">
        <f>B255-D255</f>
        <v/>
      </c>
      <c r="D255" s="195">
        <f>E254*$B$4/12</f>
        <v/>
      </c>
      <c r="E255" s="195">
        <f>E254-C255</f>
        <v/>
      </c>
    </row>
    <row r="256" ht="15" customHeight="1" s="160">
      <c r="A256" s="282" t="n">
        <v>248</v>
      </c>
      <c r="B256" s="283">
        <f>$B$6</f>
        <v/>
      </c>
      <c r="C256" s="283">
        <f>B256-D256</f>
        <v/>
      </c>
      <c r="D256" s="283">
        <f>E255*$B$4/12</f>
        <v/>
      </c>
      <c r="E256" s="283">
        <f>E255-C256</f>
        <v/>
      </c>
    </row>
    <row r="257" ht="15" customHeight="1" s="160">
      <c r="A257" s="281" t="n">
        <v>249</v>
      </c>
      <c r="B257" s="195">
        <f>$B$6</f>
        <v/>
      </c>
      <c r="C257" s="195">
        <f>B257-D257</f>
        <v/>
      </c>
      <c r="D257" s="195">
        <f>E256*$B$4/12</f>
        <v/>
      </c>
      <c r="E257" s="195">
        <f>E256-C257</f>
        <v/>
      </c>
    </row>
    <row r="258" ht="15" customHeight="1" s="160">
      <c r="A258" s="282" t="n">
        <v>250</v>
      </c>
      <c r="B258" s="283">
        <f>$B$6</f>
        <v/>
      </c>
      <c r="C258" s="283">
        <f>B258-D258</f>
        <v/>
      </c>
      <c r="D258" s="283">
        <f>E257*$B$4/12</f>
        <v/>
      </c>
      <c r="E258" s="283">
        <f>E257-C258</f>
        <v/>
      </c>
    </row>
    <row r="259" ht="15" customHeight="1" s="160">
      <c r="A259" s="281" t="n">
        <v>251</v>
      </c>
      <c r="B259" s="195">
        <f>$B$6</f>
        <v/>
      </c>
      <c r="C259" s="195">
        <f>B259-D259</f>
        <v/>
      </c>
      <c r="D259" s="195">
        <f>E258*$B$4/12</f>
        <v/>
      </c>
      <c r="E259" s="195">
        <f>E258-C259</f>
        <v/>
      </c>
    </row>
    <row r="260" ht="15" customHeight="1" s="160">
      <c r="A260" s="282" t="n">
        <v>252</v>
      </c>
      <c r="B260" s="283">
        <f>$B$6</f>
        <v/>
      </c>
      <c r="C260" s="283">
        <f>B260-D260</f>
        <v/>
      </c>
      <c r="D260" s="283">
        <f>E259*$B$4/12</f>
        <v/>
      </c>
      <c r="E260" s="283">
        <f>E259-C260</f>
        <v/>
      </c>
    </row>
    <row r="261" ht="15" customHeight="1" s="160">
      <c r="A261" s="281" t="n">
        <v>253</v>
      </c>
      <c r="B261" s="195">
        <f>$B$6</f>
        <v/>
      </c>
      <c r="C261" s="195">
        <f>B261-D261</f>
        <v/>
      </c>
      <c r="D261" s="195">
        <f>E260*$B$4/12</f>
        <v/>
      </c>
      <c r="E261" s="195">
        <f>E260-C261</f>
        <v/>
      </c>
    </row>
    <row r="262" ht="15" customHeight="1" s="160">
      <c r="A262" s="282" t="n">
        <v>254</v>
      </c>
      <c r="B262" s="283">
        <f>$B$6</f>
        <v/>
      </c>
      <c r="C262" s="283">
        <f>B262-D262</f>
        <v/>
      </c>
      <c r="D262" s="283">
        <f>E261*$B$4/12</f>
        <v/>
      </c>
      <c r="E262" s="283">
        <f>E261-C262</f>
        <v/>
      </c>
    </row>
    <row r="263" ht="15" customHeight="1" s="160">
      <c r="A263" s="281" t="n">
        <v>255</v>
      </c>
      <c r="B263" s="195">
        <f>$B$6</f>
        <v/>
      </c>
      <c r="C263" s="195">
        <f>B263-D263</f>
        <v/>
      </c>
      <c r="D263" s="195">
        <f>E262*$B$4/12</f>
        <v/>
      </c>
      <c r="E263" s="195">
        <f>E262-C263</f>
        <v/>
      </c>
    </row>
    <row r="264" ht="15" customHeight="1" s="160">
      <c r="A264" s="282" t="n">
        <v>256</v>
      </c>
      <c r="B264" s="283">
        <f>$B$6</f>
        <v/>
      </c>
      <c r="C264" s="283">
        <f>B264-D264</f>
        <v/>
      </c>
      <c r="D264" s="283">
        <f>E263*$B$4/12</f>
        <v/>
      </c>
      <c r="E264" s="283">
        <f>E263-C264</f>
        <v/>
      </c>
    </row>
    <row r="265" ht="15" customHeight="1" s="160">
      <c r="A265" s="281" t="n">
        <v>257</v>
      </c>
      <c r="B265" s="195">
        <f>$B$6</f>
        <v/>
      </c>
      <c r="C265" s="195">
        <f>B265-D265</f>
        <v/>
      </c>
      <c r="D265" s="195">
        <f>E264*$B$4/12</f>
        <v/>
      </c>
      <c r="E265" s="195">
        <f>E264-C265</f>
        <v/>
      </c>
    </row>
    <row r="266" ht="15" customHeight="1" s="160">
      <c r="A266" s="282" t="n">
        <v>258</v>
      </c>
      <c r="B266" s="283">
        <f>$B$6</f>
        <v/>
      </c>
      <c r="C266" s="283">
        <f>B266-D266</f>
        <v/>
      </c>
      <c r="D266" s="283">
        <f>E265*$B$4/12</f>
        <v/>
      </c>
      <c r="E266" s="283">
        <f>E265-C266</f>
        <v/>
      </c>
    </row>
    <row r="267" ht="15" customHeight="1" s="160">
      <c r="A267" s="281" t="n">
        <v>259</v>
      </c>
      <c r="B267" s="195">
        <f>$B$6</f>
        <v/>
      </c>
      <c r="C267" s="195">
        <f>B267-D267</f>
        <v/>
      </c>
      <c r="D267" s="195">
        <f>E266*$B$4/12</f>
        <v/>
      </c>
      <c r="E267" s="195">
        <f>E266-C267</f>
        <v/>
      </c>
    </row>
    <row r="268" ht="15" customHeight="1" s="160">
      <c r="A268" s="282" t="n">
        <v>260</v>
      </c>
      <c r="B268" s="283">
        <f>$B$6</f>
        <v/>
      </c>
      <c r="C268" s="283">
        <f>B268-D268</f>
        <v/>
      </c>
      <c r="D268" s="283">
        <f>E267*$B$4/12</f>
        <v/>
      </c>
      <c r="E268" s="283">
        <f>E267-C268</f>
        <v/>
      </c>
    </row>
    <row r="269" ht="15" customHeight="1" s="160">
      <c r="A269" s="281" t="n">
        <v>261</v>
      </c>
      <c r="B269" s="195">
        <f>$B$6</f>
        <v/>
      </c>
      <c r="C269" s="195">
        <f>B269-D269</f>
        <v/>
      </c>
      <c r="D269" s="195">
        <f>E268*$B$4/12</f>
        <v/>
      </c>
      <c r="E269" s="195">
        <f>E268-C269</f>
        <v/>
      </c>
    </row>
    <row r="270" ht="15" customHeight="1" s="160">
      <c r="A270" s="282" t="n">
        <v>262</v>
      </c>
      <c r="B270" s="283">
        <f>$B$6</f>
        <v/>
      </c>
      <c r="C270" s="283">
        <f>B270-D270</f>
        <v/>
      </c>
      <c r="D270" s="283">
        <f>E269*$B$4/12</f>
        <v/>
      </c>
      <c r="E270" s="283">
        <f>E269-C270</f>
        <v/>
      </c>
    </row>
    <row r="271" ht="15" customHeight="1" s="160">
      <c r="A271" s="281" t="n">
        <v>263</v>
      </c>
      <c r="B271" s="195">
        <f>$B$6</f>
        <v/>
      </c>
      <c r="C271" s="195">
        <f>B271-D271</f>
        <v/>
      </c>
      <c r="D271" s="195">
        <f>E270*$B$4/12</f>
        <v/>
      </c>
      <c r="E271" s="195">
        <f>E270-C271</f>
        <v/>
      </c>
    </row>
    <row r="272" ht="15" customHeight="1" s="160">
      <c r="A272" s="282" t="n">
        <v>264</v>
      </c>
      <c r="B272" s="283">
        <f>$B$6</f>
        <v/>
      </c>
      <c r="C272" s="283">
        <f>B272-D272</f>
        <v/>
      </c>
      <c r="D272" s="283">
        <f>E271*$B$4/12</f>
        <v/>
      </c>
      <c r="E272" s="283">
        <f>E271-C272</f>
        <v/>
      </c>
    </row>
    <row r="273" ht="15" customHeight="1" s="160">
      <c r="A273" s="281" t="n">
        <v>265</v>
      </c>
      <c r="B273" s="195">
        <f>$B$6</f>
        <v/>
      </c>
      <c r="C273" s="195">
        <f>B273-D273</f>
        <v/>
      </c>
      <c r="D273" s="195">
        <f>E272*$B$4/12</f>
        <v/>
      </c>
      <c r="E273" s="195">
        <f>E272-C273</f>
        <v/>
      </c>
    </row>
    <row r="274" ht="15" customHeight="1" s="160">
      <c r="A274" s="282" t="n">
        <v>266</v>
      </c>
      <c r="B274" s="283">
        <f>$B$6</f>
        <v/>
      </c>
      <c r="C274" s="283">
        <f>B274-D274</f>
        <v/>
      </c>
      <c r="D274" s="283">
        <f>E273*$B$4/12</f>
        <v/>
      </c>
      <c r="E274" s="283">
        <f>E273-C274</f>
        <v/>
      </c>
    </row>
    <row r="275" ht="15" customHeight="1" s="160">
      <c r="A275" s="281" t="n">
        <v>267</v>
      </c>
      <c r="B275" s="195">
        <f>$B$6</f>
        <v/>
      </c>
      <c r="C275" s="195">
        <f>B275-D275</f>
        <v/>
      </c>
      <c r="D275" s="195">
        <f>E274*$B$4/12</f>
        <v/>
      </c>
      <c r="E275" s="195">
        <f>E274-C275</f>
        <v/>
      </c>
    </row>
    <row r="276" ht="15" customHeight="1" s="160">
      <c r="A276" s="282" t="n">
        <v>268</v>
      </c>
      <c r="B276" s="283">
        <f>$B$6</f>
        <v/>
      </c>
      <c r="C276" s="283">
        <f>B276-D276</f>
        <v/>
      </c>
      <c r="D276" s="283">
        <f>E275*$B$4/12</f>
        <v/>
      </c>
      <c r="E276" s="283">
        <f>E275-C276</f>
        <v/>
      </c>
    </row>
    <row r="277" ht="15" customHeight="1" s="160">
      <c r="A277" s="281" t="n">
        <v>269</v>
      </c>
      <c r="B277" s="195">
        <f>$B$6</f>
        <v/>
      </c>
      <c r="C277" s="195">
        <f>B277-D277</f>
        <v/>
      </c>
      <c r="D277" s="195">
        <f>E276*$B$4/12</f>
        <v/>
      </c>
      <c r="E277" s="195">
        <f>E276-C277</f>
        <v/>
      </c>
    </row>
    <row r="278" ht="15" customHeight="1" s="160">
      <c r="A278" s="282" t="n">
        <v>270</v>
      </c>
      <c r="B278" s="283">
        <f>$B$6</f>
        <v/>
      </c>
      <c r="C278" s="283">
        <f>B278-D278</f>
        <v/>
      </c>
      <c r="D278" s="283">
        <f>E277*$B$4/12</f>
        <v/>
      </c>
      <c r="E278" s="283">
        <f>E277-C278</f>
        <v/>
      </c>
    </row>
    <row r="279" ht="15" customHeight="1" s="160">
      <c r="A279" s="281" t="n">
        <v>271</v>
      </c>
      <c r="B279" s="195">
        <f>$B$6</f>
        <v/>
      </c>
      <c r="C279" s="195">
        <f>B279-D279</f>
        <v/>
      </c>
      <c r="D279" s="195">
        <f>E278*$B$4/12</f>
        <v/>
      </c>
      <c r="E279" s="195">
        <f>E278-C279</f>
        <v/>
      </c>
    </row>
    <row r="280" ht="15" customHeight="1" s="160">
      <c r="A280" s="282" t="n">
        <v>272</v>
      </c>
      <c r="B280" s="283">
        <f>$B$6</f>
        <v/>
      </c>
      <c r="C280" s="283">
        <f>B280-D280</f>
        <v/>
      </c>
      <c r="D280" s="283">
        <f>E279*$B$4/12</f>
        <v/>
      </c>
      <c r="E280" s="283">
        <f>E279-C280</f>
        <v/>
      </c>
    </row>
    <row r="281" ht="15" customHeight="1" s="160">
      <c r="A281" s="281" t="n">
        <v>273</v>
      </c>
      <c r="B281" s="195">
        <f>$B$6</f>
        <v/>
      </c>
      <c r="C281" s="195">
        <f>B281-D281</f>
        <v/>
      </c>
      <c r="D281" s="195">
        <f>E280*$B$4/12</f>
        <v/>
      </c>
      <c r="E281" s="195">
        <f>E280-C281</f>
        <v/>
      </c>
    </row>
    <row r="282" ht="15" customHeight="1" s="160">
      <c r="A282" s="282" t="n">
        <v>274</v>
      </c>
      <c r="B282" s="283">
        <f>$B$6</f>
        <v/>
      </c>
      <c r="C282" s="283">
        <f>B282-D282</f>
        <v/>
      </c>
      <c r="D282" s="283">
        <f>E281*$B$4/12</f>
        <v/>
      </c>
      <c r="E282" s="283">
        <f>E281-C282</f>
        <v/>
      </c>
    </row>
    <row r="283" ht="15" customHeight="1" s="160">
      <c r="A283" s="281" t="n">
        <v>275</v>
      </c>
      <c r="B283" s="195">
        <f>$B$6</f>
        <v/>
      </c>
      <c r="C283" s="195">
        <f>B283-D283</f>
        <v/>
      </c>
      <c r="D283" s="195">
        <f>E282*$B$4/12</f>
        <v/>
      </c>
      <c r="E283" s="195">
        <f>E282-C283</f>
        <v/>
      </c>
    </row>
    <row r="284" ht="15" customHeight="1" s="160">
      <c r="A284" s="282" t="n">
        <v>276</v>
      </c>
      <c r="B284" s="283">
        <f>$B$6</f>
        <v/>
      </c>
      <c r="C284" s="283">
        <f>B284-D284</f>
        <v/>
      </c>
      <c r="D284" s="283">
        <f>E283*$B$4/12</f>
        <v/>
      </c>
      <c r="E284" s="283">
        <f>E283-C284</f>
        <v/>
      </c>
    </row>
    <row r="285" ht="15" customHeight="1" s="160">
      <c r="A285" s="281" t="n">
        <v>277</v>
      </c>
      <c r="B285" s="195">
        <f>$B$6</f>
        <v/>
      </c>
      <c r="C285" s="195">
        <f>B285-D285</f>
        <v/>
      </c>
      <c r="D285" s="195">
        <f>E284*$B$4/12</f>
        <v/>
      </c>
      <c r="E285" s="195">
        <f>E284-C285</f>
        <v/>
      </c>
    </row>
    <row r="286" ht="15" customHeight="1" s="160">
      <c r="A286" s="282" t="n">
        <v>278</v>
      </c>
      <c r="B286" s="283">
        <f>$B$6</f>
        <v/>
      </c>
      <c r="C286" s="283">
        <f>B286-D286</f>
        <v/>
      </c>
      <c r="D286" s="283">
        <f>E285*$B$4/12</f>
        <v/>
      </c>
      <c r="E286" s="283">
        <f>E285-C286</f>
        <v/>
      </c>
    </row>
    <row r="287" ht="15" customHeight="1" s="160">
      <c r="A287" s="281" t="n">
        <v>279</v>
      </c>
      <c r="B287" s="195">
        <f>$B$6</f>
        <v/>
      </c>
      <c r="C287" s="195">
        <f>B287-D287</f>
        <v/>
      </c>
      <c r="D287" s="195">
        <f>E286*$B$4/12</f>
        <v/>
      </c>
      <c r="E287" s="195">
        <f>E286-C287</f>
        <v/>
      </c>
    </row>
    <row r="288" ht="15" customHeight="1" s="160">
      <c r="A288" s="282" t="n">
        <v>280</v>
      </c>
      <c r="B288" s="283">
        <f>$B$6</f>
        <v/>
      </c>
      <c r="C288" s="283">
        <f>B288-D288</f>
        <v/>
      </c>
      <c r="D288" s="283">
        <f>E287*$B$4/12</f>
        <v/>
      </c>
      <c r="E288" s="283">
        <f>E287-C288</f>
        <v/>
      </c>
    </row>
    <row r="289" ht="15" customHeight="1" s="160">
      <c r="A289" s="281" t="n">
        <v>281</v>
      </c>
      <c r="B289" s="195">
        <f>$B$6</f>
        <v/>
      </c>
      <c r="C289" s="195">
        <f>B289-D289</f>
        <v/>
      </c>
      <c r="D289" s="195">
        <f>E288*$B$4/12</f>
        <v/>
      </c>
      <c r="E289" s="195">
        <f>E288-C289</f>
        <v/>
      </c>
    </row>
    <row r="290" ht="15" customHeight="1" s="160">
      <c r="A290" s="282" t="n">
        <v>282</v>
      </c>
      <c r="B290" s="283">
        <f>$B$6</f>
        <v/>
      </c>
      <c r="C290" s="283">
        <f>B290-D290</f>
        <v/>
      </c>
      <c r="D290" s="283">
        <f>E289*$B$4/12</f>
        <v/>
      </c>
      <c r="E290" s="283">
        <f>E289-C290</f>
        <v/>
      </c>
    </row>
    <row r="291" ht="15" customHeight="1" s="160">
      <c r="A291" s="281" t="n">
        <v>283</v>
      </c>
      <c r="B291" s="195">
        <f>$B$6</f>
        <v/>
      </c>
      <c r="C291" s="195">
        <f>B291-D291</f>
        <v/>
      </c>
      <c r="D291" s="195">
        <f>E290*$B$4/12</f>
        <v/>
      </c>
      <c r="E291" s="195">
        <f>E290-C291</f>
        <v/>
      </c>
    </row>
    <row r="292" ht="15" customHeight="1" s="160">
      <c r="A292" s="282" t="n">
        <v>284</v>
      </c>
      <c r="B292" s="283">
        <f>$B$6</f>
        <v/>
      </c>
      <c r="C292" s="283">
        <f>B292-D292</f>
        <v/>
      </c>
      <c r="D292" s="283">
        <f>E291*$B$4/12</f>
        <v/>
      </c>
      <c r="E292" s="283">
        <f>E291-C292</f>
        <v/>
      </c>
    </row>
    <row r="293" ht="15" customHeight="1" s="160">
      <c r="A293" s="281" t="n">
        <v>285</v>
      </c>
      <c r="B293" s="195">
        <f>$B$6</f>
        <v/>
      </c>
      <c r="C293" s="195">
        <f>B293-D293</f>
        <v/>
      </c>
      <c r="D293" s="195">
        <f>E292*$B$4/12</f>
        <v/>
      </c>
      <c r="E293" s="195">
        <f>E292-C293</f>
        <v/>
      </c>
    </row>
    <row r="294" ht="15" customHeight="1" s="160">
      <c r="A294" s="282" t="n">
        <v>286</v>
      </c>
      <c r="B294" s="283">
        <f>$B$6</f>
        <v/>
      </c>
      <c r="C294" s="283">
        <f>B294-D294</f>
        <v/>
      </c>
      <c r="D294" s="283">
        <f>E293*$B$4/12</f>
        <v/>
      </c>
      <c r="E294" s="283">
        <f>E293-C294</f>
        <v/>
      </c>
    </row>
    <row r="295" ht="15" customHeight="1" s="160">
      <c r="A295" s="281" t="n">
        <v>287</v>
      </c>
      <c r="B295" s="195">
        <f>$B$6</f>
        <v/>
      </c>
      <c r="C295" s="195">
        <f>B295-D295</f>
        <v/>
      </c>
      <c r="D295" s="195">
        <f>E294*$B$4/12</f>
        <v/>
      </c>
      <c r="E295" s="195">
        <f>E294-C295</f>
        <v/>
      </c>
    </row>
    <row r="296" ht="15" customHeight="1" s="160">
      <c r="A296" s="282" t="n">
        <v>288</v>
      </c>
      <c r="B296" s="283">
        <f>$B$6</f>
        <v/>
      </c>
      <c r="C296" s="283">
        <f>B296-D296</f>
        <v/>
      </c>
      <c r="D296" s="283">
        <f>E295*$B$4/12</f>
        <v/>
      </c>
      <c r="E296" s="283">
        <f>E295-C296</f>
        <v/>
      </c>
    </row>
    <row r="297" ht="15" customHeight="1" s="160">
      <c r="A297" s="281" t="n">
        <v>289</v>
      </c>
      <c r="B297" s="195">
        <f>$B$6</f>
        <v/>
      </c>
      <c r="C297" s="195">
        <f>B297-D297</f>
        <v/>
      </c>
      <c r="D297" s="195">
        <f>E296*$B$4/12</f>
        <v/>
      </c>
      <c r="E297" s="195">
        <f>E296-C297</f>
        <v/>
      </c>
    </row>
    <row r="298" ht="15" customHeight="1" s="160">
      <c r="A298" s="282" t="n">
        <v>290</v>
      </c>
      <c r="B298" s="283">
        <f>$B$6</f>
        <v/>
      </c>
      <c r="C298" s="283">
        <f>B298-D298</f>
        <v/>
      </c>
      <c r="D298" s="283">
        <f>E297*$B$4/12</f>
        <v/>
      </c>
      <c r="E298" s="283">
        <f>E297-C298</f>
        <v/>
      </c>
    </row>
    <row r="299" ht="15" customHeight="1" s="160">
      <c r="A299" s="281" t="n">
        <v>291</v>
      </c>
      <c r="B299" s="195">
        <f>$B$6</f>
        <v/>
      </c>
      <c r="C299" s="195">
        <f>B299-D299</f>
        <v/>
      </c>
      <c r="D299" s="195">
        <f>E298*$B$4/12</f>
        <v/>
      </c>
      <c r="E299" s="195">
        <f>E298-C299</f>
        <v/>
      </c>
    </row>
    <row r="300" ht="15" customHeight="1" s="160">
      <c r="A300" s="282" t="n">
        <v>292</v>
      </c>
      <c r="B300" s="283">
        <f>$B$6</f>
        <v/>
      </c>
      <c r="C300" s="283">
        <f>B300-D300</f>
        <v/>
      </c>
      <c r="D300" s="283">
        <f>E299*$B$4/12</f>
        <v/>
      </c>
      <c r="E300" s="283">
        <f>E299-C300</f>
        <v/>
      </c>
    </row>
    <row r="301" ht="15" customHeight="1" s="160">
      <c r="A301" s="281" t="n">
        <v>293</v>
      </c>
      <c r="B301" s="195">
        <f>$B$6</f>
        <v/>
      </c>
      <c r="C301" s="195">
        <f>B301-D301</f>
        <v/>
      </c>
      <c r="D301" s="195">
        <f>E300*$B$4/12</f>
        <v/>
      </c>
      <c r="E301" s="195">
        <f>E300-C301</f>
        <v/>
      </c>
    </row>
    <row r="302" ht="15" customHeight="1" s="160">
      <c r="A302" s="282" t="n">
        <v>294</v>
      </c>
      <c r="B302" s="283">
        <f>$B$6</f>
        <v/>
      </c>
      <c r="C302" s="283">
        <f>B302-D302</f>
        <v/>
      </c>
      <c r="D302" s="283">
        <f>E301*$B$4/12</f>
        <v/>
      </c>
      <c r="E302" s="283">
        <f>E301-C302</f>
        <v/>
      </c>
    </row>
    <row r="303" ht="15" customHeight="1" s="160">
      <c r="A303" s="281" t="n">
        <v>295</v>
      </c>
      <c r="B303" s="195">
        <f>$B$6</f>
        <v/>
      </c>
      <c r="C303" s="195">
        <f>B303-D303</f>
        <v/>
      </c>
      <c r="D303" s="195">
        <f>E302*$B$4/12</f>
        <v/>
      </c>
      <c r="E303" s="195">
        <f>E302-C303</f>
        <v/>
      </c>
    </row>
    <row r="304" ht="15" customHeight="1" s="160">
      <c r="A304" s="282" t="n">
        <v>296</v>
      </c>
      <c r="B304" s="283">
        <f>$B$6</f>
        <v/>
      </c>
      <c r="C304" s="283">
        <f>B304-D304</f>
        <v/>
      </c>
      <c r="D304" s="283">
        <f>E303*$B$4/12</f>
        <v/>
      </c>
      <c r="E304" s="283">
        <f>E303-C304</f>
        <v/>
      </c>
    </row>
    <row r="305" ht="15" customHeight="1" s="160">
      <c r="A305" s="281" t="n">
        <v>297</v>
      </c>
      <c r="B305" s="195">
        <f>$B$6</f>
        <v/>
      </c>
      <c r="C305" s="195">
        <f>B305-D305</f>
        <v/>
      </c>
      <c r="D305" s="195">
        <f>E304*$B$4/12</f>
        <v/>
      </c>
      <c r="E305" s="195">
        <f>E304-C305</f>
        <v/>
      </c>
    </row>
    <row r="306" ht="15" customHeight="1" s="160">
      <c r="A306" s="282" t="n">
        <v>298</v>
      </c>
      <c r="B306" s="283">
        <f>$B$6</f>
        <v/>
      </c>
      <c r="C306" s="283">
        <f>B306-D306</f>
        <v/>
      </c>
      <c r="D306" s="283">
        <f>E305*$B$4/12</f>
        <v/>
      </c>
      <c r="E306" s="283">
        <f>E305-C306</f>
        <v/>
      </c>
    </row>
    <row r="307" ht="15" customHeight="1" s="160">
      <c r="A307" s="281" t="n">
        <v>299</v>
      </c>
      <c r="B307" s="195">
        <f>$B$6</f>
        <v/>
      </c>
      <c r="C307" s="195">
        <f>B307-D307</f>
        <v/>
      </c>
      <c r="D307" s="195">
        <f>E306*$B$4/12</f>
        <v/>
      </c>
      <c r="E307" s="195">
        <f>E306-C307</f>
        <v/>
      </c>
    </row>
    <row r="308" ht="15" customHeight="1" s="160">
      <c r="A308" s="282" t="n">
        <v>300</v>
      </c>
      <c r="B308" s="283">
        <f>$B$6</f>
        <v/>
      </c>
      <c r="C308" s="283">
        <f>B308-D308</f>
        <v/>
      </c>
      <c r="D308" s="283">
        <f>E307*$B$4/12</f>
        <v/>
      </c>
      <c r="E308" s="283">
        <f>E307-C308</f>
        <v/>
      </c>
    </row>
    <row r="309" ht="15" customHeight="1" s="160">
      <c r="A309" s="281" t="n">
        <v>301</v>
      </c>
      <c r="B309" s="195">
        <f>$B$6</f>
        <v/>
      </c>
      <c r="C309" s="195">
        <f>B309-D309</f>
        <v/>
      </c>
      <c r="D309" s="195">
        <f>E308*$B$4/12</f>
        <v/>
      </c>
      <c r="E309" s="195">
        <f>E308-C309</f>
        <v/>
      </c>
    </row>
    <row r="310" ht="15" customHeight="1" s="160">
      <c r="A310" s="282" t="n">
        <v>302</v>
      </c>
      <c r="B310" s="283">
        <f>$B$6</f>
        <v/>
      </c>
      <c r="C310" s="283">
        <f>B310-D310</f>
        <v/>
      </c>
      <c r="D310" s="283">
        <f>E309*$B$4/12</f>
        <v/>
      </c>
      <c r="E310" s="283">
        <f>E309-C310</f>
        <v/>
      </c>
    </row>
    <row r="311" ht="15" customHeight="1" s="160">
      <c r="A311" s="281" t="n">
        <v>303</v>
      </c>
      <c r="B311" s="195">
        <f>$B$6</f>
        <v/>
      </c>
      <c r="C311" s="195">
        <f>B311-D311</f>
        <v/>
      </c>
      <c r="D311" s="195">
        <f>E310*$B$4/12</f>
        <v/>
      </c>
      <c r="E311" s="195">
        <f>E310-C311</f>
        <v/>
      </c>
    </row>
    <row r="312" ht="15" customHeight="1" s="160">
      <c r="A312" s="282" t="n">
        <v>304</v>
      </c>
      <c r="B312" s="283">
        <f>$B$6</f>
        <v/>
      </c>
      <c r="C312" s="283">
        <f>B312-D312</f>
        <v/>
      </c>
      <c r="D312" s="283">
        <f>E311*$B$4/12</f>
        <v/>
      </c>
      <c r="E312" s="283">
        <f>E311-C312</f>
        <v/>
      </c>
    </row>
    <row r="313" ht="15" customHeight="1" s="160">
      <c r="A313" s="281" t="n">
        <v>305</v>
      </c>
      <c r="B313" s="195">
        <f>$B$6</f>
        <v/>
      </c>
      <c r="C313" s="195">
        <f>B313-D313</f>
        <v/>
      </c>
      <c r="D313" s="195">
        <f>E312*$B$4/12</f>
        <v/>
      </c>
      <c r="E313" s="195">
        <f>E312-C313</f>
        <v/>
      </c>
    </row>
    <row r="314" ht="15" customHeight="1" s="160">
      <c r="A314" s="282" t="n">
        <v>306</v>
      </c>
      <c r="B314" s="283">
        <f>$B$6</f>
        <v/>
      </c>
      <c r="C314" s="283">
        <f>B314-D314</f>
        <v/>
      </c>
      <c r="D314" s="283">
        <f>E313*$B$4/12</f>
        <v/>
      </c>
      <c r="E314" s="283">
        <f>E313-C314</f>
        <v/>
      </c>
    </row>
    <row r="315" ht="15" customHeight="1" s="160">
      <c r="A315" s="281" t="n">
        <v>307</v>
      </c>
      <c r="B315" s="195">
        <f>$B$6</f>
        <v/>
      </c>
      <c r="C315" s="195">
        <f>B315-D315</f>
        <v/>
      </c>
      <c r="D315" s="195">
        <f>E314*$B$4/12</f>
        <v/>
      </c>
      <c r="E315" s="195">
        <f>E314-C315</f>
        <v/>
      </c>
    </row>
    <row r="316" ht="15" customHeight="1" s="160">
      <c r="A316" s="282" t="n">
        <v>308</v>
      </c>
      <c r="B316" s="283">
        <f>$B$6</f>
        <v/>
      </c>
      <c r="C316" s="283">
        <f>B316-D316</f>
        <v/>
      </c>
      <c r="D316" s="283">
        <f>E315*$B$4/12</f>
        <v/>
      </c>
      <c r="E316" s="283">
        <f>E315-C316</f>
        <v/>
      </c>
    </row>
    <row r="317" ht="15" customHeight="1" s="160">
      <c r="A317" s="281" t="n">
        <v>309</v>
      </c>
      <c r="B317" s="195">
        <f>$B$6</f>
        <v/>
      </c>
      <c r="C317" s="195">
        <f>B317-D317</f>
        <v/>
      </c>
      <c r="D317" s="195">
        <f>E316*$B$4/12</f>
        <v/>
      </c>
      <c r="E317" s="195">
        <f>E316-C317</f>
        <v/>
      </c>
    </row>
    <row r="318" ht="15" customHeight="1" s="160">
      <c r="A318" s="282" t="n">
        <v>310</v>
      </c>
      <c r="B318" s="283">
        <f>$B$6</f>
        <v/>
      </c>
      <c r="C318" s="283">
        <f>B318-D318</f>
        <v/>
      </c>
      <c r="D318" s="283">
        <f>E317*$B$4/12</f>
        <v/>
      </c>
      <c r="E318" s="283">
        <f>E317-C318</f>
        <v/>
      </c>
    </row>
    <row r="319" ht="15" customHeight="1" s="160">
      <c r="A319" s="281" t="n">
        <v>311</v>
      </c>
      <c r="B319" s="195">
        <f>$B$6</f>
        <v/>
      </c>
      <c r="C319" s="195">
        <f>B319-D319</f>
        <v/>
      </c>
      <c r="D319" s="195">
        <f>E318*$B$4/12</f>
        <v/>
      </c>
      <c r="E319" s="195">
        <f>E318-C319</f>
        <v/>
      </c>
    </row>
    <row r="320" ht="15" customHeight="1" s="160">
      <c r="A320" s="282" t="n">
        <v>312</v>
      </c>
      <c r="B320" s="283">
        <f>$B$6</f>
        <v/>
      </c>
      <c r="C320" s="283">
        <f>B320-D320</f>
        <v/>
      </c>
      <c r="D320" s="283">
        <f>E319*$B$4/12</f>
        <v/>
      </c>
      <c r="E320" s="283">
        <f>E319-C320</f>
        <v/>
      </c>
    </row>
    <row r="321" ht="15" customHeight="1" s="160">
      <c r="A321" s="281" t="n">
        <v>313</v>
      </c>
      <c r="B321" s="195">
        <f>$B$6</f>
        <v/>
      </c>
      <c r="C321" s="195">
        <f>B321-D321</f>
        <v/>
      </c>
      <c r="D321" s="195">
        <f>E320*$B$4/12</f>
        <v/>
      </c>
      <c r="E321" s="195">
        <f>E320-C321</f>
        <v/>
      </c>
    </row>
    <row r="322" ht="15" customHeight="1" s="160">
      <c r="A322" s="282" t="n">
        <v>314</v>
      </c>
      <c r="B322" s="283">
        <f>$B$6</f>
        <v/>
      </c>
      <c r="C322" s="283">
        <f>B322-D322</f>
        <v/>
      </c>
      <c r="D322" s="283">
        <f>E321*$B$4/12</f>
        <v/>
      </c>
      <c r="E322" s="283">
        <f>E321-C322</f>
        <v/>
      </c>
    </row>
    <row r="323" ht="15" customHeight="1" s="160">
      <c r="A323" s="281" t="n">
        <v>315</v>
      </c>
      <c r="B323" s="195">
        <f>$B$6</f>
        <v/>
      </c>
      <c r="C323" s="195">
        <f>B323-D323</f>
        <v/>
      </c>
      <c r="D323" s="195">
        <f>E322*$B$4/12</f>
        <v/>
      </c>
      <c r="E323" s="195">
        <f>E322-C323</f>
        <v/>
      </c>
    </row>
    <row r="324" ht="15" customHeight="1" s="160">
      <c r="A324" s="282" t="n">
        <v>316</v>
      </c>
      <c r="B324" s="283">
        <f>$B$6</f>
        <v/>
      </c>
      <c r="C324" s="283">
        <f>B324-D324</f>
        <v/>
      </c>
      <c r="D324" s="283">
        <f>E323*$B$4/12</f>
        <v/>
      </c>
      <c r="E324" s="283">
        <f>E323-C324</f>
        <v/>
      </c>
    </row>
    <row r="325" ht="15" customHeight="1" s="160">
      <c r="A325" s="281" t="n">
        <v>317</v>
      </c>
      <c r="B325" s="195">
        <f>$B$6</f>
        <v/>
      </c>
      <c r="C325" s="195">
        <f>B325-D325</f>
        <v/>
      </c>
      <c r="D325" s="195">
        <f>E324*$B$4/12</f>
        <v/>
      </c>
      <c r="E325" s="195">
        <f>E324-C325</f>
        <v/>
      </c>
    </row>
    <row r="326" ht="15" customHeight="1" s="160">
      <c r="A326" s="282" t="n">
        <v>318</v>
      </c>
      <c r="B326" s="283">
        <f>$B$6</f>
        <v/>
      </c>
      <c r="C326" s="283">
        <f>B326-D326</f>
        <v/>
      </c>
      <c r="D326" s="283">
        <f>E325*$B$4/12</f>
        <v/>
      </c>
      <c r="E326" s="283">
        <f>E325-C326</f>
        <v/>
      </c>
    </row>
    <row r="327" ht="15" customHeight="1" s="160">
      <c r="A327" s="281" t="n">
        <v>319</v>
      </c>
      <c r="B327" s="195">
        <f>$B$6</f>
        <v/>
      </c>
      <c r="C327" s="195">
        <f>B327-D327</f>
        <v/>
      </c>
      <c r="D327" s="195">
        <f>E326*$B$4/12</f>
        <v/>
      </c>
      <c r="E327" s="195">
        <f>E326-C327</f>
        <v/>
      </c>
    </row>
    <row r="328" ht="15" customHeight="1" s="160">
      <c r="A328" s="282" t="n">
        <v>320</v>
      </c>
      <c r="B328" s="283">
        <f>$B$6</f>
        <v/>
      </c>
      <c r="C328" s="283">
        <f>B328-D328</f>
        <v/>
      </c>
      <c r="D328" s="283">
        <f>E327*$B$4/12</f>
        <v/>
      </c>
      <c r="E328" s="283">
        <f>E327-C328</f>
        <v/>
      </c>
    </row>
    <row r="329" ht="15" customHeight="1" s="160">
      <c r="A329" s="281" t="n">
        <v>321</v>
      </c>
      <c r="B329" s="195">
        <f>$B$6</f>
        <v/>
      </c>
      <c r="C329" s="195">
        <f>B329-D329</f>
        <v/>
      </c>
      <c r="D329" s="195">
        <f>E328*$B$4/12</f>
        <v/>
      </c>
      <c r="E329" s="195">
        <f>E328-C329</f>
        <v/>
      </c>
    </row>
    <row r="330" ht="15" customHeight="1" s="160">
      <c r="A330" s="282" t="n">
        <v>322</v>
      </c>
      <c r="B330" s="283">
        <f>$B$6</f>
        <v/>
      </c>
      <c r="C330" s="283">
        <f>B330-D330</f>
        <v/>
      </c>
      <c r="D330" s="283">
        <f>E329*$B$4/12</f>
        <v/>
      </c>
      <c r="E330" s="283">
        <f>E329-C330</f>
        <v/>
      </c>
    </row>
    <row r="331" ht="15" customHeight="1" s="160">
      <c r="A331" s="281" t="n">
        <v>323</v>
      </c>
      <c r="B331" s="195">
        <f>$B$6</f>
        <v/>
      </c>
      <c r="C331" s="195">
        <f>B331-D331</f>
        <v/>
      </c>
      <c r="D331" s="195">
        <f>E330*$B$4/12</f>
        <v/>
      </c>
      <c r="E331" s="195">
        <f>E330-C331</f>
        <v/>
      </c>
    </row>
    <row r="332" ht="15" customHeight="1" s="160">
      <c r="A332" s="282" t="n">
        <v>324</v>
      </c>
      <c r="B332" s="283">
        <f>$B$6</f>
        <v/>
      </c>
      <c r="C332" s="283">
        <f>B332-D332</f>
        <v/>
      </c>
      <c r="D332" s="283">
        <f>E331*$B$4/12</f>
        <v/>
      </c>
      <c r="E332" s="283">
        <f>E331-C332</f>
        <v/>
      </c>
    </row>
    <row r="333" ht="15" customHeight="1" s="160">
      <c r="A333" s="281" t="n">
        <v>325</v>
      </c>
      <c r="B333" s="195">
        <f>$B$6</f>
        <v/>
      </c>
      <c r="C333" s="195">
        <f>B333-D333</f>
        <v/>
      </c>
      <c r="D333" s="195">
        <f>E332*$B$4/12</f>
        <v/>
      </c>
      <c r="E333" s="195">
        <f>E332-C333</f>
        <v/>
      </c>
    </row>
    <row r="334" ht="15" customHeight="1" s="160">
      <c r="A334" s="282" t="n">
        <v>326</v>
      </c>
      <c r="B334" s="283">
        <f>$B$6</f>
        <v/>
      </c>
      <c r="C334" s="283">
        <f>B334-D334</f>
        <v/>
      </c>
      <c r="D334" s="283">
        <f>E333*$B$4/12</f>
        <v/>
      </c>
      <c r="E334" s="283">
        <f>E333-C334</f>
        <v/>
      </c>
    </row>
    <row r="335" ht="15" customHeight="1" s="160">
      <c r="A335" s="281" t="n">
        <v>327</v>
      </c>
      <c r="B335" s="195">
        <f>$B$6</f>
        <v/>
      </c>
      <c r="C335" s="195">
        <f>B335-D335</f>
        <v/>
      </c>
      <c r="D335" s="195">
        <f>E334*$B$4/12</f>
        <v/>
      </c>
      <c r="E335" s="195">
        <f>E334-C335</f>
        <v/>
      </c>
    </row>
    <row r="336" ht="15" customHeight="1" s="160">
      <c r="A336" s="282" t="n">
        <v>328</v>
      </c>
      <c r="B336" s="283">
        <f>$B$6</f>
        <v/>
      </c>
      <c r="C336" s="283">
        <f>B336-D336</f>
        <v/>
      </c>
      <c r="D336" s="283">
        <f>E335*$B$4/12</f>
        <v/>
      </c>
      <c r="E336" s="283">
        <f>E335-C336</f>
        <v/>
      </c>
    </row>
    <row r="337" ht="15" customHeight="1" s="160">
      <c r="A337" s="281" t="n">
        <v>329</v>
      </c>
      <c r="B337" s="195">
        <f>$B$6</f>
        <v/>
      </c>
      <c r="C337" s="195">
        <f>B337-D337</f>
        <v/>
      </c>
      <c r="D337" s="195">
        <f>E336*$B$4/12</f>
        <v/>
      </c>
      <c r="E337" s="195">
        <f>E336-C337</f>
        <v/>
      </c>
    </row>
    <row r="338" ht="15" customHeight="1" s="160">
      <c r="A338" s="282" t="n">
        <v>330</v>
      </c>
      <c r="B338" s="283">
        <f>$B$6</f>
        <v/>
      </c>
      <c r="C338" s="283">
        <f>B338-D338</f>
        <v/>
      </c>
      <c r="D338" s="283">
        <f>E337*$B$4/12</f>
        <v/>
      </c>
      <c r="E338" s="283">
        <f>E337-C338</f>
        <v/>
      </c>
    </row>
    <row r="339" ht="15" customHeight="1" s="160">
      <c r="A339" s="281" t="n">
        <v>331</v>
      </c>
      <c r="B339" s="195">
        <f>$B$6</f>
        <v/>
      </c>
      <c r="C339" s="195">
        <f>B339-D339</f>
        <v/>
      </c>
      <c r="D339" s="195">
        <f>E338*$B$4/12</f>
        <v/>
      </c>
      <c r="E339" s="195">
        <f>E338-C339</f>
        <v/>
      </c>
    </row>
    <row r="340" ht="15" customHeight="1" s="160">
      <c r="A340" s="282" t="n">
        <v>332</v>
      </c>
      <c r="B340" s="283">
        <f>$B$6</f>
        <v/>
      </c>
      <c r="C340" s="283">
        <f>B340-D340</f>
        <v/>
      </c>
      <c r="D340" s="283">
        <f>E339*$B$4/12</f>
        <v/>
      </c>
      <c r="E340" s="283">
        <f>E339-C340</f>
        <v/>
      </c>
    </row>
    <row r="341" ht="15" customHeight="1" s="160">
      <c r="A341" s="281" t="n">
        <v>333</v>
      </c>
      <c r="B341" s="195">
        <f>$B$6</f>
        <v/>
      </c>
      <c r="C341" s="195">
        <f>B341-D341</f>
        <v/>
      </c>
      <c r="D341" s="195">
        <f>E340*$B$4/12</f>
        <v/>
      </c>
      <c r="E341" s="195">
        <f>E340-C341</f>
        <v/>
      </c>
    </row>
    <row r="342" ht="15" customHeight="1" s="160">
      <c r="A342" s="282" t="n">
        <v>334</v>
      </c>
      <c r="B342" s="283">
        <f>$B$6</f>
        <v/>
      </c>
      <c r="C342" s="283">
        <f>B342-D342</f>
        <v/>
      </c>
      <c r="D342" s="283">
        <f>E341*$B$4/12</f>
        <v/>
      </c>
      <c r="E342" s="283">
        <f>E341-C342</f>
        <v/>
      </c>
    </row>
    <row r="343" ht="15" customHeight="1" s="160">
      <c r="A343" s="281" t="n">
        <v>335</v>
      </c>
      <c r="B343" s="195">
        <f>$B$6</f>
        <v/>
      </c>
      <c r="C343" s="195">
        <f>B343-D343</f>
        <v/>
      </c>
      <c r="D343" s="195">
        <f>E342*$B$4/12</f>
        <v/>
      </c>
      <c r="E343" s="195">
        <f>E342-C343</f>
        <v/>
      </c>
    </row>
    <row r="344" ht="15" customHeight="1" s="160">
      <c r="A344" s="282" t="n">
        <v>336</v>
      </c>
      <c r="B344" s="283">
        <f>$B$6</f>
        <v/>
      </c>
      <c r="C344" s="283">
        <f>B344-D344</f>
        <v/>
      </c>
      <c r="D344" s="283">
        <f>E343*$B$4/12</f>
        <v/>
      </c>
      <c r="E344" s="283">
        <f>E343-C344</f>
        <v/>
      </c>
    </row>
    <row r="345" ht="15" customHeight="1" s="160">
      <c r="A345" s="281" t="n">
        <v>337</v>
      </c>
      <c r="B345" s="195">
        <f>$B$6</f>
        <v/>
      </c>
      <c r="C345" s="195">
        <f>B345-D345</f>
        <v/>
      </c>
      <c r="D345" s="195">
        <f>E344*$B$4/12</f>
        <v/>
      </c>
      <c r="E345" s="195">
        <f>E344-C345</f>
        <v/>
      </c>
    </row>
    <row r="346" ht="15" customHeight="1" s="160">
      <c r="A346" s="282" t="n">
        <v>338</v>
      </c>
      <c r="B346" s="283">
        <f>$B$6</f>
        <v/>
      </c>
      <c r="C346" s="283">
        <f>B346-D346</f>
        <v/>
      </c>
      <c r="D346" s="283">
        <f>E345*$B$4/12</f>
        <v/>
      </c>
      <c r="E346" s="283">
        <f>E345-C346</f>
        <v/>
      </c>
    </row>
    <row r="347" ht="15" customHeight="1" s="160">
      <c r="A347" s="281" t="n">
        <v>339</v>
      </c>
      <c r="B347" s="195">
        <f>$B$6</f>
        <v/>
      </c>
      <c r="C347" s="195">
        <f>B347-D347</f>
        <v/>
      </c>
      <c r="D347" s="195">
        <f>E346*$B$4/12</f>
        <v/>
      </c>
      <c r="E347" s="195">
        <f>E346-C347</f>
        <v/>
      </c>
    </row>
    <row r="348" ht="15" customHeight="1" s="160">
      <c r="A348" s="282" t="n">
        <v>340</v>
      </c>
      <c r="B348" s="283">
        <f>$B$6</f>
        <v/>
      </c>
      <c r="C348" s="283">
        <f>B348-D348</f>
        <v/>
      </c>
      <c r="D348" s="283">
        <f>E347*$B$4/12</f>
        <v/>
      </c>
      <c r="E348" s="283">
        <f>E347-C348</f>
        <v/>
      </c>
    </row>
    <row r="349" ht="15" customHeight="1" s="160">
      <c r="A349" s="281" t="n">
        <v>341</v>
      </c>
      <c r="B349" s="195">
        <f>$B$6</f>
        <v/>
      </c>
      <c r="C349" s="195">
        <f>B349-D349</f>
        <v/>
      </c>
      <c r="D349" s="195">
        <f>E348*$B$4/12</f>
        <v/>
      </c>
      <c r="E349" s="195">
        <f>E348-C349</f>
        <v/>
      </c>
    </row>
    <row r="350" ht="15" customHeight="1" s="160">
      <c r="A350" s="282" t="n">
        <v>342</v>
      </c>
      <c r="B350" s="283">
        <f>$B$6</f>
        <v/>
      </c>
      <c r="C350" s="283">
        <f>B350-D350</f>
        <v/>
      </c>
      <c r="D350" s="283">
        <f>E349*$B$4/12</f>
        <v/>
      </c>
      <c r="E350" s="283">
        <f>E349-C350</f>
        <v/>
      </c>
    </row>
    <row r="351" ht="15" customHeight="1" s="160">
      <c r="A351" s="281" t="n">
        <v>343</v>
      </c>
      <c r="B351" s="195">
        <f>$B$6</f>
        <v/>
      </c>
      <c r="C351" s="195">
        <f>B351-D351</f>
        <v/>
      </c>
      <c r="D351" s="195">
        <f>E350*$B$4/12</f>
        <v/>
      </c>
      <c r="E351" s="195">
        <f>E350-C351</f>
        <v/>
      </c>
    </row>
    <row r="352" ht="15" customHeight="1" s="160">
      <c r="A352" s="282" t="n">
        <v>344</v>
      </c>
      <c r="B352" s="283">
        <f>$B$6</f>
        <v/>
      </c>
      <c r="C352" s="283">
        <f>B352-D352</f>
        <v/>
      </c>
      <c r="D352" s="283">
        <f>E351*$B$4/12</f>
        <v/>
      </c>
      <c r="E352" s="283">
        <f>E351-C352</f>
        <v/>
      </c>
    </row>
    <row r="353" ht="15" customHeight="1" s="160">
      <c r="A353" s="281" t="n">
        <v>345</v>
      </c>
      <c r="B353" s="195">
        <f>$B$6</f>
        <v/>
      </c>
      <c r="C353" s="195">
        <f>B353-D353</f>
        <v/>
      </c>
      <c r="D353" s="195">
        <f>E352*$B$4/12</f>
        <v/>
      </c>
      <c r="E353" s="195">
        <f>E352-C353</f>
        <v/>
      </c>
    </row>
    <row r="354" ht="15" customHeight="1" s="160">
      <c r="A354" s="282" t="n">
        <v>346</v>
      </c>
      <c r="B354" s="283">
        <f>$B$6</f>
        <v/>
      </c>
      <c r="C354" s="283">
        <f>B354-D354</f>
        <v/>
      </c>
      <c r="D354" s="283">
        <f>E353*$B$4/12</f>
        <v/>
      </c>
      <c r="E354" s="283">
        <f>E353-C354</f>
        <v/>
      </c>
    </row>
    <row r="355" ht="15" customHeight="1" s="160">
      <c r="A355" s="281" t="n">
        <v>347</v>
      </c>
      <c r="B355" s="195">
        <f>$B$6</f>
        <v/>
      </c>
      <c r="C355" s="195">
        <f>B355-D355</f>
        <v/>
      </c>
      <c r="D355" s="195">
        <f>E354*$B$4/12</f>
        <v/>
      </c>
      <c r="E355" s="195">
        <f>E354-C355</f>
        <v/>
      </c>
    </row>
    <row r="356" ht="15" customHeight="1" s="160">
      <c r="A356" s="282" t="n">
        <v>348</v>
      </c>
      <c r="B356" s="283">
        <f>$B$6</f>
        <v/>
      </c>
      <c r="C356" s="283">
        <f>B356-D356</f>
        <v/>
      </c>
      <c r="D356" s="283">
        <f>E355*$B$4/12</f>
        <v/>
      </c>
      <c r="E356" s="283">
        <f>E355-C356</f>
        <v/>
      </c>
    </row>
    <row r="357" ht="15" customHeight="1" s="160">
      <c r="A357" s="281" t="n">
        <v>349</v>
      </c>
      <c r="B357" s="195">
        <f>$B$6</f>
        <v/>
      </c>
      <c r="C357" s="195">
        <f>B357-D357</f>
        <v/>
      </c>
      <c r="D357" s="195">
        <f>E356*$B$4/12</f>
        <v/>
      </c>
      <c r="E357" s="195">
        <f>E356-C357</f>
        <v/>
      </c>
    </row>
    <row r="358" ht="15" customHeight="1" s="160">
      <c r="A358" s="282" t="n">
        <v>350</v>
      </c>
      <c r="B358" s="283">
        <f>$B$6</f>
        <v/>
      </c>
      <c r="C358" s="283">
        <f>B358-D358</f>
        <v/>
      </c>
      <c r="D358" s="283">
        <f>E357*$B$4/12</f>
        <v/>
      </c>
      <c r="E358" s="283">
        <f>E357-C358</f>
        <v/>
      </c>
    </row>
    <row r="359" ht="15" customHeight="1" s="160">
      <c r="A359" s="281" t="n">
        <v>351</v>
      </c>
      <c r="B359" s="195">
        <f>$B$6</f>
        <v/>
      </c>
      <c r="C359" s="195">
        <f>B359-D359</f>
        <v/>
      </c>
      <c r="D359" s="195">
        <f>E358*$B$4/12</f>
        <v/>
      </c>
      <c r="E359" s="195">
        <f>E358-C359</f>
        <v/>
      </c>
    </row>
    <row r="360" ht="15" customHeight="1" s="160">
      <c r="A360" s="282" t="n">
        <v>352</v>
      </c>
      <c r="B360" s="283">
        <f>$B$6</f>
        <v/>
      </c>
      <c r="C360" s="283">
        <f>B360-D360</f>
        <v/>
      </c>
      <c r="D360" s="283">
        <f>E359*$B$4/12</f>
        <v/>
      </c>
      <c r="E360" s="283">
        <f>E359-C360</f>
        <v/>
      </c>
    </row>
    <row r="361" ht="15" customHeight="1" s="160">
      <c r="A361" s="281" t="n">
        <v>353</v>
      </c>
      <c r="B361" s="195">
        <f>$B$6</f>
        <v/>
      </c>
      <c r="C361" s="195">
        <f>B361-D361</f>
        <v/>
      </c>
      <c r="D361" s="195">
        <f>E360*$B$4/12</f>
        <v/>
      </c>
      <c r="E361" s="195">
        <f>E360-C361</f>
        <v/>
      </c>
    </row>
    <row r="362" ht="15" customHeight="1" s="160">
      <c r="A362" s="282" t="n">
        <v>354</v>
      </c>
      <c r="B362" s="283">
        <f>$B$6</f>
        <v/>
      </c>
      <c r="C362" s="283">
        <f>B362-D362</f>
        <v/>
      </c>
      <c r="D362" s="283">
        <f>E361*$B$4/12</f>
        <v/>
      </c>
      <c r="E362" s="283">
        <f>E361-C362</f>
        <v/>
      </c>
    </row>
    <row r="363" ht="15" customHeight="1" s="160">
      <c r="A363" s="281" t="n">
        <v>355</v>
      </c>
      <c r="B363" s="195">
        <f>$B$6</f>
        <v/>
      </c>
      <c r="C363" s="195">
        <f>B363-D363</f>
        <v/>
      </c>
      <c r="D363" s="195">
        <f>E362*$B$4/12</f>
        <v/>
      </c>
      <c r="E363" s="195">
        <f>E362-C363</f>
        <v/>
      </c>
    </row>
    <row r="364" ht="15" customHeight="1" s="160">
      <c r="A364" s="282" t="n">
        <v>356</v>
      </c>
      <c r="B364" s="283">
        <f>$B$6</f>
        <v/>
      </c>
      <c r="C364" s="283">
        <f>B364-D364</f>
        <v/>
      </c>
      <c r="D364" s="283">
        <f>E363*$B$4/12</f>
        <v/>
      </c>
      <c r="E364" s="283">
        <f>E363-C364</f>
        <v/>
      </c>
    </row>
    <row r="365" ht="15" customHeight="1" s="160">
      <c r="A365" s="281" t="n">
        <v>357</v>
      </c>
      <c r="B365" s="195">
        <f>$B$6</f>
        <v/>
      </c>
      <c r="C365" s="195">
        <f>B365-D365</f>
        <v/>
      </c>
      <c r="D365" s="195">
        <f>E364*$B$4/12</f>
        <v/>
      </c>
      <c r="E365" s="195">
        <f>E364-C365</f>
        <v/>
      </c>
    </row>
    <row r="366" ht="15" customHeight="1" s="160">
      <c r="A366" s="282" t="n">
        <v>358</v>
      </c>
      <c r="B366" s="283">
        <f>$B$6</f>
        <v/>
      </c>
      <c r="C366" s="283">
        <f>B366-D366</f>
        <v/>
      </c>
      <c r="D366" s="283">
        <f>E365*$B$4/12</f>
        <v/>
      </c>
      <c r="E366" s="283">
        <f>E365-C366</f>
        <v/>
      </c>
    </row>
    <row r="367" ht="15" customHeight="1" s="160">
      <c r="A367" s="281" t="n">
        <v>359</v>
      </c>
      <c r="B367" s="195">
        <f>$B$6</f>
        <v/>
      </c>
      <c r="C367" s="195">
        <f>B367-D367</f>
        <v/>
      </c>
      <c r="D367" s="195">
        <f>E366*$B$4/12</f>
        <v/>
      </c>
      <c r="E367" s="195">
        <f>E366-C367</f>
        <v/>
      </c>
    </row>
    <row r="368" ht="15" customHeight="1" s="160">
      <c r="A368" s="282" t="n">
        <v>360</v>
      </c>
      <c r="B368" s="283">
        <f>$B$6</f>
        <v/>
      </c>
      <c r="C368" s="283">
        <f>B368-D368</f>
        <v/>
      </c>
      <c r="D368" s="283">
        <f>E367*$B$4/12</f>
        <v/>
      </c>
      <c r="E368" s="283">
        <f>E367-C368</f>
        <v/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3E6844"/>
    <outlinePr summaryBelow="1" summaryRight="1"/>
    <pageSetUpPr fitToPage="0"/>
  </sheetPr>
  <dimension ref="A1:B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59" min="1" max="1"/>
    <col width="22" customWidth="1" style="159" min="2" max="2"/>
  </cols>
  <sheetData>
    <row r="1" ht="19.5" customHeight="1" s="160">
      <c r="A1" s="218" t="inlineStr">
        <is>
          <t>EXIT / DISPOSITION</t>
        </is>
      </c>
    </row>
    <row r="2" ht="15" customHeight="1" s="160">
      <c r="A2" s="161" t="n"/>
      <c r="B2" s="161" t="n"/>
    </row>
    <row r="3" ht="15" customHeight="1" s="160">
      <c r="A3" s="169" t="inlineStr">
        <is>
          <t>Disposition Calculation</t>
        </is>
      </c>
    </row>
    <row r="4" ht="15" customHeight="1" s="160">
      <c r="A4" s="166" t="inlineStr">
        <is>
          <t>Hold Period</t>
        </is>
      </c>
      <c r="B4" s="275">
        <f>Assumptions!C14</f>
        <v/>
      </c>
    </row>
    <row r="5" ht="15" customHeight="1" s="160">
      <c r="A5" s="166" t="inlineStr">
        <is>
          <t>Exit Year NOI</t>
        </is>
      </c>
      <c r="B5" s="222">
        <f>'Pro Forma'!K49</f>
        <v/>
      </c>
    </row>
    <row r="6" ht="15" customHeight="1" s="160">
      <c r="A6" s="166" t="inlineStr">
        <is>
          <t>Exit Cap Rate</t>
        </is>
      </c>
      <c r="B6" s="277">
        <f>Assumptions!C193</f>
        <v/>
      </c>
    </row>
    <row r="7" ht="15" customHeight="1" s="160">
      <c r="A7" s="166" t="inlineStr">
        <is>
          <t>Gross Sale Price</t>
        </is>
      </c>
      <c r="B7" s="194">
        <f>IF(B6&gt;0,B5/B6,0)</f>
        <v/>
      </c>
    </row>
    <row r="8" ht="15" customHeight="1" s="160">
      <c r="A8" s="166" t="inlineStr">
        <is>
          <t>Disposition Costs (%)</t>
        </is>
      </c>
      <c r="B8" s="276">
        <f>Assumptions!C194</f>
        <v/>
      </c>
    </row>
    <row r="9" ht="15" customHeight="1" s="160">
      <c r="A9" s="166" t="inlineStr">
        <is>
          <t>Disposition Costs ($)</t>
        </is>
      </c>
      <c r="B9" s="194">
        <f>B7*B8</f>
        <v/>
      </c>
    </row>
    <row r="10" ht="15" customHeight="1" s="160">
      <c r="A10" s="258" t="inlineStr">
        <is>
          <t>Net Sale Price</t>
        </is>
      </c>
      <c r="B10" s="269">
        <f>B7-B9</f>
        <v/>
      </c>
    </row>
    <row r="11" ht="15" customHeight="1" s="160">
      <c r="A11" s="161" t="n"/>
      <c r="B11" s="161" t="n"/>
    </row>
    <row r="12" ht="15" customHeight="1" s="160">
      <c r="A12" s="169" t="inlineStr">
        <is>
          <t>Loan Payoff</t>
        </is>
      </c>
    </row>
    <row r="13" ht="15" customHeight="1" s="160">
      <c r="A13" s="166" t="inlineStr">
        <is>
          <t>Outstanding Loan Balance</t>
        </is>
      </c>
      <c r="B13" s="222">
        <f>IF(Assumptions!C121=1,'Amort - Refi 3'!E128,IF(Assumptions!C108=1,'Amort - Refi 2'!E128,IF(Assumptions!C95=1,'Amort - Refi 1'!E128,'Amort - Initial'!E128)))</f>
        <v/>
      </c>
    </row>
    <row r="14" ht="15" customHeight="1" s="160">
      <c r="A14" s="264" t="inlineStr">
        <is>
          <t>Net Proceeds After Payoff</t>
        </is>
      </c>
      <c r="B14" s="203">
        <f>B10-B13</f>
        <v/>
      </c>
    </row>
    <row r="15" ht="15" customHeight="1" s="160">
      <c r="A15" s="161" t="n"/>
      <c r="B15" s="161" t="n"/>
    </row>
    <row r="16" ht="15" customHeight="1" s="160">
      <c r="A16" s="169" t="inlineStr">
        <is>
          <t>Return Summary</t>
        </is>
      </c>
    </row>
    <row r="17" ht="15" customHeight="1" s="160">
      <c r="A17" s="166" t="inlineStr">
        <is>
          <t>Total Equity</t>
        </is>
      </c>
      <c r="B17" s="222">
        <f>Assumptions!C91</f>
        <v/>
      </c>
    </row>
    <row r="18" ht="15" customHeight="1" s="160">
      <c r="A18" s="166" t="inlineStr">
        <is>
          <t>Total Operating CF</t>
        </is>
      </c>
      <c r="B18" s="222">
        <f>SUM('Pro Forma'!B63:K62)</f>
        <v/>
      </c>
    </row>
    <row r="19" ht="15" customHeight="1" s="160">
      <c r="A19" s="166" t="inlineStr">
        <is>
          <t>Total Refi Proceeds</t>
        </is>
      </c>
      <c r="B19" s="222">
        <f>'Refi Analysis'!B22+'Refi Analysis'!C22+'Refi Analysis'!D22</f>
        <v/>
      </c>
    </row>
    <row r="20" ht="15" customHeight="1" s="160">
      <c r="A20" s="166" t="inlineStr">
        <is>
          <t>Net Exit Proceeds</t>
        </is>
      </c>
      <c r="B20" s="222">
        <f>B14</f>
        <v/>
      </c>
    </row>
    <row r="21" ht="15" customHeight="1" s="160">
      <c r="A21" s="268" t="inlineStr">
        <is>
          <t>Total Return ($)</t>
        </is>
      </c>
      <c r="B21" s="193">
        <f>B18+B19+B20</f>
        <v/>
      </c>
    </row>
    <row r="22" ht="15" customHeight="1" s="160">
      <c r="A22" s="161" t="n"/>
      <c r="B22" s="161" t="n"/>
    </row>
    <row r="23" ht="17.25" customHeight="1" s="160">
      <c r="A23" s="284" t="inlineStr">
        <is>
          <t>EQUITY MULTIPLE</t>
        </is>
      </c>
      <c r="B23" s="285">
        <f>IF(B17&gt;0,B21/B17,0)</f>
        <v/>
      </c>
    </row>
  </sheetData>
  <mergeCells count="4">
    <mergeCell ref="A3:B3"/>
    <mergeCell ref="A16:B16"/>
    <mergeCell ref="A1:B1"/>
    <mergeCell ref="A12:B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FF3E6844"/>
    <outlinePr summaryBelow="1" summaryRight="1"/>
    <pageSetUpPr fitToPage="0"/>
  </sheetPr>
  <dimension ref="A1:P1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6" ySplit="3" topLeftCell="G4" activePane="bottomRight" state="frozen"/>
      <selection pane="topLeft" activeCell="A1" activeCellId="0" sqref="A1"/>
      <selection pane="topRight" activeCell="G1" activeCellId="0" sqref="G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159" min="1" max="1"/>
    <col width="44" customWidth="1" style="159" min="2" max="2"/>
    <col width="14" customWidth="1" style="159" min="3" max="3"/>
    <col width="16" customWidth="1" style="159" min="4" max="4"/>
    <col width="14" customWidth="1" style="159" min="5" max="5"/>
    <col width="16" customWidth="1" style="159" min="6" max="16"/>
  </cols>
  <sheetData>
    <row r="1" ht="39.75" customHeight="1" s="160">
      <c r="A1" s="236" t="n"/>
      <c r="B1" s="180" t="inlineStr">
        <is>
          <t>CASH WATERFALL</t>
        </is>
      </c>
    </row>
    <row r="2" ht="15" customHeight="1" s="160">
      <c r="A2" s="236" t="n"/>
      <c r="B2" s="241" t="inlineStr">
        <is>
          <t>All inputs from Assumptions tab. Distributes at every capital event.</t>
        </is>
      </c>
    </row>
    <row r="3" ht="15" customHeight="1" s="160">
      <c r="A3" s="161" t="n"/>
      <c r="B3" s="161" t="n"/>
      <c r="C3" s="161" t="n"/>
      <c r="D3" s="161" t="n"/>
      <c r="E3" s="161" t="n"/>
      <c r="F3" s="161" t="n"/>
      <c r="G3" s="161" t="n"/>
      <c r="H3" s="161" t="n"/>
      <c r="I3" s="161" t="n"/>
      <c r="J3" s="161" t="n"/>
      <c r="K3" s="161" t="n"/>
      <c r="L3" s="161" t="n"/>
      <c r="M3" s="161" t="n"/>
      <c r="N3" s="161" t="n"/>
      <c r="O3" s="161" t="n"/>
      <c r="P3" s="161" t="n"/>
    </row>
    <row r="4" ht="27.75" customHeight="1" s="160">
      <c r="A4" s="236" t="n"/>
      <c r="B4" s="286" t="inlineStr">
        <is>
          <t>PARTNERSHIP STRUCTURE</t>
        </is>
      </c>
      <c r="F4" s="219" t="inlineStr">
        <is>
          <t>Year 0</t>
        </is>
      </c>
      <c r="G4" s="219" t="n">
        <v>1</v>
      </c>
      <c r="H4" s="219" t="n">
        <v>2</v>
      </c>
      <c r="I4" s="219" t="n">
        <v>3</v>
      </c>
      <c r="J4" s="219" t="n">
        <v>4</v>
      </c>
      <c r="K4" s="219" t="n">
        <v>5</v>
      </c>
      <c r="L4" s="219" t="n">
        <v>6</v>
      </c>
      <c r="M4" s="219" t="n">
        <v>7</v>
      </c>
      <c r="N4" s="219" t="n">
        <v>8</v>
      </c>
      <c r="O4" s="219" t="n">
        <v>9</v>
      </c>
      <c r="P4" s="219" t="n">
        <v>10</v>
      </c>
    </row>
    <row r="5" ht="15" customHeight="1" s="160">
      <c r="A5" s="161" t="n"/>
      <c r="B5" s="161" t="n"/>
      <c r="C5" s="161" t="n"/>
      <c r="D5" s="161" t="n"/>
      <c r="E5" s="161" t="n"/>
      <c r="F5" s="161" t="n"/>
      <c r="G5" s="161" t="n"/>
      <c r="H5" s="161" t="n"/>
      <c r="I5" s="161" t="n"/>
      <c r="J5" s="161" t="n"/>
      <c r="K5" s="161" t="n"/>
      <c r="L5" s="161" t="n"/>
      <c r="M5" s="161" t="n"/>
      <c r="N5" s="161" t="n"/>
      <c r="O5" s="161" t="n"/>
      <c r="P5" s="161" t="n"/>
    </row>
    <row r="6" ht="15" customHeight="1" s="160">
      <c r="A6" s="161" t="n"/>
      <c r="B6" s="258" t="inlineStr">
        <is>
          <t>Equity Contributions</t>
        </is>
      </c>
      <c r="C6" s="287" t="inlineStr">
        <is>
          <t>%</t>
        </is>
      </c>
      <c r="D6" s="287" t="inlineStr">
        <is>
          <t>Amount</t>
        </is>
      </c>
      <c r="E6" s="161" t="n"/>
      <c r="F6" s="161" t="n"/>
      <c r="G6" s="161" t="n"/>
      <c r="H6" s="161" t="n"/>
      <c r="I6" s="161" t="n"/>
      <c r="J6" s="161" t="n"/>
      <c r="K6" s="161" t="n"/>
      <c r="L6" s="161" t="n"/>
      <c r="M6" s="161" t="n"/>
      <c r="N6" s="161" t="n"/>
      <c r="O6" s="161" t="n"/>
      <c r="P6" s="161" t="n"/>
    </row>
    <row r="7" ht="15" customHeight="1" s="160">
      <c r="A7" s="161" t="n"/>
      <c r="B7" s="166" t="inlineStr">
        <is>
          <t>General Partner (GP)</t>
        </is>
      </c>
      <c r="C7" s="288">
        <f>Assumptions!$C$197</f>
        <v/>
      </c>
      <c r="D7" s="194">
        <f>C7*D9</f>
        <v/>
      </c>
      <c r="E7" s="161" t="n"/>
      <c r="F7" s="161" t="n"/>
      <c r="G7" s="161" t="n"/>
      <c r="H7" s="161" t="n"/>
      <c r="I7" s="161" t="n"/>
      <c r="J7" s="161" t="n"/>
      <c r="K7" s="161" t="n"/>
      <c r="L7" s="161" t="n"/>
      <c r="M7" s="161" t="n"/>
      <c r="N7" s="161" t="n"/>
      <c r="O7" s="161" t="n"/>
      <c r="P7" s="161" t="n"/>
    </row>
    <row r="8" ht="15" customHeight="1" s="160">
      <c r="A8" s="161" t="n"/>
      <c r="B8" s="166" t="inlineStr">
        <is>
          <t>Limited Partner (LP)</t>
        </is>
      </c>
      <c r="C8" s="288">
        <f>Assumptions!$C$198</f>
        <v/>
      </c>
      <c r="D8" s="194">
        <f>C8*D9</f>
        <v/>
      </c>
      <c r="E8" s="161" t="n"/>
      <c r="F8" s="161" t="n"/>
      <c r="G8" s="161" t="n"/>
      <c r="H8" s="161" t="n"/>
      <c r="I8" s="161" t="n"/>
      <c r="J8" s="161" t="n"/>
      <c r="K8" s="161" t="n"/>
      <c r="L8" s="161" t="n"/>
      <c r="M8" s="161" t="n"/>
      <c r="N8" s="161" t="n"/>
      <c r="O8" s="161" t="n"/>
      <c r="P8" s="161" t="n"/>
    </row>
    <row r="9" ht="15" customHeight="1" s="160">
      <c r="A9" s="161" t="n"/>
      <c r="B9" s="258" t="inlineStr">
        <is>
          <t>Total Equity</t>
        </is>
      </c>
      <c r="C9" s="161" t="n"/>
      <c r="D9" s="191">
        <f>Assumptions!$C$91</f>
        <v/>
      </c>
      <c r="E9" s="161" t="n"/>
      <c r="F9" s="161" t="n"/>
      <c r="G9" s="161" t="n"/>
      <c r="H9" s="161" t="n"/>
      <c r="I9" s="161" t="n"/>
      <c r="J9" s="161" t="n"/>
      <c r="K9" s="161" t="n"/>
      <c r="L9" s="161" t="n"/>
      <c r="M9" s="161" t="n"/>
      <c r="N9" s="161" t="n"/>
      <c r="O9" s="161" t="n"/>
      <c r="P9" s="161" t="n"/>
    </row>
    <row r="10" ht="15" customHeight="1" s="160">
      <c r="A10" s="161" t="n"/>
      <c r="B10" s="161" t="n"/>
      <c r="C10" s="161" t="n"/>
      <c r="D10" s="161" t="n"/>
      <c r="E10" s="161" t="n"/>
      <c r="F10" s="161" t="n"/>
      <c r="G10" s="161" t="n"/>
      <c r="H10" s="161" t="n"/>
      <c r="I10" s="161" t="n"/>
      <c r="J10" s="161" t="n"/>
      <c r="K10" s="161" t="n"/>
      <c r="L10" s="161" t="n"/>
      <c r="M10" s="161" t="n"/>
      <c r="N10" s="161" t="n"/>
      <c r="O10" s="161" t="n"/>
      <c r="P10" s="161" t="n"/>
    </row>
    <row r="11" ht="15" customHeight="1" s="160">
      <c r="A11" s="161" t="n"/>
      <c r="B11" s="258" t="inlineStr">
        <is>
          <t>Preferred Return</t>
        </is>
      </c>
      <c r="C11" s="288">
        <f>Assumptions!$C$204</f>
        <v/>
      </c>
      <c r="D11" s="161" t="n"/>
      <c r="E11" s="161" t="n"/>
      <c r="F11" s="161" t="n"/>
      <c r="G11" s="161" t="n"/>
      <c r="H11" s="161" t="n"/>
      <c r="I11" s="161" t="n"/>
      <c r="J11" s="161" t="n"/>
      <c r="K11" s="161" t="n"/>
      <c r="L11" s="161" t="n"/>
      <c r="M11" s="161" t="n"/>
      <c r="N11" s="161" t="n"/>
      <c r="O11" s="161" t="n"/>
      <c r="P11" s="161" t="n"/>
    </row>
    <row r="12" ht="15" customHeight="1" s="160">
      <c r="A12" s="161" t="n"/>
      <c r="B12" s="161" t="n"/>
      <c r="C12" s="161" t="n"/>
      <c r="D12" s="161" t="n"/>
      <c r="E12" s="161" t="n"/>
      <c r="F12" s="161" t="n"/>
      <c r="G12" s="161" t="n"/>
      <c r="H12" s="161" t="n"/>
      <c r="I12" s="161" t="n"/>
      <c r="J12" s="161" t="n"/>
      <c r="K12" s="161" t="n"/>
      <c r="L12" s="161" t="n"/>
      <c r="M12" s="161" t="n"/>
      <c r="N12" s="161" t="n"/>
      <c r="O12" s="161" t="n"/>
      <c r="P12" s="161" t="n"/>
    </row>
    <row r="13" ht="15" customHeight="1" s="160">
      <c r="A13" s="161" t="n"/>
      <c r="B13" s="258" t="inlineStr">
        <is>
          <t>Waterfall Tiers</t>
        </is>
      </c>
      <c r="C13" s="161" t="n"/>
      <c r="D13" s="287" t="inlineStr">
        <is>
          <t>IRR Hurdle</t>
        </is>
      </c>
      <c r="E13" s="287" t="inlineStr">
        <is>
          <t>GP Promote</t>
        </is>
      </c>
      <c r="F13" s="287" t="inlineStr">
        <is>
          <t>LP %</t>
        </is>
      </c>
      <c r="G13" s="287" t="inlineStr">
        <is>
          <t>GP %</t>
        </is>
      </c>
      <c r="H13" s="161" t="n"/>
      <c r="I13" s="161" t="n"/>
      <c r="J13" s="161" t="n"/>
      <c r="K13" s="161" t="n"/>
      <c r="L13" s="161" t="n"/>
      <c r="M13" s="161" t="n"/>
      <c r="N13" s="161" t="n"/>
      <c r="O13" s="161" t="n"/>
      <c r="P13" s="161" t="n"/>
    </row>
    <row r="14" ht="15" customHeight="1" s="160">
      <c r="A14" s="161" t="n"/>
      <c r="B14" s="166" t="inlineStr">
        <is>
          <t>Tier 1: Pref Return + Return of Capital</t>
        </is>
      </c>
      <c r="C14" s="161" t="n"/>
      <c r="D14" s="288">
        <f>Assumptions!$C$204</f>
        <v/>
      </c>
      <c r="E14" s="288" t="inlineStr">
        <is>
          <t>0%</t>
        </is>
      </c>
      <c r="F14" s="223" t="inlineStr">
        <is>
          <t>100%</t>
        </is>
      </c>
      <c r="G14" s="223" t="inlineStr">
        <is>
          <t>0%</t>
        </is>
      </c>
      <c r="H14" s="161" t="n"/>
      <c r="I14" s="161" t="n"/>
      <c r="J14" s="161" t="n"/>
      <c r="K14" s="161" t="n"/>
      <c r="L14" s="161" t="n"/>
      <c r="M14" s="161" t="n"/>
      <c r="N14" s="161" t="n"/>
      <c r="O14" s="161" t="n"/>
      <c r="P14" s="161" t="n"/>
    </row>
    <row r="15" ht="15" customHeight="1" s="160">
      <c r="A15" s="161" t="n"/>
      <c r="B15" s="166" t="inlineStr">
        <is>
          <t>Tier 2</t>
        </is>
      </c>
      <c r="C15" s="161" t="n"/>
      <c r="D15" s="288">
        <f>Assumptions!$C$205</f>
        <v/>
      </c>
      <c r="E15" s="288">
        <f>1-Assumptions!$C$206</f>
        <v/>
      </c>
      <c r="F15" s="223">
        <f>Assumptions!$C$206</f>
        <v/>
      </c>
      <c r="G15" s="223">
        <f>1-Assumptions!$C$206</f>
        <v/>
      </c>
      <c r="H15" s="161" t="n"/>
      <c r="I15" s="161" t="n"/>
      <c r="J15" s="161" t="n"/>
      <c r="K15" s="161" t="n"/>
      <c r="L15" s="161" t="n"/>
      <c r="M15" s="161" t="n"/>
      <c r="N15" s="161" t="n"/>
      <c r="O15" s="161" t="n"/>
      <c r="P15" s="161" t="n"/>
    </row>
    <row r="16" ht="15" customHeight="1" s="160">
      <c r="A16" s="161" t="n"/>
      <c r="B16" s="166" t="inlineStr">
        <is>
          <t>Tier 3</t>
        </is>
      </c>
      <c r="C16" s="161" t="n"/>
      <c r="D16" s="288">
        <f>Assumptions!$C$207</f>
        <v/>
      </c>
      <c r="E16" s="288">
        <f>1-Assumptions!$C$208</f>
        <v/>
      </c>
      <c r="F16" s="223">
        <f>Assumptions!$C$208</f>
        <v/>
      </c>
      <c r="G16" s="223">
        <f>1-Assumptions!$C$208</f>
        <v/>
      </c>
      <c r="H16" s="161" t="n"/>
      <c r="I16" s="161" t="n"/>
      <c r="J16" s="161" t="n"/>
      <c r="K16" s="161" t="n"/>
      <c r="L16" s="161" t="n"/>
      <c r="M16" s="161" t="n"/>
      <c r="N16" s="161" t="n"/>
      <c r="O16" s="161" t="n"/>
      <c r="P16" s="161" t="n"/>
    </row>
    <row r="17" ht="15" customHeight="1" s="160">
      <c r="A17" s="161" t="n"/>
      <c r="B17" s="166" t="inlineStr">
        <is>
          <t>Tier 4</t>
        </is>
      </c>
      <c r="C17" s="161" t="n"/>
      <c r="D17" s="288">
        <f>Assumptions!$C$209</f>
        <v/>
      </c>
      <c r="E17" s="288">
        <f>1-Assumptions!$C$210</f>
        <v/>
      </c>
      <c r="F17" s="223">
        <f>Assumptions!$C$210</f>
        <v/>
      </c>
      <c r="G17" s="223">
        <f>1-Assumptions!$C$210</f>
        <v/>
      </c>
      <c r="H17" s="161" t="n"/>
      <c r="I17" s="161" t="n"/>
      <c r="J17" s="161" t="n"/>
      <c r="K17" s="161" t="n"/>
      <c r="L17" s="161" t="n"/>
      <c r="M17" s="161" t="n"/>
      <c r="N17" s="161" t="n"/>
      <c r="O17" s="161" t="n"/>
      <c r="P17" s="161" t="n"/>
    </row>
    <row r="18" ht="15" customHeight="1" s="160">
      <c r="A18" s="161" t="n"/>
      <c r="B18" s="166" t="inlineStr">
        <is>
          <t>Tier 5</t>
        </is>
      </c>
      <c r="C18" s="161" t="n"/>
      <c r="D18" s="288">
        <f>Assumptions!$C$211</f>
        <v/>
      </c>
      <c r="E18" s="288">
        <f>1-Assumptions!$C$212</f>
        <v/>
      </c>
      <c r="F18" s="223">
        <f>Assumptions!$C$212</f>
        <v/>
      </c>
      <c r="G18" s="223">
        <f>1-Assumptions!$C$212</f>
        <v/>
      </c>
      <c r="H18" s="161" t="n"/>
      <c r="I18" s="161" t="n"/>
      <c r="J18" s="161" t="n"/>
      <c r="K18" s="161" t="n"/>
      <c r="L18" s="161" t="n"/>
      <c r="M18" s="161" t="n"/>
      <c r="N18" s="161" t="n"/>
      <c r="O18" s="161" t="n"/>
      <c r="P18" s="161" t="n"/>
    </row>
    <row r="19" ht="15" customHeight="1" s="160">
      <c r="A19" s="161" t="n"/>
      <c r="B19" s="166" t="inlineStr">
        <is>
          <t>Tier 6 (above Tier 5)</t>
        </is>
      </c>
      <c r="C19" s="161" t="n"/>
      <c r="D19" s="161" t="n"/>
      <c r="E19" s="288">
        <f>1-Assumptions!$C$213</f>
        <v/>
      </c>
      <c r="F19" s="223">
        <f>Assumptions!$C$213</f>
        <v/>
      </c>
      <c r="G19" s="223">
        <f>1-Assumptions!$C$213</f>
        <v/>
      </c>
      <c r="H19" s="161" t="n"/>
      <c r="I19" s="161" t="n"/>
      <c r="J19" s="161" t="n"/>
      <c r="K19" s="161" t="n"/>
      <c r="L19" s="161" t="n"/>
      <c r="M19" s="161" t="n"/>
      <c r="N19" s="161" t="n"/>
      <c r="O19" s="161" t="n"/>
      <c r="P19" s="161" t="n"/>
    </row>
    <row r="20" ht="15" customHeight="1" s="160">
      <c r="A20" s="161" t="n"/>
      <c r="B20" s="161" t="n"/>
      <c r="C20" s="161" t="n"/>
      <c r="D20" s="161" t="n"/>
      <c r="E20" s="161" t="n"/>
      <c r="F20" s="161" t="n"/>
      <c r="G20" s="161" t="n"/>
      <c r="H20" s="161" t="n"/>
      <c r="I20" s="161" t="n"/>
      <c r="J20" s="161" t="n"/>
      <c r="K20" s="161" t="n"/>
      <c r="L20" s="161" t="n"/>
      <c r="M20" s="161" t="n"/>
      <c r="N20" s="161" t="n"/>
      <c r="O20" s="161" t="n"/>
      <c r="P20" s="161" t="n"/>
    </row>
    <row r="21" ht="27.75" customHeight="1" s="160">
      <c r="A21" s="236" t="n"/>
      <c r="B21" s="286" t="inlineStr">
        <is>
          <t>PROPERTY-LEVEL CASH FLOWS</t>
        </is>
      </c>
      <c r="F21" s="219" t="inlineStr">
        <is>
          <t>Year 0</t>
        </is>
      </c>
      <c r="G21" s="219" t="n">
        <v>1</v>
      </c>
      <c r="H21" s="219" t="n">
        <v>2</v>
      </c>
      <c r="I21" s="219" t="n">
        <v>3</v>
      </c>
      <c r="J21" s="219" t="n">
        <v>4</v>
      </c>
      <c r="K21" s="219" t="n">
        <v>5</v>
      </c>
      <c r="L21" s="219" t="n">
        <v>6</v>
      </c>
      <c r="M21" s="219" t="n">
        <v>7</v>
      </c>
      <c r="N21" s="219" t="n">
        <v>8</v>
      </c>
      <c r="O21" s="219" t="n">
        <v>9</v>
      </c>
      <c r="P21" s="219" t="n">
        <v>10</v>
      </c>
    </row>
    <row r="22" ht="15" customHeight="1" s="160">
      <c r="A22" s="161" t="n"/>
      <c r="B22" s="161" t="n"/>
      <c r="C22" s="161" t="n"/>
      <c r="D22" s="161" t="n"/>
      <c r="E22" s="161" t="n"/>
      <c r="F22" s="161" t="n"/>
      <c r="G22" s="161" t="n"/>
      <c r="H22" s="161" t="n"/>
      <c r="I22" s="161" t="n"/>
      <c r="J22" s="161" t="n"/>
      <c r="K22" s="161" t="n"/>
      <c r="L22" s="161" t="n"/>
      <c r="M22" s="161" t="n"/>
      <c r="N22" s="161" t="n"/>
      <c r="O22" s="161" t="n"/>
      <c r="P22" s="161" t="n"/>
    </row>
    <row r="23" ht="15" customHeight="1" s="160">
      <c r="A23" s="161" t="n"/>
      <c r="B23" s="258" t="inlineStr">
        <is>
          <t>Net Property-Level Cash Flow</t>
        </is>
      </c>
      <c r="C23" s="161" t="n"/>
      <c r="D23" s="161" t="n"/>
      <c r="E23" s="161" t="n"/>
      <c r="F23" s="194">
        <f>-D9</f>
        <v/>
      </c>
      <c r="G23" s="191">
        <f>'Pro Forma'!B63</f>
        <v/>
      </c>
      <c r="H23" s="191">
        <f>'Pro Forma'!C63</f>
        <v/>
      </c>
      <c r="I23" s="191">
        <f>'Pro Forma'!D63</f>
        <v/>
      </c>
      <c r="J23" s="191">
        <f>'Pro Forma'!E63</f>
        <v/>
      </c>
      <c r="K23" s="191">
        <f>'Pro Forma'!F63</f>
        <v/>
      </c>
      <c r="L23" s="191">
        <f>'Pro Forma'!G63</f>
        <v/>
      </c>
      <c r="M23" s="191">
        <f>'Pro Forma'!H63</f>
        <v/>
      </c>
      <c r="N23" s="191">
        <f>'Pro Forma'!I63</f>
        <v/>
      </c>
      <c r="O23" s="191">
        <f>'Pro Forma'!J63</f>
        <v/>
      </c>
      <c r="P23" s="191">
        <f>'Pro Forma'!K63+Exit!B14</f>
        <v/>
      </c>
    </row>
    <row r="24" ht="15" customHeight="1" s="160">
      <c r="A24" s="161" t="n"/>
      <c r="B24" s="166" t="inlineStr">
        <is>
          <t>Refi 1 Proceeds</t>
        </is>
      </c>
      <c r="C24" s="161" t="n"/>
      <c r="D24" s="161" t="n"/>
      <c r="E24" s="161" t="n"/>
      <c r="F24" s="194">
        <f>IF(AND(Assumptions!$C$95=1,0=Assumptions!$C$96),'Refi Analysis'!B22,0)</f>
        <v/>
      </c>
      <c r="G24" s="194">
        <f>IF(AND(Assumptions!$C$95=1,1=Assumptions!$C$96),'Refi Analysis'!B22,0)</f>
        <v/>
      </c>
      <c r="H24" s="194">
        <f>IF(AND(Assumptions!$C$95=1,2=Assumptions!$C$96),'Refi Analysis'!B22,0)</f>
        <v/>
      </c>
      <c r="I24" s="194">
        <f>IF(AND(Assumptions!$C$95=1,3=Assumptions!$C$96),'Refi Analysis'!B22,0)</f>
        <v/>
      </c>
      <c r="J24" s="194">
        <f>IF(AND(Assumptions!$C$95=1,4=Assumptions!$C$96),'Refi Analysis'!B22,0)</f>
        <v/>
      </c>
      <c r="K24" s="194">
        <f>IF(AND(Assumptions!$C$95=1,5=Assumptions!$C$96),'Refi Analysis'!B22,0)</f>
        <v/>
      </c>
      <c r="L24" s="194">
        <f>IF(AND(Assumptions!$C$95=1,6=Assumptions!$C$96),'Refi Analysis'!B22,0)</f>
        <v/>
      </c>
      <c r="M24" s="194">
        <f>IF(AND(Assumptions!$C$95=1,7=Assumptions!$C$96),'Refi Analysis'!B22,0)</f>
        <v/>
      </c>
      <c r="N24" s="194">
        <f>IF(AND(Assumptions!$C$95=1,8=Assumptions!$C$96),'Refi Analysis'!B22,0)</f>
        <v/>
      </c>
      <c r="O24" s="194">
        <f>IF(AND(Assumptions!$C$95=1,9=Assumptions!$C$96),'Refi Analysis'!B22,0)</f>
        <v/>
      </c>
      <c r="P24" s="194">
        <f>IF(AND(Assumptions!$C$95=1,10=Assumptions!$C$96),'Refi Analysis'!B22,0)</f>
        <v/>
      </c>
    </row>
    <row r="25" ht="15" customHeight="1" s="160">
      <c r="A25" s="161" t="n"/>
      <c r="B25" s="166" t="inlineStr">
        <is>
          <t>Refi 2 Proceeds</t>
        </is>
      </c>
      <c r="C25" s="161" t="n"/>
      <c r="D25" s="161" t="n"/>
      <c r="E25" s="161" t="n"/>
      <c r="F25" s="194">
        <f>IF(AND(Assumptions!$C$108=1,0=Assumptions!$C$109),'Refi Analysis'!C22,0)</f>
        <v/>
      </c>
      <c r="G25" s="194">
        <f>IF(AND(Assumptions!$C$108=1,1=Assumptions!$C$109),'Refi Analysis'!C22,0)</f>
        <v/>
      </c>
      <c r="H25" s="194">
        <f>IF(AND(Assumptions!$C$108=1,2=Assumptions!$C$109),'Refi Analysis'!C22,0)</f>
        <v/>
      </c>
      <c r="I25" s="194">
        <f>IF(AND(Assumptions!$C$108=1,3=Assumptions!$C$109),'Refi Analysis'!C22,0)</f>
        <v/>
      </c>
      <c r="J25" s="194">
        <f>IF(AND(Assumptions!$C$108=1,4=Assumptions!$C$109),'Refi Analysis'!C22,0)</f>
        <v/>
      </c>
      <c r="K25" s="194">
        <f>IF(AND(Assumptions!$C$108=1,5=Assumptions!$C$109),'Refi Analysis'!C22,0)</f>
        <v/>
      </c>
      <c r="L25" s="194">
        <f>IF(AND(Assumptions!$C$108=1,6=Assumptions!$C$109),'Refi Analysis'!C22,0)</f>
        <v/>
      </c>
      <c r="M25" s="194">
        <f>IF(AND(Assumptions!$C$108=1,7=Assumptions!$C$109),'Refi Analysis'!C22,0)</f>
        <v/>
      </c>
      <c r="N25" s="194">
        <f>IF(AND(Assumptions!$C$108=1,8=Assumptions!$C$109),'Refi Analysis'!C22,0)</f>
        <v/>
      </c>
      <c r="O25" s="194">
        <f>IF(AND(Assumptions!$C$108=1,9=Assumptions!$C$109),'Refi Analysis'!C22,0)</f>
        <v/>
      </c>
      <c r="P25" s="194">
        <f>IF(AND(Assumptions!$C$108=1,10=Assumptions!$C$109),'Refi Analysis'!C22,0)</f>
        <v/>
      </c>
    </row>
    <row r="26" ht="15" customHeight="1" s="160">
      <c r="A26" s="161" t="n"/>
      <c r="B26" s="166" t="inlineStr">
        <is>
          <t>Refi 3 Proceeds</t>
        </is>
      </c>
      <c r="C26" s="161" t="n"/>
      <c r="D26" s="161" t="n"/>
      <c r="E26" s="161" t="n"/>
      <c r="F26" s="194">
        <f>IF(AND(Assumptions!$C$121=1,0=Assumptions!$C$122),'Refi Analysis'!D22,0)</f>
        <v/>
      </c>
      <c r="G26" s="194">
        <f>IF(AND(Assumptions!$C$121=1,1=Assumptions!$C$122),'Refi Analysis'!D22,0)</f>
        <v/>
      </c>
      <c r="H26" s="194">
        <f>IF(AND(Assumptions!$C$121=1,2=Assumptions!$C$122),'Refi Analysis'!D22,0)</f>
        <v/>
      </c>
      <c r="I26" s="194">
        <f>IF(AND(Assumptions!$C$121=1,3=Assumptions!$C$122),'Refi Analysis'!D22,0)</f>
        <v/>
      </c>
      <c r="J26" s="194">
        <f>IF(AND(Assumptions!$C$121=1,4=Assumptions!$C$122),'Refi Analysis'!D22,0)</f>
        <v/>
      </c>
      <c r="K26" s="194">
        <f>IF(AND(Assumptions!$C$121=1,5=Assumptions!$C$122),'Refi Analysis'!D22,0)</f>
        <v/>
      </c>
      <c r="L26" s="194">
        <f>IF(AND(Assumptions!$C$121=1,6=Assumptions!$C$122),'Refi Analysis'!D22,0)</f>
        <v/>
      </c>
      <c r="M26" s="194">
        <f>IF(AND(Assumptions!$C$121=1,7=Assumptions!$C$122),'Refi Analysis'!D22,0)</f>
        <v/>
      </c>
      <c r="N26" s="194">
        <f>IF(AND(Assumptions!$C$121=1,8=Assumptions!$C$122),'Refi Analysis'!D22,0)</f>
        <v/>
      </c>
      <c r="O26" s="194">
        <f>IF(AND(Assumptions!$C$121=1,9=Assumptions!$C$122),'Refi Analysis'!D22,0)</f>
        <v/>
      </c>
      <c r="P26" s="194">
        <f>IF(AND(Assumptions!$C$121=1,10=Assumptions!$C$122),'Refi Analysis'!D22,0)</f>
        <v/>
      </c>
    </row>
    <row r="27" ht="15" customHeight="1" s="160">
      <c r="A27" s="161" t="n"/>
      <c r="B27" s="161" t="n"/>
      <c r="C27" s="161" t="n"/>
      <c r="D27" s="161" t="n"/>
      <c r="E27" s="161" t="n"/>
      <c r="F27" s="161" t="n"/>
      <c r="G27" s="161" t="n"/>
      <c r="H27" s="161" t="n"/>
      <c r="I27" s="161" t="n"/>
      <c r="J27" s="161" t="n"/>
      <c r="K27" s="161" t="n"/>
      <c r="L27" s="161" t="n"/>
      <c r="M27" s="161" t="n"/>
      <c r="N27" s="161" t="n"/>
      <c r="O27" s="161" t="n"/>
      <c r="P27" s="161" t="n"/>
    </row>
    <row r="28" ht="15" customHeight="1" s="160">
      <c r="A28" s="289" t="n"/>
      <c r="B28" s="268" t="inlineStr">
        <is>
          <t>Total Distributable Cash Flow</t>
        </is>
      </c>
      <c r="C28" s="289" t="n"/>
      <c r="D28" s="289" t="n"/>
      <c r="E28" s="289" t="n"/>
      <c r="F28" s="193">
        <f>F23+F24+F25+F26</f>
        <v/>
      </c>
      <c r="G28" s="193">
        <f>G23+G24+G25+G26</f>
        <v/>
      </c>
      <c r="H28" s="193">
        <f>H23+H24+H25+H26</f>
        <v/>
      </c>
      <c r="I28" s="193">
        <f>I23+I24+I25+I26</f>
        <v/>
      </c>
      <c r="J28" s="193">
        <f>J23+J24+J25+J26</f>
        <v/>
      </c>
      <c r="K28" s="193">
        <f>K23+K24+K25+K26</f>
        <v/>
      </c>
      <c r="L28" s="193">
        <f>L23+L24+L25+L26</f>
        <v/>
      </c>
      <c r="M28" s="193">
        <f>M23+M24+M25+M26</f>
        <v/>
      </c>
      <c r="N28" s="193">
        <f>N23+N24+N25+N26</f>
        <v/>
      </c>
      <c r="O28" s="193">
        <f>O23+O24+O25+O26</f>
        <v/>
      </c>
      <c r="P28" s="193">
        <f>P23+P24+P25+P26</f>
        <v/>
      </c>
    </row>
    <row r="29" ht="15" customHeight="1" s="160">
      <c r="A29" s="161" t="n"/>
      <c r="B29" s="161" t="n"/>
      <c r="C29" s="161" t="n"/>
      <c r="D29" s="161" t="n"/>
      <c r="E29" s="161" t="n"/>
      <c r="F29" s="161" t="n"/>
      <c r="G29" s="161" t="n"/>
      <c r="H29" s="161" t="n"/>
      <c r="I29" s="161" t="n"/>
      <c r="J29" s="161" t="n"/>
      <c r="K29" s="161" t="n"/>
      <c r="L29" s="161" t="n"/>
      <c r="M29" s="161" t="n"/>
      <c r="N29" s="161" t="n"/>
      <c r="O29" s="161" t="n"/>
      <c r="P29" s="161" t="n"/>
    </row>
    <row r="30" ht="17.25" customHeight="1" s="160">
      <c r="A30" s="263" t="n"/>
      <c r="B30" s="264" t="inlineStr">
        <is>
          <t>PROJECT IRR</t>
        </is>
      </c>
      <c r="C30" s="263" t="n"/>
      <c r="D30" s="290">
        <f>IFERROR(IRR(F28:P28),"N/A")</f>
        <v/>
      </c>
      <c r="E30" s="263" t="n"/>
      <c r="F30" s="263" t="n"/>
      <c r="G30" s="263" t="n"/>
      <c r="H30" s="263" t="n"/>
      <c r="I30" s="263" t="n"/>
      <c r="J30" s="263" t="n"/>
      <c r="K30" s="263" t="n"/>
      <c r="L30" s="263" t="n"/>
      <c r="M30" s="263" t="n"/>
      <c r="N30" s="263" t="n"/>
      <c r="O30" s="263" t="n"/>
      <c r="P30" s="263" t="n"/>
    </row>
    <row r="31" ht="17.25" customHeight="1" s="160">
      <c r="A31" s="263" t="n"/>
      <c r="B31" s="264" t="inlineStr">
        <is>
          <t>PROJECT EQUITY MULTIPLE</t>
        </is>
      </c>
      <c r="C31" s="263" t="n"/>
      <c r="D31" s="285">
        <f>IFERROR(SUMIF(F28:P28,"&gt;0")/-SUMIF(F28:P28,"&lt;0"),"N/A")</f>
        <v/>
      </c>
      <c r="E31" s="263" t="n"/>
      <c r="F31" s="263" t="n"/>
      <c r="G31" s="263" t="n"/>
      <c r="H31" s="263" t="n"/>
      <c r="I31" s="263" t="n"/>
      <c r="J31" s="263" t="n"/>
      <c r="K31" s="263" t="n"/>
      <c r="L31" s="263" t="n"/>
      <c r="M31" s="263" t="n"/>
      <c r="N31" s="263" t="n"/>
      <c r="O31" s="263" t="n"/>
      <c r="P31" s="263" t="n"/>
    </row>
    <row r="32" ht="15" customHeight="1" s="160">
      <c r="A32" s="161" t="n"/>
      <c r="B32" s="161" t="n"/>
      <c r="C32" s="161" t="n"/>
      <c r="D32" s="161" t="n"/>
      <c r="E32" s="161" t="n"/>
      <c r="F32" s="161" t="n"/>
      <c r="G32" s="161" t="n"/>
      <c r="H32" s="161" t="n"/>
      <c r="I32" s="161" t="n"/>
      <c r="J32" s="161" t="n"/>
      <c r="K32" s="161" t="n"/>
      <c r="L32" s="161" t="n"/>
      <c r="M32" s="161" t="n"/>
      <c r="N32" s="161" t="n"/>
      <c r="O32" s="161" t="n"/>
      <c r="P32" s="161" t="n"/>
    </row>
    <row r="33" ht="27.75" customHeight="1" s="160">
      <c r="A33" s="236" t="n"/>
      <c r="B33" s="286" t="inlineStr">
        <is>
          <t>LP / GP RETURN SUMMARY</t>
        </is>
      </c>
      <c r="F33" s="219" t="inlineStr">
        <is>
          <t>Year 0</t>
        </is>
      </c>
      <c r="G33" s="219" t="n">
        <v>1</v>
      </c>
      <c r="H33" s="219" t="n">
        <v>2</v>
      </c>
      <c r="I33" s="219" t="n">
        <v>3</v>
      </c>
      <c r="J33" s="219" t="n">
        <v>4</v>
      </c>
      <c r="K33" s="219" t="n">
        <v>5</v>
      </c>
      <c r="L33" s="219" t="n">
        <v>6</v>
      </c>
      <c r="M33" s="219" t="n">
        <v>7</v>
      </c>
      <c r="N33" s="219" t="n">
        <v>8</v>
      </c>
      <c r="O33" s="219" t="n">
        <v>9</v>
      </c>
      <c r="P33" s="219" t="n">
        <v>10</v>
      </c>
    </row>
    <row r="34" ht="15" customHeight="1" s="160">
      <c r="A34" s="161" t="n"/>
      <c r="B34" s="161" t="n"/>
      <c r="C34" s="161" t="n"/>
      <c r="D34" s="161" t="n"/>
      <c r="E34" s="161" t="n"/>
      <c r="F34" s="161" t="n"/>
      <c r="G34" s="161" t="n"/>
      <c r="H34" s="161" t="n"/>
      <c r="I34" s="161" t="n"/>
      <c r="J34" s="161" t="n"/>
      <c r="K34" s="161" t="n"/>
      <c r="L34" s="161" t="n"/>
      <c r="M34" s="161" t="n"/>
      <c r="N34" s="161" t="n"/>
      <c r="O34" s="161" t="n"/>
      <c r="P34" s="161" t="n"/>
    </row>
    <row r="35" ht="15" customHeight="1" s="160">
      <c r="A35" s="209" t="n"/>
      <c r="B35" s="291" t="inlineStr">
        <is>
          <t>LIMITED PARTNER (LP) RETURNS</t>
        </is>
      </c>
      <c r="C35" s="292" t="inlineStr">
        <is>
          <t>Check</t>
        </is>
      </c>
      <c r="D35" s="209" t="n"/>
      <c r="E35" s="209" t="n"/>
      <c r="F35" s="209" t="n"/>
      <c r="G35" s="209" t="n"/>
      <c r="H35" s="209" t="n"/>
      <c r="I35" s="209" t="n"/>
      <c r="J35" s="209" t="n"/>
      <c r="K35" s="209" t="n"/>
      <c r="L35" s="209" t="n"/>
      <c r="M35" s="209" t="n"/>
      <c r="N35" s="209" t="n"/>
      <c r="O35" s="209" t="n"/>
      <c r="P35" s="209" t="n"/>
    </row>
    <row r="36" ht="15" customHeight="1" s="160">
      <c r="A36" s="161" t="n"/>
      <c r="B36" s="166" t="inlineStr">
        <is>
          <t>LP Equity Invested</t>
        </is>
      </c>
      <c r="C36" s="161" t="n"/>
      <c r="D36" s="194">
        <f>D8</f>
        <v/>
      </c>
      <c r="E36" s="161" t="n"/>
      <c r="F36" s="194">
        <f>D8</f>
        <v/>
      </c>
      <c r="G36" s="194" t="n">
        <v>0</v>
      </c>
      <c r="H36" s="194" t="n">
        <v>0</v>
      </c>
      <c r="I36" s="194" t="n">
        <v>0</v>
      </c>
      <c r="J36" s="194" t="n">
        <v>0</v>
      </c>
      <c r="K36" s="194" t="n">
        <v>0</v>
      </c>
      <c r="L36" s="194" t="n">
        <v>0</v>
      </c>
      <c r="M36" s="194" t="n">
        <v>0</v>
      </c>
      <c r="N36" s="194" t="n">
        <v>0</v>
      </c>
      <c r="O36" s="194" t="n">
        <v>0</v>
      </c>
      <c r="P36" s="194" t="n">
        <v>0</v>
      </c>
    </row>
    <row r="37" ht="15" customHeight="1" s="160">
      <c r="A37" s="161" t="n"/>
      <c r="B37" s="166" t="inlineStr">
        <is>
          <t>LP Share of Distributable CF</t>
        </is>
      </c>
      <c r="C37" s="161" t="n"/>
      <c r="D37" s="161" t="n"/>
      <c r="E37" s="161" t="n"/>
      <c r="F37" s="194">
        <f>F28*$C$8</f>
        <v/>
      </c>
      <c r="G37" s="194">
        <f>G28*$C$8</f>
        <v/>
      </c>
      <c r="H37" s="194">
        <f>H28*$C$8</f>
        <v/>
      </c>
      <c r="I37" s="194">
        <f>I28*$C$8</f>
        <v/>
      </c>
      <c r="J37" s="194">
        <f>J28*$C$8</f>
        <v/>
      </c>
      <c r="K37" s="194">
        <f>K28*$C$8</f>
        <v/>
      </c>
      <c r="L37" s="194">
        <f>L28*$C$8</f>
        <v/>
      </c>
      <c r="M37" s="194">
        <f>M28*$C$8</f>
        <v/>
      </c>
      <c r="N37" s="194">
        <f>N28*$C$8</f>
        <v/>
      </c>
      <c r="O37" s="194">
        <f>O28*$C$8</f>
        <v/>
      </c>
      <c r="P37" s="194">
        <f>P28*$C$8</f>
        <v/>
      </c>
    </row>
    <row r="38" ht="15" customHeight="1" s="160">
      <c r="A38" s="289" t="n"/>
      <c r="B38" s="268" t="inlineStr">
        <is>
          <t>Total LP Distributions</t>
        </is>
      </c>
      <c r="C38" s="224">
        <f>IFERROR(IF(SUM(F37:P37)&lt;=0,"N/A",IF(ROUND(D38,0)=ROUND(SUM(F37:P37),0),"OK","ERROR")),"N/A")</f>
        <v/>
      </c>
      <c r="D38" s="193">
        <f>SUM(F38:P38)</f>
        <v/>
      </c>
      <c r="E38" s="289" t="n"/>
      <c r="F38" s="193">
        <f>F74+F87+F101+F115+F122</f>
        <v/>
      </c>
      <c r="G38" s="193">
        <f>G74+G87+G101+G115+G122</f>
        <v/>
      </c>
      <c r="H38" s="193">
        <f>H74+H87+H101+H115+H122</f>
        <v/>
      </c>
      <c r="I38" s="193">
        <f>I74+I87+I101+I115+I122</f>
        <v/>
      </c>
      <c r="J38" s="193">
        <f>J74+J87+J101+J115+J122</f>
        <v/>
      </c>
      <c r="K38" s="193">
        <f>K74+K87+K101+K115+K122</f>
        <v/>
      </c>
      <c r="L38" s="193">
        <f>L74+L87+L101+L115+L122</f>
        <v/>
      </c>
      <c r="M38" s="193">
        <f>M74+M87+M101+M115+M122</f>
        <v/>
      </c>
      <c r="N38" s="193">
        <f>N74+N87+N101+N115+N122</f>
        <v/>
      </c>
      <c r="O38" s="193">
        <f>O74+O87+O101+O115+O122</f>
        <v/>
      </c>
      <c r="P38" s="193">
        <f>P74+P87+P101+P115+P122</f>
        <v/>
      </c>
    </row>
    <row r="39" ht="15" customHeight="1" s="160">
      <c r="A39" s="161" t="n"/>
      <c r="B39" s="166" t="inlineStr">
        <is>
          <t>LP Profit</t>
        </is>
      </c>
      <c r="C39" s="161" t="n"/>
      <c r="D39" s="194">
        <f>D38-D36</f>
        <v/>
      </c>
      <c r="E39" s="161" t="n"/>
      <c r="F39" s="161" t="n"/>
      <c r="G39" s="161" t="n"/>
      <c r="H39" s="161" t="n"/>
      <c r="I39" s="161" t="n"/>
      <c r="J39" s="161" t="n"/>
      <c r="K39" s="161" t="n"/>
      <c r="L39" s="161" t="n"/>
      <c r="M39" s="161" t="n"/>
      <c r="N39" s="161" t="n"/>
      <c r="O39" s="161" t="n"/>
      <c r="P39" s="161" t="n"/>
    </row>
    <row r="40" ht="15" customHeight="1" s="160">
      <c r="A40" s="161" t="n"/>
      <c r="B40" s="161" t="n"/>
      <c r="C40" s="161" t="n"/>
      <c r="D40" s="161" t="n"/>
      <c r="E40" s="161" t="n"/>
      <c r="F40" s="161" t="n"/>
      <c r="G40" s="161" t="n"/>
      <c r="H40" s="161" t="n"/>
      <c r="I40" s="161" t="n"/>
      <c r="J40" s="161" t="n"/>
      <c r="K40" s="161" t="n"/>
      <c r="L40" s="161" t="n"/>
      <c r="M40" s="161" t="n"/>
      <c r="N40" s="161" t="n"/>
      <c r="O40" s="161" t="n"/>
      <c r="P40" s="161" t="n"/>
    </row>
    <row r="41" ht="17.25" customHeight="1" s="160">
      <c r="A41" s="263" t="n"/>
      <c r="B41" s="284" t="inlineStr">
        <is>
          <t>LP IRR</t>
        </is>
      </c>
      <c r="C41" s="263" t="n"/>
      <c r="D41" s="290">
        <f>IFERROR(IRR(F41:P41),"N/A")</f>
        <v/>
      </c>
      <c r="E41" s="263" t="n"/>
      <c r="F41" s="293">
        <f>-F36+F38</f>
        <v/>
      </c>
      <c r="G41" s="293">
        <f>-G36+G38</f>
        <v/>
      </c>
      <c r="H41" s="293">
        <f>-H36+H38</f>
        <v/>
      </c>
      <c r="I41" s="293">
        <f>-I36+I38</f>
        <v/>
      </c>
      <c r="J41" s="293">
        <f>-J36+J38</f>
        <v/>
      </c>
      <c r="K41" s="293">
        <f>-K36+K38</f>
        <v/>
      </c>
      <c r="L41" s="293">
        <f>-L36+L38</f>
        <v/>
      </c>
      <c r="M41" s="293">
        <f>-M36+M38</f>
        <v/>
      </c>
      <c r="N41" s="293">
        <f>-N36+N38</f>
        <v/>
      </c>
      <c r="O41" s="293">
        <f>-O36+O38</f>
        <v/>
      </c>
      <c r="P41" s="293">
        <f>-P36+P38</f>
        <v/>
      </c>
    </row>
    <row r="42" ht="17.25" customHeight="1" s="160">
      <c r="A42" s="263" t="n"/>
      <c r="B42" s="284" t="inlineStr">
        <is>
          <t>LP EQUITY MULTIPLE</t>
        </is>
      </c>
      <c r="C42" s="263" t="n"/>
      <c r="D42" s="285">
        <f>IFERROR(D38/D36,"N/A")</f>
        <v/>
      </c>
      <c r="E42" s="263" t="n"/>
      <c r="F42" s="263" t="n"/>
      <c r="G42" s="263" t="n"/>
      <c r="H42" s="263" t="n"/>
      <c r="I42" s="263" t="n"/>
      <c r="J42" s="263" t="n"/>
      <c r="K42" s="263" t="n"/>
      <c r="L42" s="263" t="n"/>
      <c r="M42" s="263" t="n"/>
      <c r="N42" s="263" t="n"/>
      <c r="O42" s="263" t="n"/>
      <c r="P42" s="263" t="n"/>
    </row>
    <row r="43" ht="15" customHeight="1" s="160">
      <c r="A43" s="161" t="n"/>
      <c r="B43" s="161" t="n"/>
      <c r="C43" s="161" t="n"/>
      <c r="D43" s="161" t="n"/>
      <c r="E43" s="161" t="n"/>
      <c r="F43" s="161" t="n"/>
      <c r="G43" s="161" t="n"/>
      <c r="H43" s="161" t="n"/>
      <c r="I43" s="161" t="n"/>
      <c r="J43" s="161" t="n"/>
      <c r="K43" s="161" t="n"/>
      <c r="L43" s="161" t="n"/>
      <c r="M43" s="161" t="n"/>
      <c r="N43" s="161" t="n"/>
      <c r="O43" s="161" t="n"/>
      <c r="P43" s="161" t="n"/>
    </row>
    <row r="44" ht="15" customHeight="1" s="160">
      <c r="A44" s="209" t="n"/>
      <c r="B44" s="291" t="inlineStr">
        <is>
          <t>GENERAL PARTNER (GP) RETURNS</t>
        </is>
      </c>
      <c r="C44" s="209" t="n"/>
      <c r="D44" s="209" t="n"/>
      <c r="E44" s="209" t="n"/>
      <c r="F44" s="209" t="n"/>
      <c r="G44" s="209" t="n"/>
      <c r="H44" s="209" t="n"/>
      <c r="I44" s="209" t="n"/>
      <c r="J44" s="209" t="n"/>
      <c r="K44" s="209" t="n"/>
      <c r="L44" s="209" t="n"/>
      <c r="M44" s="209" t="n"/>
      <c r="N44" s="209" t="n"/>
      <c r="O44" s="209" t="n"/>
      <c r="P44" s="209" t="n"/>
    </row>
    <row r="45" ht="15" customHeight="1" s="160">
      <c r="A45" s="161" t="n"/>
      <c r="B45" s="166" t="inlineStr">
        <is>
          <t>GP Equity Invested</t>
        </is>
      </c>
      <c r="C45" s="161" t="n"/>
      <c r="D45" s="194">
        <f>D7</f>
        <v/>
      </c>
      <c r="E45" s="161" t="n"/>
      <c r="F45" s="194">
        <f>D7</f>
        <v/>
      </c>
      <c r="G45" s="194" t="n">
        <v>0</v>
      </c>
      <c r="H45" s="194" t="n">
        <v>0</v>
      </c>
      <c r="I45" s="194" t="n">
        <v>0</v>
      </c>
      <c r="J45" s="194" t="n">
        <v>0</v>
      </c>
      <c r="K45" s="194" t="n">
        <v>0</v>
      </c>
      <c r="L45" s="194" t="n">
        <v>0</v>
      </c>
      <c r="M45" s="194" t="n">
        <v>0</v>
      </c>
      <c r="N45" s="194" t="n">
        <v>0</v>
      </c>
      <c r="O45" s="194" t="n">
        <v>0</v>
      </c>
      <c r="P45" s="194" t="n">
        <v>0</v>
      </c>
    </row>
    <row r="46" ht="15" customHeight="1" s="160">
      <c r="A46" s="289" t="n"/>
      <c r="B46" s="268" t="inlineStr">
        <is>
          <t>Total GP Distributions</t>
        </is>
      </c>
      <c r="C46" s="289" t="n"/>
      <c r="D46" s="193">
        <f>SUM(F46:P46)</f>
        <v/>
      </c>
      <c r="E46" s="289" t="n"/>
      <c r="F46" s="193">
        <f>F75+F88+F102+F116+F123</f>
        <v/>
      </c>
      <c r="G46" s="193">
        <f>G75+G88+G102+G116+G123</f>
        <v/>
      </c>
      <c r="H46" s="193">
        <f>H75+H88+H102+H116+H123</f>
        <v/>
      </c>
      <c r="I46" s="193">
        <f>I75+I88+I102+I116+I123</f>
        <v/>
      </c>
      <c r="J46" s="193">
        <f>J75+J88+J102+J116+J123</f>
        <v/>
      </c>
      <c r="K46" s="193">
        <f>K75+K88+K102+K116+K123</f>
        <v/>
      </c>
      <c r="L46" s="193">
        <f>L75+L88+L102+L116+L123</f>
        <v/>
      </c>
      <c r="M46" s="193">
        <f>M75+M88+M102+M116+M123</f>
        <v/>
      </c>
      <c r="N46" s="193">
        <f>N75+N88+N102+N116+N123</f>
        <v/>
      </c>
      <c r="O46" s="193">
        <f>O75+O88+O102+O116+O123</f>
        <v/>
      </c>
      <c r="P46" s="193">
        <f>P75+P88+P102+P116+P123</f>
        <v/>
      </c>
    </row>
    <row r="47" ht="15" customHeight="1" s="160">
      <c r="A47" s="161" t="n"/>
      <c r="B47" s="166" t="inlineStr">
        <is>
          <t>GP Profit</t>
        </is>
      </c>
      <c r="C47" s="161" t="n"/>
      <c r="D47" s="194">
        <f>D46-D45</f>
        <v/>
      </c>
      <c r="E47" s="161" t="n"/>
      <c r="F47" s="161" t="n"/>
      <c r="G47" s="161" t="n"/>
      <c r="H47" s="161" t="n"/>
      <c r="I47" s="161" t="n"/>
      <c r="J47" s="161" t="n"/>
      <c r="K47" s="161" t="n"/>
      <c r="L47" s="161" t="n"/>
      <c r="M47" s="161" t="n"/>
      <c r="N47" s="161" t="n"/>
      <c r="O47" s="161" t="n"/>
      <c r="P47" s="161" t="n"/>
    </row>
    <row r="48" ht="15" customHeight="1" s="160">
      <c r="A48" s="161" t="n"/>
      <c r="B48" s="161" t="n"/>
      <c r="C48" s="161" t="n"/>
      <c r="D48" s="161" t="n"/>
      <c r="E48" s="161" t="n"/>
      <c r="F48" s="161" t="n"/>
      <c r="G48" s="161" t="n"/>
      <c r="H48" s="161" t="n"/>
      <c r="I48" s="161" t="n"/>
      <c r="J48" s="161" t="n"/>
      <c r="K48" s="161" t="n"/>
      <c r="L48" s="161" t="n"/>
      <c r="M48" s="161" t="n"/>
      <c r="N48" s="161" t="n"/>
      <c r="O48" s="161" t="n"/>
      <c r="P48" s="161" t="n"/>
    </row>
    <row r="49" ht="17.25" customHeight="1" s="160">
      <c r="A49" s="263" t="n"/>
      <c r="B49" s="284" t="inlineStr">
        <is>
          <t>GP IRR</t>
        </is>
      </c>
      <c r="C49" s="263" t="n"/>
      <c r="D49" s="290">
        <f>IFERROR(IRR(F49:P49),"N/A")</f>
        <v/>
      </c>
      <c r="E49" s="263" t="n"/>
      <c r="F49" s="293">
        <f>-F45+F46</f>
        <v/>
      </c>
      <c r="G49" s="293">
        <f>-G45+G46</f>
        <v/>
      </c>
      <c r="H49" s="293">
        <f>-H45+H46</f>
        <v/>
      </c>
      <c r="I49" s="293">
        <f>-I45+I46</f>
        <v/>
      </c>
      <c r="J49" s="293">
        <f>-J45+J46</f>
        <v/>
      </c>
      <c r="K49" s="293">
        <f>-K45+K46</f>
        <v/>
      </c>
      <c r="L49" s="293">
        <f>-L45+L46</f>
        <v/>
      </c>
      <c r="M49" s="293">
        <f>-M45+M46</f>
        <v/>
      </c>
      <c r="N49" s="293">
        <f>-N45+N46</f>
        <v/>
      </c>
      <c r="O49" s="293">
        <f>-O45+O46</f>
        <v/>
      </c>
      <c r="P49" s="293">
        <f>-P45+P46</f>
        <v/>
      </c>
    </row>
    <row r="50" ht="17.25" customHeight="1" s="160">
      <c r="A50" s="263" t="n"/>
      <c r="B50" s="284" t="inlineStr">
        <is>
          <t>GP EQUITY MULTIPLE</t>
        </is>
      </c>
      <c r="C50" s="263" t="n"/>
      <c r="D50" s="285">
        <f>IFERROR(D46/D45,"N/A")</f>
        <v/>
      </c>
      <c r="E50" s="263" t="n"/>
      <c r="F50" s="263" t="n"/>
      <c r="G50" s="263" t="n"/>
      <c r="H50" s="263" t="n"/>
      <c r="I50" s="263" t="n"/>
      <c r="J50" s="263" t="n"/>
      <c r="K50" s="263" t="n"/>
      <c r="L50" s="263" t="n"/>
      <c r="M50" s="263" t="n"/>
      <c r="N50" s="263" t="n"/>
      <c r="O50" s="263" t="n"/>
      <c r="P50" s="263" t="n"/>
    </row>
    <row r="51" ht="15" customHeight="1" s="160">
      <c r="A51" s="161" t="n"/>
      <c r="B51" s="161" t="n"/>
      <c r="C51" s="161" t="n"/>
      <c r="D51" s="161" t="n"/>
      <c r="E51" s="161" t="n"/>
      <c r="F51" s="161" t="n"/>
      <c r="G51" s="161" t="n"/>
      <c r="H51" s="161" t="n"/>
      <c r="I51" s="161" t="n"/>
      <c r="J51" s="161" t="n"/>
      <c r="K51" s="161" t="n"/>
      <c r="L51" s="161" t="n"/>
      <c r="M51" s="161" t="n"/>
      <c r="N51" s="161" t="n"/>
      <c r="O51" s="161" t="n"/>
      <c r="P51" s="161" t="n"/>
    </row>
    <row r="52" ht="15" customHeight="1" s="160">
      <c r="A52" s="161" t="n"/>
      <c r="B52" s="161" t="n"/>
      <c r="C52" s="161" t="n"/>
      <c r="D52" s="161" t="n"/>
      <c r="E52" s="161" t="n"/>
      <c r="F52" s="161" t="n"/>
      <c r="G52" s="161" t="n"/>
      <c r="H52" s="161" t="n"/>
      <c r="I52" s="161" t="n"/>
      <c r="J52" s="161" t="n"/>
      <c r="K52" s="161" t="n"/>
      <c r="L52" s="161" t="n"/>
      <c r="M52" s="161" t="n"/>
      <c r="N52" s="161" t="n"/>
      <c r="O52" s="161" t="n"/>
      <c r="P52" s="161" t="n"/>
    </row>
    <row r="53" ht="27.75" customHeight="1" s="160">
      <c r="A53" s="236" t="n"/>
      <c r="B53" s="286" t="inlineStr">
        <is>
          <t>IRR EQUITY WATERFALL — TIER-BY-TIER DETAIL</t>
        </is>
      </c>
      <c r="F53" s="219" t="inlineStr">
        <is>
          <t>Year 0</t>
        </is>
      </c>
      <c r="G53" s="219" t="n">
        <v>1</v>
      </c>
      <c r="H53" s="219" t="n">
        <v>2</v>
      </c>
      <c r="I53" s="219" t="n">
        <v>3</v>
      </c>
      <c r="J53" s="219" t="n">
        <v>4</v>
      </c>
      <c r="K53" s="219" t="n">
        <v>5</v>
      </c>
      <c r="L53" s="219" t="n">
        <v>6</v>
      </c>
      <c r="M53" s="219" t="n">
        <v>7</v>
      </c>
      <c r="N53" s="219" t="n">
        <v>8</v>
      </c>
      <c r="O53" s="219" t="n">
        <v>9</v>
      </c>
      <c r="P53" s="219" t="n">
        <v>10</v>
      </c>
    </row>
    <row r="54" ht="15" customHeight="1" s="160">
      <c r="A54" s="161" t="n"/>
      <c r="B54" s="161" t="n"/>
      <c r="C54" s="161" t="n"/>
      <c r="D54" s="161" t="n"/>
      <c r="E54" s="161" t="n"/>
      <c r="F54" s="161" t="n"/>
      <c r="G54" s="161" t="n"/>
      <c r="H54" s="161" t="n"/>
      <c r="I54" s="161" t="n"/>
      <c r="J54" s="161" t="n"/>
      <c r="K54" s="161" t="n"/>
      <c r="L54" s="161" t="n"/>
      <c r="M54" s="161" t="n"/>
      <c r="N54" s="161" t="n"/>
      <c r="O54" s="161" t="n"/>
      <c r="P54" s="161" t="n"/>
    </row>
    <row r="55" ht="24" customHeight="1" s="160">
      <c r="A55" s="294" t="n"/>
      <c r="B55" s="295" t="inlineStr">
        <is>
          <t>TIER 1 — Preferred Return + Return of Capital</t>
        </is>
      </c>
    </row>
    <row r="56" ht="15" customHeight="1" s="160">
      <c r="A56" s="161" t="n"/>
      <c r="B56" s="258" t="inlineStr">
        <is>
          <t>Hurdle: Up to</t>
        </is>
      </c>
      <c r="C56" s="288">
        <f>Assumptions!$C$204</f>
        <v/>
      </c>
      <c r="D56" s="161" t="n"/>
      <c r="E56" s="161" t="n"/>
      <c r="F56" s="161" t="n"/>
      <c r="G56" s="161" t="n"/>
      <c r="H56" s="161" t="n"/>
      <c r="I56" s="161" t="n"/>
      <c r="J56" s="161" t="n"/>
      <c r="K56" s="161" t="n"/>
      <c r="L56" s="161" t="n"/>
      <c r="M56" s="161" t="n"/>
      <c r="N56" s="161" t="n"/>
      <c r="O56" s="161" t="n"/>
      <c r="P56" s="161" t="n"/>
    </row>
    <row r="57" ht="15" customHeight="1" s="160">
      <c r="A57" s="161" t="n"/>
      <c r="B57" s="161" t="n"/>
      <c r="C57" s="161" t="n"/>
      <c r="D57" s="161" t="n"/>
      <c r="E57" s="161" t="n"/>
      <c r="F57" s="161" t="n"/>
      <c r="G57" s="161" t="n"/>
      <c r="H57" s="161" t="n"/>
      <c r="I57" s="161" t="n"/>
      <c r="J57" s="161" t="n"/>
      <c r="K57" s="161" t="n"/>
      <c r="L57" s="161" t="n"/>
      <c r="M57" s="161" t="n"/>
      <c r="N57" s="161" t="n"/>
      <c r="O57" s="161" t="n"/>
      <c r="P57" s="161" t="n"/>
    </row>
    <row r="58" ht="15" customHeight="1" s="160">
      <c r="A58" s="161" t="n"/>
      <c r="B58" s="166" t="inlineStr">
        <is>
          <t>LP Beginning Balance</t>
        </is>
      </c>
      <c r="C58" s="161" t="n"/>
      <c r="D58" s="161" t="n"/>
      <c r="E58" s="161" t="n"/>
      <c r="F58" s="194" t="n">
        <v>0</v>
      </c>
      <c r="G58" s="194">
        <f>F63</f>
        <v/>
      </c>
      <c r="H58" s="194">
        <f>G63</f>
        <v/>
      </c>
      <c r="I58" s="194">
        <f>H63</f>
        <v/>
      </c>
      <c r="J58" s="194">
        <f>I63</f>
        <v/>
      </c>
      <c r="K58" s="194">
        <f>J63</f>
        <v/>
      </c>
      <c r="L58" s="194">
        <f>K63</f>
        <v/>
      </c>
      <c r="M58" s="194">
        <f>L63</f>
        <v/>
      </c>
      <c r="N58" s="194">
        <f>M63</f>
        <v/>
      </c>
      <c r="O58" s="194">
        <f>N63</f>
        <v/>
      </c>
      <c r="P58" s="194">
        <f>O63</f>
        <v/>
      </c>
    </row>
    <row r="59" ht="15" customHeight="1" s="160">
      <c r="A59" s="161" t="n"/>
      <c r="B59" s="166" t="inlineStr">
        <is>
          <t>LP Preferred Return Accrual</t>
        </is>
      </c>
      <c r="C59" s="161" t="n"/>
      <c r="D59" s="161" t="n"/>
      <c r="E59" s="161" t="n"/>
      <c r="F59" s="194">
        <f>F58*$C$56</f>
        <v/>
      </c>
      <c r="G59" s="194">
        <f>G58*$C$56</f>
        <v/>
      </c>
      <c r="H59" s="194">
        <f>H58*$C$56</f>
        <v/>
      </c>
      <c r="I59" s="194">
        <f>I58*$C$56</f>
        <v/>
      </c>
      <c r="J59" s="194">
        <f>J58*$C$56</f>
        <v/>
      </c>
      <c r="K59" s="194">
        <f>K58*$C$56</f>
        <v/>
      </c>
      <c r="L59" s="194">
        <f>L58*$C$56</f>
        <v/>
      </c>
      <c r="M59" s="194">
        <f>M58*$C$56</f>
        <v/>
      </c>
      <c r="N59" s="194">
        <f>N58*$C$56</f>
        <v/>
      </c>
      <c r="O59" s="194">
        <f>O58*$C$56</f>
        <v/>
      </c>
      <c r="P59" s="194">
        <f>P58*$C$56</f>
        <v/>
      </c>
    </row>
    <row r="60" ht="15" customHeight="1" s="160">
      <c r="A60" s="161" t="n"/>
      <c r="B60" s="166" t="inlineStr">
        <is>
          <t>LP Contributions</t>
        </is>
      </c>
      <c r="C60" s="161" t="n"/>
      <c r="D60" s="161" t="n"/>
      <c r="E60" s="161" t="n"/>
      <c r="F60" s="213">
        <f>$D$8</f>
        <v/>
      </c>
      <c r="G60" s="194" t="n">
        <v>0</v>
      </c>
      <c r="H60" s="194" t="n">
        <v>0</v>
      </c>
      <c r="I60" s="194" t="n">
        <v>0</v>
      </c>
      <c r="J60" s="194" t="n">
        <v>0</v>
      </c>
      <c r="K60" s="194" t="n">
        <v>0</v>
      </c>
      <c r="L60" s="194" t="n">
        <v>0</v>
      </c>
      <c r="M60" s="194" t="n">
        <v>0</v>
      </c>
      <c r="N60" s="194" t="n">
        <v>0</v>
      </c>
      <c r="O60" s="194" t="n">
        <v>0</v>
      </c>
      <c r="P60" s="194" t="n">
        <v>0</v>
      </c>
    </row>
    <row r="61" ht="15" customHeight="1" s="160">
      <c r="A61" s="161" t="n"/>
      <c r="B61" s="166" t="inlineStr">
        <is>
          <t>LP Available Cash (LP share)</t>
        </is>
      </c>
      <c r="C61" s="161" t="n"/>
      <c r="D61" s="161" t="n"/>
      <c r="E61" s="161" t="n"/>
      <c r="F61" s="194">
        <f>MAX(F28,0)*$C$8</f>
        <v/>
      </c>
      <c r="G61" s="194">
        <f>MAX(G28,0)*$C$8</f>
        <v/>
      </c>
      <c r="H61" s="194">
        <f>MAX(H28,0)*$C$8</f>
        <v/>
      </c>
      <c r="I61" s="194">
        <f>MAX(I28,0)*$C$8</f>
        <v/>
      </c>
      <c r="J61" s="194">
        <f>MAX(J28,0)*$C$8</f>
        <v/>
      </c>
      <c r="K61" s="194">
        <f>MAX(K28,0)*$C$8</f>
        <v/>
      </c>
      <c r="L61" s="194">
        <f>MAX(L28,0)*$C$8</f>
        <v/>
      </c>
      <c r="M61" s="194">
        <f>MAX(M28,0)*$C$8</f>
        <v/>
      </c>
      <c r="N61" s="194">
        <f>MAX(N28,0)*$C$8</f>
        <v/>
      </c>
      <c r="O61" s="194">
        <f>MAX(O28,0)*$C$8</f>
        <v/>
      </c>
      <c r="P61" s="194">
        <f>MAX(P28,0)*$C$8</f>
        <v/>
      </c>
    </row>
    <row r="62" ht="15" customHeight="1" s="160">
      <c r="A62" s="161" t="n"/>
      <c r="B62" s="166" t="inlineStr">
        <is>
          <t>LP Distribution (Tier 1)</t>
        </is>
      </c>
      <c r="C62" s="161" t="n"/>
      <c r="D62" s="161" t="n"/>
      <c r="E62" s="161" t="n"/>
      <c r="F62" s="194" t="n">
        <v>0</v>
      </c>
      <c r="G62" s="194">
        <f>MIN(G58+G59,G61)</f>
        <v/>
      </c>
      <c r="H62" s="194">
        <f>MIN(H58+H59,H61)</f>
        <v/>
      </c>
      <c r="I62" s="194">
        <f>MIN(I58+I59,I61)</f>
        <v/>
      </c>
      <c r="J62" s="194">
        <f>MIN(J58+J59,J61)</f>
        <v/>
      </c>
      <c r="K62" s="194">
        <f>MIN(K58+K59,K61)</f>
        <v/>
      </c>
      <c r="L62" s="194">
        <f>MIN(L58+L59,L61)</f>
        <v/>
      </c>
      <c r="M62" s="194">
        <f>MIN(M58+M59,M61)</f>
        <v/>
      </c>
      <c r="N62" s="194">
        <f>MIN(N58+N59,N61)</f>
        <v/>
      </c>
      <c r="O62" s="194">
        <f>MIN(O58+O59,O61)</f>
        <v/>
      </c>
      <c r="P62" s="194">
        <f>MIN(P58+P59,P61)</f>
        <v/>
      </c>
    </row>
    <row r="63" ht="15" customHeight="1" s="160">
      <c r="A63" s="161" t="n"/>
      <c r="B63" s="166" t="inlineStr">
        <is>
          <t>LP Ending Balance</t>
        </is>
      </c>
      <c r="C63" s="161" t="n"/>
      <c r="D63" s="161" t="n"/>
      <c r="E63" s="161" t="n"/>
      <c r="F63" s="194">
        <f>F58+F59+F60-F62</f>
        <v/>
      </c>
      <c r="G63" s="194">
        <f>G58+G59+G60-G62</f>
        <v/>
      </c>
      <c r="H63" s="194">
        <f>H58+H59+H60-H62</f>
        <v/>
      </c>
      <c r="I63" s="194">
        <f>I58+I59+I60-I62</f>
        <v/>
      </c>
      <c r="J63" s="194">
        <f>J58+J59+J60-J62</f>
        <v/>
      </c>
      <c r="K63" s="194">
        <f>K58+K59+K60-K62</f>
        <v/>
      </c>
      <c r="L63" s="194">
        <f>L58+L59+L60-L62</f>
        <v/>
      </c>
      <c r="M63" s="194">
        <f>M58+M59+M60-M62</f>
        <v/>
      </c>
      <c r="N63" s="194">
        <f>N58+N59+N60-N62</f>
        <v/>
      </c>
      <c r="O63" s="194">
        <f>O58+O59+O60-O62</f>
        <v/>
      </c>
      <c r="P63" s="194">
        <f>P58+P59+P60-P62</f>
        <v/>
      </c>
    </row>
    <row r="64" ht="15" customHeight="1" s="160">
      <c r="A64" s="161" t="n"/>
      <c r="B64" s="179" t="inlineStr">
        <is>
          <t>LP IRR Check (Tier 1)</t>
        </is>
      </c>
      <c r="C64" s="161" t="n"/>
      <c r="D64" s="161" t="n"/>
      <c r="E64" s="296">
        <f>IFERROR(IRR(F64:P64),"N/A")</f>
        <v/>
      </c>
      <c r="F64" s="297">
        <f>-F60+F62</f>
        <v/>
      </c>
      <c r="G64" s="297">
        <f>-G60+G62</f>
        <v/>
      </c>
      <c r="H64" s="297">
        <f>-H60+H62</f>
        <v/>
      </c>
      <c r="I64" s="297">
        <f>-I60+I62</f>
        <v/>
      </c>
      <c r="J64" s="297">
        <f>-J60+J62</f>
        <v/>
      </c>
      <c r="K64" s="297">
        <f>-K60+K62</f>
        <v/>
      </c>
      <c r="L64" s="297">
        <f>-L60+L62</f>
        <v/>
      </c>
      <c r="M64" s="297">
        <f>-M60+M62</f>
        <v/>
      </c>
      <c r="N64" s="297">
        <f>-N60+N62</f>
        <v/>
      </c>
      <c r="O64" s="297">
        <f>-O60+O62</f>
        <v/>
      </c>
      <c r="P64" s="297">
        <f>-P60+P62</f>
        <v/>
      </c>
    </row>
    <row r="65" ht="15" customHeight="1" s="160">
      <c r="A65" s="161" t="n"/>
      <c r="B65" s="161" t="n"/>
      <c r="C65" s="161" t="n"/>
      <c r="D65" s="161" t="n"/>
      <c r="E65" s="161" t="n"/>
      <c r="F65" s="161" t="n"/>
      <c r="G65" s="161" t="n"/>
      <c r="H65" s="161" t="n"/>
      <c r="I65" s="161" t="n"/>
      <c r="J65" s="161" t="n"/>
      <c r="K65" s="161" t="n"/>
      <c r="L65" s="161" t="n"/>
      <c r="M65" s="161" t="n"/>
      <c r="N65" s="161" t="n"/>
      <c r="O65" s="161" t="n"/>
      <c r="P65" s="161" t="n"/>
    </row>
    <row r="66" ht="15" customHeight="1" s="160">
      <c r="A66" s="161" t="n"/>
      <c r="B66" s="166" t="inlineStr">
        <is>
          <t>GP Beginning Balance</t>
        </is>
      </c>
      <c r="C66" s="161" t="n"/>
      <c r="D66" s="161" t="n"/>
      <c r="E66" s="161" t="n"/>
      <c r="F66" s="194" t="n">
        <v>0</v>
      </c>
      <c r="G66" s="194">
        <f>F71</f>
        <v/>
      </c>
      <c r="H66" s="194">
        <f>G71</f>
        <v/>
      </c>
      <c r="I66" s="194">
        <f>H71</f>
        <v/>
      </c>
      <c r="J66" s="194">
        <f>I71</f>
        <v/>
      </c>
      <c r="K66" s="194">
        <f>J71</f>
        <v/>
      </c>
      <c r="L66" s="194">
        <f>K71</f>
        <v/>
      </c>
      <c r="M66" s="194">
        <f>L71</f>
        <v/>
      </c>
      <c r="N66" s="194">
        <f>M71</f>
        <v/>
      </c>
      <c r="O66" s="194">
        <f>N71</f>
        <v/>
      </c>
      <c r="P66" s="194">
        <f>O71</f>
        <v/>
      </c>
    </row>
    <row r="67" ht="15" customHeight="1" s="160">
      <c r="A67" s="161" t="n"/>
      <c r="B67" s="166" t="inlineStr">
        <is>
          <t>GP Preferred Return Accrual</t>
        </is>
      </c>
      <c r="C67" s="161" t="n"/>
      <c r="D67" s="161" t="n"/>
      <c r="E67" s="161" t="n"/>
      <c r="F67" s="194">
        <f>F66*$C$56</f>
        <v/>
      </c>
      <c r="G67" s="194">
        <f>G66*$C$56</f>
        <v/>
      </c>
      <c r="H67" s="194">
        <f>H66*$C$56</f>
        <v/>
      </c>
      <c r="I67" s="194">
        <f>I66*$C$56</f>
        <v/>
      </c>
      <c r="J67" s="194">
        <f>J66*$C$56</f>
        <v/>
      </c>
      <c r="K67" s="194">
        <f>K66*$C$56</f>
        <v/>
      </c>
      <c r="L67" s="194">
        <f>L66*$C$56</f>
        <v/>
      </c>
      <c r="M67" s="194">
        <f>M66*$C$56</f>
        <v/>
      </c>
      <c r="N67" s="194">
        <f>N66*$C$56</f>
        <v/>
      </c>
      <c r="O67" s="194">
        <f>O66*$C$56</f>
        <v/>
      </c>
      <c r="P67" s="194">
        <f>P66*$C$56</f>
        <v/>
      </c>
    </row>
    <row r="68" ht="15" customHeight="1" s="160">
      <c r="A68" s="161" t="n"/>
      <c r="B68" s="166" t="inlineStr">
        <is>
          <t>GP Contributions</t>
        </is>
      </c>
      <c r="C68" s="161" t="n"/>
      <c r="D68" s="161" t="n"/>
      <c r="E68" s="161" t="n"/>
      <c r="F68" s="213">
        <f>$D$7</f>
        <v/>
      </c>
      <c r="G68" s="194" t="n">
        <v>0</v>
      </c>
      <c r="H68" s="194" t="n">
        <v>0</v>
      </c>
      <c r="I68" s="194" t="n">
        <v>0</v>
      </c>
      <c r="J68" s="194" t="n">
        <v>0</v>
      </c>
      <c r="K68" s="194" t="n">
        <v>0</v>
      </c>
      <c r="L68" s="194" t="n">
        <v>0</v>
      </c>
      <c r="M68" s="194" t="n">
        <v>0</v>
      </c>
      <c r="N68" s="194" t="n">
        <v>0</v>
      </c>
      <c r="O68" s="194" t="n">
        <v>0</v>
      </c>
      <c r="P68" s="194" t="n">
        <v>0</v>
      </c>
    </row>
    <row r="69" ht="15" customHeight="1" s="160">
      <c r="A69" s="161" t="n"/>
      <c r="B69" s="166" t="inlineStr">
        <is>
          <t>GP Available Cash (GP share)</t>
        </is>
      </c>
      <c r="C69" s="161" t="n"/>
      <c r="D69" s="161" t="n"/>
      <c r="E69" s="161" t="n"/>
      <c r="F69" s="194">
        <f>MAX(F28,0)*$C$7</f>
        <v/>
      </c>
      <c r="G69" s="194">
        <f>MAX(G28,0)*$C$7</f>
        <v/>
      </c>
      <c r="H69" s="194">
        <f>MAX(H28,0)*$C$7</f>
        <v/>
      </c>
      <c r="I69" s="194">
        <f>MAX(I28,0)*$C$7</f>
        <v/>
      </c>
      <c r="J69" s="194">
        <f>MAX(J28,0)*$C$7</f>
        <v/>
      </c>
      <c r="K69" s="194">
        <f>MAX(K28,0)*$C$7</f>
        <v/>
      </c>
      <c r="L69" s="194">
        <f>MAX(L28,0)*$C$7</f>
        <v/>
      </c>
      <c r="M69" s="194">
        <f>MAX(M28,0)*$C$7</f>
        <v/>
      </c>
      <c r="N69" s="194">
        <f>MAX(N28,0)*$C$7</f>
        <v/>
      </c>
      <c r="O69" s="194">
        <f>MAX(O28,0)*$C$7</f>
        <v/>
      </c>
      <c r="P69" s="194">
        <f>MAX(P28,0)*$C$7</f>
        <v/>
      </c>
    </row>
    <row r="70" ht="15" customHeight="1" s="160">
      <c r="A70" s="161" t="n"/>
      <c r="B70" s="166" t="inlineStr">
        <is>
          <t>GP Distribution (Tier 1)</t>
        </is>
      </c>
      <c r="C70" s="161" t="n"/>
      <c r="D70" s="161" t="n"/>
      <c r="E70" s="161" t="n"/>
      <c r="F70" s="194" t="n">
        <v>0</v>
      </c>
      <c r="G70" s="194">
        <f>MIN(G66+G67,G69)</f>
        <v/>
      </c>
      <c r="H70" s="194">
        <f>MIN(H66+H67,H69)</f>
        <v/>
      </c>
      <c r="I70" s="194">
        <f>MIN(I66+I67,I69)</f>
        <v/>
      </c>
      <c r="J70" s="194">
        <f>MIN(J66+J67,J69)</f>
        <v/>
      </c>
      <c r="K70" s="194">
        <f>MIN(K66+K67,K69)</f>
        <v/>
      </c>
      <c r="L70" s="194">
        <f>MIN(L66+L67,L69)</f>
        <v/>
      </c>
      <c r="M70" s="194">
        <f>MIN(M66+M67,M69)</f>
        <v/>
      </c>
      <c r="N70" s="194">
        <f>MIN(N66+N67,N69)</f>
        <v/>
      </c>
      <c r="O70" s="194">
        <f>MIN(O66+O67,O69)</f>
        <v/>
      </c>
      <c r="P70" s="194">
        <f>MIN(P66+P67,P69)</f>
        <v/>
      </c>
    </row>
    <row r="71" ht="15" customHeight="1" s="160">
      <c r="A71" s="161" t="n"/>
      <c r="B71" s="166" t="inlineStr">
        <is>
          <t>GP Ending Balance</t>
        </is>
      </c>
      <c r="C71" s="161" t="n"/>
      <c r="D71" s="161" t="n"/>
      <c r="E71" s="161" t="n"/>
      <c r="F71" s="194">
        <f>F66+F67+F68-F70</f>
        <v/>
      </c>
      <c r="G71" s="194">
        <f>G66+G67+G68-G70</f>
        <v/>
      </c>
      <c r="H71" s="194">
        <f>H66+H67+H68-H70</f>
        <v/>
      </c>
      <c r="I71" s="194">
        <f>I66+I67+I68-I70</f>
        <v/>
      </c>
      <c r="J71" s="194">
        <f>J66+J67+J68-J70</f>
        <v/>
      </c>
      <c r="K71" s="194">
        <f>K66+K67+K68-K70</f>
        <v/>
      </c>
      <c r="L71" s="194">
        <f>L66+L67+L68-L70</f>
        <v/>
      </c>
      <c r="M71" s="194">
        <f>M66+M67+M68-M70</f>
        <v/>
      </c>
      <c r="N71" s="194">
        <f>N66+N67+N68-N70</f>
        <v/>
      </c>
      <c r="O71" s="194">
        <f>O66+O67+O68-O70</f>
        <v/>
      </c>
      <c r="P71" s="194">
        <f>P66+P67+P68-P70</f>
        <v/>
      </c>
    </row>
    <row r="72" ht="15" customHeight="1" s="160">
      <c r="A72" s="161" t="n"/>
      <c r="B72" s="161" t="n"/>
      <c r="C72" s="161" t="n"/>
      <c r="D72" s="161" t="n"/>
      <c r="E72" s="161" t="n"/>
      <c r="F72" s="161" t="n"/>
      <c r="G72" s="161" t="n"/>
      <c r="H72" s="161" t="n"/>
      <c r="I72" s="161" t="n"/>
      <c r="J72" s="161" t="n"/>
      <c r="K72" s="161" t="n"/>
      <c r="L72" s="161" t="n"/>
      <c r="M72" s="161" t="n"/>
      <c r="N72" s="161" t="n"/>
      <c r="O72" s="161" t="n"/>
      <c r="P72" s="161" t="n"/>
    </row>
    <row r="73" ht="15" customHeight="1" s="160">
      <c r="A73" s="289" t="n"/>
      <c r="B73" s="268" t="inlineStr">
        <is>
          <t>Total Tier 1 Distributions (LP+GP)</t>
        </is>
      </c>
      <c r="C73" s="289" t="n"/>
      <c r="D73" s="289" t="n"/>
      <c r="E73" s="289" t="n"/>
      <c r="F73" s="193">
        <f>F62+F70</f>
        <v/>
      </c>
      <c r="G73" s="193">
        <f>G62+G70</f>
        <v/>
      </c>
      <c r="H73" s="193">
        <f>H62+H70</f>
        <v/>
      </c>
      <c r="I73" s="193">
        <f>I62+I70</f>
        <v/>
      </c>
      <c r="J73" s="193">
        <f>J62+J70</f>
        <v/>
      </c>
      <c r="K73" s="193">
        <f>K62+K70</f>
        <v/>
      </c>
      <c r="L73" s="193">
        <f>L62+L70</f>
        <v/>
      </c>
      <c r="M73" s="193">
        <f>M62+M70</f>
        <v/>
      </c>
      <c r="N73" s="193">
        <f>N62+N70</f>
        <v/>
      </c>
      <c r="O73" s="193">
        <f>O62+O70</f>
        <v/>
      </c>
      <c r="P73" s="193">
        <f>P62+P70</f>
        <v/>
      </c>
    </row>
    <row r="74" ht="15" customHeight="1" s="160">
      <c r="A74" s="161" t="n"/>
      <c r="B74" s="298" t="inlineStr">
        <is>
          <t>LP Distribution (Tier 1)</t>
        </is>
      </c>
      <c r="C74" s="161" t="n"/>
      <c r="D74" s="161" t="n"/>
      <c r="E74" s="161" t="n"/>
      <c r="F74" s="259">
        <f>F62</f>
        <v/>
      </c>
      <c r="G74" s="259">
        <f>G62</f>
        <v/>
      </c>
      <c r="H74" s="259">
        <f>H62</f>
        <v/>
      </c>
      <c r="I74" s="259">
        <f>I62</f>
        <v/>
      </c>
      <c r="J74" s="259">
        <f>J62</f>
        <v/>
      </c>
      <c r="K74" s="259">
        <f>K62</f>
        <v/>
      </c>
      <c r="L74" s="259">
        <f>L62</f>
        <v/>
      </c>
      <c r="M74" s="259">
        <f>M62</f>
        <v/>
      </c>
      <c r="N74" s="259">
        <f>N62</f>
        <v/>
      </c>
      <c r="O74" s="259">
        <f>O62</f>
        <v/>
      </c>
      <c r="P74" s="259">
        <f>P62</f>
        <v/>
      </c>
    </row>
    <row r="75" ht="15" customHeight="1" s="160">
      <c r="A75" s="161" t="n"/>
      <c r="B75" s="298" t="inlineStr">
        <is>
          <t>GP Distribution (Tier 1)</t>
        </is>
      </c>
      <c r="C75" s="161" t="n"/>
      <c r="D75" s="161" t="n"/>
      <c r="E75" s="161" t="n"/>
      <c r="F75" s="259">
        <f>F70</f>
        <v/>
      </c>
      <c r="G75" s="259">
        <f>G70</f>
        <v/>
      </c>
      <c r="H75" s="259">
        <f>H70</f>
        <v/>
      </c>
      <c r="I75" s="259">
        <f>I70</f>
        <v/>
      </c>
      <c r="J75" s="259">
        <f>J70</f>
        <v/>
      </c>
      <c r="K75" s="259">
        <f>K70</f>
        <v/>
      </c>
      <c r="L75" s="259">
        <f>L70</f>
        <v/>
      </c>
      <c r="M75" s="259">
        <f>M70</f>
        <v/>
      </c>
      <c r="N75" s="259">
        <f>N70</f>
        <v/>
      </c>
      <c r="O75" s="259">
        <f>O70</f>
        <v/>
      </c>
      <c r="P75" s="259">
        <f>P70</f>
        <v/>
      </c>
    </row>
    <row r="76" ht="15" customHeight="1" s="160">
      <c r="A76" s="161" t="n"/>
      <c r="B76" s="166" t="inlineStr">
        <is>
          <t>Cash Flow Remaining After Tier 1</t>
        </is>
      </c>
      <c r="C76" s="161" t="n"/>
      <c r="D76" s="161" t="n"/>
      <c r="E76" s="161" t="n"/>
      <c r="F76" s="194">
        <f>MAX(F28-F73,0)</f>
        <v/>
      </c>
      <c r="G76" s="194">
        <f>MAX(G28-G73,0)</f>
        <v/>
      </c>
      <c r="H76" s="194">
        <f>MAX(H28-H73,0)</f>
        <v/>
      </c>
      <c r="I76" s="194">
        <f>MAX(I28-I73,0)</f>
        <v/>
      </c>
      <c r="J76" s="194">
        <f>MAX(J28-J73,0)</f>
        <v/>
      </c>
      <c r="K76" s="194">
        <f>MAX(K28-K73,0)</f>
        <v/>
      </c>
      <c r="L76" s="194">
        <f>MAX(L28-L73,0)</f>
        <v/>
      </c>
      <c r="M76" s="194">
        <f>MAX(M28-M73,0)</f>
        <v/>
      </c>
      <c r="N76" s="194">
        <f>MAX(N28-N73,0)</f>
        <v/>
      </c>
      <c r="O76" s="194">
        <f>MAX(O28-O73,0)</f>
        <v/>
      </c>
      <c r="P76" s="194">
        <f>MAX(P28-P73,0)</f>
        <v/>
      </c>
    </row>
    <row r="77" ht="15" customHeight="1" s="160">
      <c r="A77" s="161" t="n"/>
      <c r="B77" s="161" t="n"/>
      <c r="C77" s="161" t="n"/>
      <c r="D77" s="161" t="n"/>
      <c r="E77" s="161" t="n"/>
      <c r="F77" s="161" t="n"/>
      <c r="G77" s="161" t="n"/>
      <c r="H77" s="161" t="n"/>
      <c r="I77" s="161" t="n"/>
      <c r="J77" s="161" t="n"/>
      <c r="K77" s="161" t="n"/>
      <c r="L77" s="161" t="n"/>
      <c r="M77" s="161" t="n"/>
      <c r="N77" s="161" t="n"/>
      <c r="O77" s="161" t="n"/>
      <c r="P77" s="161" t="n"/>
    </row>
    <row r="78" ht="24" customHeight="1" s="160">
      <c r="A78" s="294" t="n"/>
      <c r="B78" s="295" t="inlineStr">
        <is>
          <t>TIER 2 — Promote</t>
        </is>
      </c>
    </row>
    <row r="79" ht="15" customHeight="1" s="160">
      <c r="A79" s="161" t="n"/>
      <c r="B79" s="258" t="inlineStr">
        <is>
          <t>Hurdle: Up to</t>
        </is>
      </c>
      <c r="C79" s="288">
        <f>Assumptions!$C$205</f>
        <v/>
      </c>
      <c r="D79" s="161" t="n"/>
      <c r="E79" s="161" t="n"/>
      <c r="F79" s="161" t="n"/>
      <c r="G79" s="161" t="n"/>
      <c r="H79" s="161" t="n"/>
      <c r="I79" s="161" t="n"/>
      <c r="J79" s="161" t="n"/>
      <c r="K79" s="161" t="n"/>
      <c r="L79" s="161" t="n"/>
      <c r="M79" s="161" t="n"/>
      <c r="N79" s="161" t="n"/>
      <c r="O79" s="161" t="n"/>
      <c r="P79" s="161" t="n"/>
    </row>
    <row r="80" ht="15" customHeight="1" s="160">
      <c r="A80" s="161" t="n"/>
      <c r="B80" s="258" t="inlineStr">
        <is>
          <t>LP / GP Split</t>
        </is>
      </c>
      <c r="C80" s="288">
        <f>Assumptions!$C$206</f>
        <v/>
      </c>
      <c r="D80" s="223">
        <f>1-C80</f>
        <v/>
      </c>
      <c r="E80" s="161" t="n"/>
      <c r="F80" s="161" t="n"/>
      <c r="G80" s="161" t="n"/>
      <c r="H80" s="161" t="n"/>
      <c r="I80" s="161" t="n"/>
      <c r="J80" s="161" t="n"/>
      <c r="K80" s="161" t="n"/>
      <c r="L80" s="161" t="n"/>
      <c r="M80" s="161" t="n"/>
      <c r="N80" s="161" t="n"/>
      <c r="O80" s="161" t="n"/>
      <c r="P80" s="161" t="n"/>
    </row>
    <row r="81" ht="15" customHeight="1" s="160">
      <c r="A81" s="161" t="n"/>
      <c r="B81" s="161" t="n"/>
      <c r="C81" s="161" t="n"/>
      <c r="D81" s="161" t="n"/>
      <c r="E81" s="161" t="n"/>
      <c r="F81" s="161" t="n"/>
      <c r="G81" s="161" t="n"/>
      <c r="H81" s="161" t="n"/>
      <c r="I81" s="161" t="n"/>
      <c r="J81" s="161" t="n"/>
      <c r="K81" s="161" t="n"/>
      <c r="L81" s="161" t="n"/>
      <c r="M81" s="161" t="n"/>
      <c r="N81" s="161" t="n"/>
      <c r="O81" s="161" t="n"/>
      <c r="P81" s="161" t="n"/>
    </row>
    <row r="82" ht="15" customHeight="1" s="160">
      <c r="A82" s="161" t="n"/>
      <c r="B82" s="166" t="inlineStr">
        <is>
          <t>LP Beginning Balance</t>
        </is>
      </c>
      <c r="C82" s="161" t="n"/>
      <c r="D82" s="161" t="n"/>
      <c r="E82" s="161" t="n"/>
      <c r="F82" s="194" t="n">
        <v>0</v>
      </c>
      <c r="G82" s="194">
        <f>F86</f>
        <v/>
      </c>
      <c r="H82" s="194">
        <f>G86</f>
        <v/>
      </c>
      <c r="I82" s="194">
        <f>H86</f>
        <v/>
      </c>
      <c r="J82" s="194">
        <f>I86</f>
        <v/>
      </c>
      <c r="K82" s="194">
        <f>J86</f>
        <v/>
      </c>
      <c r="L82" s="194">
        <f>K86</f>
        <v/>
      </c>
      <c r="M82" s="194">
        <f>L86</f>
        <v/>
      </c>
      <c r="N82" s="194">
        <f>M86</f>
        <v/>
      </c>
      <c r="O82" s="194">
        <f>N86</f>
        <v/>
      </c>
      <c r="P82" s="194">
        <f>O86</f>
        <v/>
      </c>
    </row>
    <row r="83" ht="15" customHeight="1" s="160">
      <c r="A83" s="161" t="n"/>
      <c r="B83" s="166" t="inlineStr">
        <is>
          <t>Req'd Return to hit Hurdle 2</t>
        </is>
      </c>
      <c r="C83" s="161" t="n"/>
      <c r="D83" s="161" t="n"/>
      <c r="E83" s="161" t="n"/>
      <c r="F83" s="194">
        <f>F82*$C$79</f>
        <v/>
      </c>
      <c r="G83" s="194">
        <f>G82*$C$79</f>
        <v/>
      </c>
      <c r="H83" s="194">
        <f>H82*$C$79</f>
        <v/>
      </c>
      <c r="I83" s="194">
        <f>I82*$C$79</f>
        <v/>
      </c>
      <c r="J83" s="194">
        <f>J82*$C$79</f>
        <v/>
      </c>
      <c r="K83" s="194">
        <f>K82*$C$79</f>
        <v/>
      </c>
      <c r="L83" s="194">
        <f>L82*$C$79</f>
        <v/>
      </c>
      <c r="M83" s="194">
        <f>M82*$C$79</f>
        <v/>
      </c>
      <c r="N83" s="194">
        <f>N82*$C$79</f>
        <v/>
      </c>
      <c r="O83" s="194">
        <f>O82*$C$79</f>
        <v/>
      </c>
      <c r="P83" s="194">
        <f>P82*$C$79</f>
        <v/>
      </c>
    </row>
    <row r="84" ht="15" customHeight="1" s="160">
      <c r="A84" s="161" t="n"/>
      <c r="B84" s="166" t="inlineStr">
        <is>
          <t>Prior LP Distributions</t>
        </is>
      </c>
      <c r="C84" s="161" t="n"/>
      <c r="D84" s="161" t="n"/>
      <c r="E84" s="161" t="n"/>
      <c r="F84" s="194">
        <f>F74</f>
        <v/>
      </c>
      <c r="G84" s="194">
        <f>G74</f>
        <v/>
      </c>
      <c r="H84" s="194">
        <f>H74</f>
        <v/>
      </c>
      <c r="I84" s="194">
        <f>I74</f>
        <v/>
      </c>
      <c r="J84" s="194">
        <f>J74</f>
        <v/>
      </c>
      <c r="K84" s="194">
        <f>K74</f>
        <v/>
      </c>
      <c r="L84" s="194">
        <f>L74</f>
        <v/>
      </c>
      <c r="M84" s="194">
        <f>M74</f>
        <v/>
      </c>
      <c r="N84" s="194">
        <f>N74</f>
        <v/>
      </c>
      <c r="O84" s="194">
        <f>O74</f>
        <v/>
      </c>
      <c r="P84" s="194">
        <f>P74</f>
        <v/>
      </c>
    </row>
    <row r="85" ht="15" customHeight="1" s="160">
      <c r="A85" s="161" t="n"/>
      <c r="B85" s="166" t="inlineStr">
        <is>
          <t>LP Distribution (Tier 2)</t>
        </is>
      </c>
      <c r="C85" s="161" t="n"/>
      <c r="D85" s="161" t="n"/>
      <c r="E85" s="161" t="n"/>
      <c r="F85" s="194" t="n">
        <v>0</v>
      </c>
      <c r="G85" s="194">
        <f>MAX(MIN(G82+G83-G84,G76*$C$80),0)</f>
        <v/>
      </c>
      <c r="H85" s="194">
        <f>MAX(MIN(H82+H83-H84,H76*$C$80),0)</f>
        <v/>
      </c>
      <c r="I85" s="194">
        <f>MAX(MIN(I82+I83-I84,I76*$C$80),0)</f>
        <v/>
      </c>
      <c r="J85" s="194">
        <f>MAX(MIN(J82+J83-J84,J76*$C$80),0)</f>
        <v/>
      </c>
      <c r="K85" s="194">
        <f>MAX(MIN(K82+K83-K84,K76*$C$80),0)</f>
        <v/>
      </c>
      <c r="L85" s="194">
        <f>MAX(MIN(L82+L83-L84,L76*$C$80),0)</f>
        <v/>
      </c>
      <c r="M85" s="194">
        <f>MAX(MIN(M82+M83-M84,M76*$C$80),0)</f>
        <v/>
      </c>
      <c r="N85" s="194">
        <f>MAX(MIN(N82+N83-N84,N76*$C$80),0)</f>
        <v/>
      </c>
      <c r="O85" s="194">
        <f>MAX(MIN(O82+O83-O84,O76*$C$80),0)</f>
        <v/>
      </c>
      <c r="P85" s="194">
        <f>MAX(MIN(P82+P83-P84,P76*$C$80),0)</f>
        <v/>
      </c>
    </row>
    <row r="86" ht="15" customHeight="1" s="160">
      <c r="A86" s="161" t="n"/>
      <c r="B86" s="166" t="inlineStr">
        <is>
          <t>LP Ending Balance</t>
        </is>
      </c>
      <c r="C86" s="161" t="n"/>
      <c r="D86" s="161" t="n"/>
      <c r="E86" s="161" t="n"/>
      <c r="F86" s="194">
        <f>$D$8</f>
        <v/>
      </c>
      <c r="G86" s="194">
        <f>G82+G83+0-G84-G85</f>
        <v/>
      </c>
      <c r="H86" s="194">
        <f>H82+H83+0-H84-H85</f>
        <v/>
      </c>
      <c r="I86" s="194">
        <f>I82+I83+0-I84-I85</f>
        <v/>
      </c>
      <c r="J86" s="194">
        <f>J82+J83+0-J84-J85</f>
        <v/>
      </c>
      <c r="K86" s="194">
        <f>K82+K83+0-K84-K85</f>
        <v/>
      </c>
      <c r="L86" s="194">
        <f>L82+L83+0-L84-L85</f>
        <v/>
      </c>
      <c r="M86" s="194">
        <f>M82+M83+0-M84-M85</f>
        <v/>
      </c>
      <c r="N86" s="194">
        <f>N82+N83+0-N84-N85</f>
        <v/>
      </c>
      <c r="O86" s="194">
        <f>O82+O83+0-O84-O85</f>
        <v/>
      </c>
      <c r="P86" s="194">
        <f>P82+P83+0-P84-P85</f>
        <v/>
      </c>
    </row>
    <row r="87" ht="15" customHeight="1" s="160">
      <c r="A87" s="161" t="n"/>
      <c r="B87" s="298" t="inlineStr">
        <is>
          <t>LP Distribution (Tier 2)</t>
        </is>
      </c>
      <c r="C87" s="161" t="n"/>
      <c r="D87" s="161" t="n"/>
      <c r="E87" s="161" t="n"/>
      <c r="F87" s="259">
        <f>F85</f>
        <v/>
      </c>
      <c r="G87" s="259">
        <f>G85</f>
        <v/>
      </c>
      <c r="H87" s="259">
        <f>H85</f>
        <v/>
      </c>
      <c r="I87" s="259">
        <f>I85</f>
        <v/>
      </c>
      <c r="J87" s="259">
        <f>J85</f>
        <v/>
      </c>
      <c r="K87" s="259">
        <f>K85</f>
        <v/>
      </c>
      <c r="L87" s="259">
        <f>L85</f>
        <v/>
      </c>
      <c r="M87" s="259">
        <f>M85</f>
        <v/>
      </c>
      <c r="N87" s="259">
        <f>N85</f>
        <v/>
      </c>
      <c r="O87" s="259">
        <f>O85</f>
        <v/>
      </c>
      <c r="P87" s="259">
        <f>P85</f>
        <v/>
      </c>
    </row>
    <row r="88" ht="15" customHeight="1" s="160">
      <c r="A88" s="161" t="n"/>
      <c r="B88" s="166" t="inlineStr">
        <is>
          <t>GP Distribution (Tier 2)</t>
        </is>
      </c>
      <c r="C88" s="161" t="n"/>
      <c r="D88" s="161" t="n"/>
      <c r="E88" s="161" t="n"/>
      <c r="F88" s="194">
        <f>IF($C$80&gt;0,F87/$C$80*$D$80,0)</f>
        <v/>
      </c>
      <c r="G88" s="194">
        <f>IF($C$80&gt;0,G87/$C$80*$D$80,0)</f>
        <v/>
      </c>
      <c r="H88" s="194">
        <f>IF($C$80&gt;0,H87/$C$80*$D$80,0)</f>
        <v/>
      </c>
      <c r="I88" s="194">
        <f>IF($C$80&gt;0,I87/$C$80*$D$80,0)</f>
        <v/>
      </c>
      <c r="J88" s="194">
        <f>IF($C$80&gt;0,J87/$C$80*$D$80,0)</f>
        <v/>
      </c>
      <c r="K88" s="194">
        <f>IF($C$80&gt;0,K87/$C$80*$D$80,0)</f>
        <v/>
      </c>
      <c r="L88" s="194">
        <f>IF($C$80&gt;0,L87/$C$80*$D$80,0)</f>
        <v/>
      </c>
      <c r="M88" s="194">
        <f>IF($C$80&gt;0,M87/$C$80*$D$80,0)</f>
        <v/>
      </c>
      <c r="N88" s="194">
        <f>IF($C$80&gt;0,N87/$C$80*$D$80,0)</f>
        <v/>
      </c>
      <c r="O88" s="194">
        <f>IF($C$80&gt;0,O87/$C$80*$D$80,0)</f>
        <v/>
      </c>
      <c r="P88" s="194">
        <f>IF($C$80&gt;0,P87/$C$80*$D$80,0)</f>
        <v/>
      </c>
    </row>
    <row r="89" ht="15" customHeight="1" s="160">
      <c r="A89" s="289" t="n"/>
      <c r="B89" s="268" t="inlineStr">
        <is>
          <t>Total Tier 2 Distributions</t>
        </is>
      </c>
      <c r="C89" s="289" t="n"/>
      <c r="D89" s="289" t="n"/>
      <c r="E89" s="289" t="n"/>
      <c r="F89" s="193">
        <f>F87+F88</f>
        <v/>
      </c>
      <c r="G89" s="193">
        <f>G87+G88</f>
        <v/>
      </c>
      <c r="H89" s="193">
        <f>H87+H88</f>
        <v/>
      </c>
      <c r="I89" s="193">
        <f>I87+I88</f>
        <v/>
      </c>
      <c r="J89" s="193">
        <f>J87+J88</f>
        <v/>
      </c>
      <c r="K89" s="193">
        <f>K87+K88</f>
        <v/>
      </c>
      <c r="L89" s="193">
        <f>L87+L88</f>
        <v/>
      </c>
      <c r="M89" s="193">
        <f>M87+M88</f>
        <v/>
      </c>
      <c r="N89" s="193">
        <f>N87+N88</f>
        <v/>
      </c>
      <c r="O89" s="193">
        <f>O87+O88</f>
        <v/>
      </c>
      <c r="P89" s="193">
        <f>P87+P88</f>
        <v/>
      </c>
    </row>
    <row r="90" ht="15" customHeight="1" s="160">
      <c r="A90" s="161" t="n"/>
      <c r="B90" s="166" t="inlineStr">
        <is>
          <t>Cash Flow Remaining After Tier 2</t>
        </is>
      </c>
      <c r="C90" s="161" t="n"/>
      <c r="D90" s="161" t="n"/>
      <c r="E90" s="161" t="n"/>
      <c r="F90" s="194">
        <f>MAX(F76-F89,0)</f>
        <v/>
      </c>
      <c r="G90" s="194">
        <f>MAX(G76-G89,0)</f>
        <v/>
      </c>
      <c r="H90" s="194">
        <f>MAX(H76-H89,0)</f>
        <v/>
      </c>
      <c r="I90" s="194">
        <f>MAX(I76-I89,0)</f>
        <v/>
      </c>
      <c r="J90" s="194">
        <f>MAX(J76-J89,0)</f>
        <v/>
      </c>
      <c r="K90" s="194">
        <f>MAX(K76-K89,0)</f>
        <v/>
      </c>
      <c r="L90" s="194">
        <f>MAX(L76-L89,0)</f>
        <v/>
      </c>
      <c r="M90" s="194">
        <f>MAX(M76-M89,0)</f>
        <v/>
      </c>
      <c r="N90" s="194">
        <f>MAX(N76-N89,0)</f>
        <v/>
      </c>
      <c r="O90" s="194">
        <f>MAX(O76-O89,0)</f>
        <v/>
      </c>
      <c r="P90" s="194">
        <f>MAX(P76-P89,0)</f>
        <v/>
      </c>
    </row>
    <row r="91" ht="15" customHeight="1" s="160">
      <c r="A91" s="161" t="n"/>
      <c r="B91" s="161" t="n"/>
      <c r="C91" s="161" t="n"/>
      <c r="D91" s="161" t="n"/>
      <c r="E91" s="161" t="n"/>
      <c r="F91" s="161" t="n"/>
      <c r="G91" s="161" t="n"/>
      <c r="H91" s="161" t="n"/>
      <c r="I91" s="161" t="n"/>
      <c r="J91" s="161" t="n"/>
      <c r="K91" s="161" t="n"/>
      <c r="L91" s="161" t="n"/>
      <c r="M91" s="161" t="n"/>
      <c r="N91" s="161" t="n"/>
      <c r="O91" s="161" t="n"/>
      <c r="P91" s="161" t="n"/>
    </row>
    <row r="92" ht="24" customHeight="1" s="160">
      <c r="A92" s="294" t="n"/>
      <c r="B92" s="295" t="inlineStr">
        <is>
          <t>TIER 3 — Promote</t>
        </is>
      </c>
    </row>
    <row r="93" ht="15" customHeight="1" s="160">
      <c r="A93" s="161" t="n"/>
      <c r="B93" s="258" t="inlineStr">
        <is>
          <t>Hurdle: Up to</t>
        </is>
      </c>
      <c r="C93" s="288">
        <f>Assumptions!$C$207</f>
        <v/>
      </c>
      <c r="D93" s="161" t="n"/>
      <c r="E93" s="161" t="n"/>
      <c r="F93" s="161" t="n"/>
      <c r="G93" s="161" t="n"/>
      <c r="H93" s="161" t="n"/>
      <c r="I93" s="161" t="n"/>
      <c r="J93" s="161" t="n"/>
      <c r="K93" s="161" t="n"/>
      <c r="L93" s="161" t="n"/>
      <c r="M93" s="161" t="n"/>
      <c r="N93" s="161" t="n"/>
      <c r="O93" s="161" t="n"/>
      <c r="P93" s="161" t="n"/>
    </row>
    <row r="94" ht="15" customHeight="1" s="160">
      <c r="A94" s="161" t="n"/>
      <c r="B94" s="258" t="inlineStr">
        <is>
          <t>LP / GP Split</t>
        </is>
      </c>
      <c r="C94" s="288">
        <f>Assumptions!$C$208</f>
        <v/>
      </c>
      <c r="D94" s="223">
        <f>1-C94</f>
        <v/>
      </c>
      <c r="E94" s="161" t="n"/>
      <c r="F94" s="161" t="n"/>
      <c r="G94" s="161" t="n"/>
      <c r="H94" s="161" t="n"/>
      <c r="I94" s="161" t="n"/>
      <c r="J94" s="161" t="n"/>
      <c r="K94" s="161" t="n"/>
      <c r="L94" s="161" t="n"/>
      <c r="M94" s="161" t="n"/>
      <c r="N94" s="161" t="n"/>
      <c r="O94" s="161" t="n"/>
      <c r="P94" s="161" t="n"/>
    </row>
    <row r="95" ht="15" customHeight="1" s="160">
      <c r="A95" s="161" t="n"/>
      <c r="B95" s="161" t="n"/>
      <c r="C95" s="161" t="n"/>
      <c r="D95" s="161" t="n"/>
      <c r="E95" s="161" t="n"/>
      <c r="F95" s="161" t="n"/>
      <c r="G95" s="161" t="n"/>
      <c r="H95" s="161" t="n"/>
      <c r="I95" s="161" t="n"/>
      <c r="J95" s="161" t="n"/>
      <c r="K95" s="161" t="n"/>
      <c r="L95" s="161" t="n"/>
      <c r="M95" s="161" t="n"/>
      <c r="N95" s="161" t="n"/>
      <c r="O95" s="161" t="n"/>
      <c r="P95" s="161" t="n"/>
    </row>
    <row r="96" ht="15" customHeight="1" s="160">
      <c r="A96" s="161" t="n"/>
      <c r="B96" s="166" t="inlineStr">
        <is>
          <t>LP Beginning Balance</t>
        </is>
      </c>
      <c r="C96" s="161" t="n"/>
      <c r="D96" s="161" t="n"/>
      <c r="E96" s="161" t="n"/>
      <c r="F96" s="194" t="n">
        <v>0</v>
      </c>
      <c r="G96" s="194">
        <f>F100</f>
        <v/>
      </c>
      <c r="H96" s="194">
        <f>G100</f>
        <v/>
      </c>
      <c r="I96" s="194">
        <f>H100</f>
        <v/>
      </c>
      <c r="J96" s="194">
        <f>I100</f>
        <v/>
      </c>
      <c r="K96" s="194">
        <f>J100</f>
        <v/>
      </c>
      <c r="L96" s="194">
        <f>K100</f>
        <v/>
      </c>
      <c r="M96" s="194">
        <f>L100</f>
        <v/>
      </c>
      <c r="N96" s="194">
        <f>M100</f>
        <v/>
      </c>
      <c r="O96" s="194">
        <f>N100</f>
        <v/>
      </c>
      <c r="P96" s="194">
        <f>O100</f>
        <v/>
      </c>
    </row>
    <row r="97" ht="15" customHeight="1" s="160">
      <c r="A97" s="161" t="n"/>
      <c r="B97" s="166" t="inlineStr">
        <is>
          <t>Req'd Return to hit Hurdle 3</t>
        </is>
      </c>
      <c r="C97" s="161" t="n"/>
      <c r="D97" s="161" t="n"/>
      <c r="E97" s="161" t="n"/>
      <c r="F97" s="194">
        <f>F96*$C$93</f>
        <v/>
      </c>
      <c r="G97" s="194">
        <f>G96*$C$93</f>
        <v/>
      </c>
      <c r="H97" s="194">
        <f>H96*$C$93</f>
        <v/>
      </c>
      <c r="I97" s="194">
        <f>I96*$C$93</f>
        <v/>
      </c>
      <c r="J97" s="194">
        <f>J96*$C$93</f>
        <v/>
      </c>
      <c r="K97" s="194">
        <f>K96*$C$93</f>
        <v/>
      </c>
      <c r="L97" s="194">
        <f>L96*$C$93</f>
        <v/>
      </c>
      <c r="M97" s="194">
        <f>M96*$C$93</f>
        <v/>
      </c>
      <c r="N97" s="194">
        <f>N96*$C$93</f>
        <v/>
      </c>
      <c r="O97" s="194">
        <f>O96*$C$93</f>
        <v/>
      </c>
      <c r="P97" s="194">
        <f>P96*$C$93</f>
        <v/>
      </c>
    </row>
    <row r="98" ht="15" customHeight="1" s="160">
      <c r="A98" s="161" t="n"/>
      <c r="B98" s="166" t="inlineStr">
        <is>
          <t>Prior LP Distributions</t>
        </is>
      </c>
      <c r="C98" s="161" t="n"/>
      <c r="D98" s="161" t="n"/>
      <c r="E98" s="161" t="n"/>
      <c r="F98" s="194">
        <f>F74+F87</f>
        <v/>
      </c>
      <c r="G98" s="194">
        <f>G74+G87</f>
        <v/>
      </c>
      <c r="H98" s="194">
        <f>H74+H87</f>
        <v/>
      </c>
      <c r="I98" s="194">
        <f>I74+I87</f>
        <v/>
      </c>
      <c r="J98" s="194">
        <f>J74+J87</f>
        <v/>
      </c>
      <c r="K98" s="194">
        <f>K74+K87</f>
        <v/>
      </c>
      <c r="L98" s="194">
        <f>L74+L87</f>
        <v/>
      </c>
      <c r="M98" s="194">
        <f>M74+M87</f>
        <v/>
      </c>
      <c r="N98" s="194">
        <f>N74+N87</f>
        <v/>
      </c>
      <c r="O98" s="194">
        <f>O74+O87</f>
        <v/>
      </c>
      <c r="P98" s="194">
        <f>P74+P87</f>
        <v/>
      </c>
    </row>
    <row r="99" ht="15" customHeight="1" s="160">
      <c r="A99" s="161" t="n"/>
      <c r="B99" s="166" t="inlineStr">
        <is>
          <t>LP Distribution (Tier 3)</t>
        </is>
      </c>
      <c r="C99" s="161" t="n"/>
      <c r="D99" s="161" t="n"/>
      <c r="E99" s="161" t="n"/>
      <c r="F99" s="194" t="n">
        <v>0</v>
      </c>
      <c r="G99" s="194">
        <f>MAX(MIN(G96+G97-G98,G90*$C$94),0)</f>
        <v/>
      </c>
      <c r="H99" s="194">
        <f>MAX(MIN(H96+H97-H98,H90*$C$94),0)</f>
        <v/>
      </c>
      <c r="I99" s="194">
        <f>MAX(MIN(I96+I97-I98,I90*$C$94),0)</f>
        <v/>
      </c>
      <c r="J99" s="194">
        <f>MAX(MIN(J96+J97-J98,J90*$C$94),0)</f>
        <v/>
      </c>
      <c r="K99" s="194">
        <f>MAX(MIN(K96+K97-K98,K90*$C$94),0)</f>
        <v/>
      </c>
      <c r="L99" s="194">
        <f>MAX(MIN(L96+L97-L98,L90*$C$94),0)</f>
        <v/>
      </c>
      <c r="M99" s="194">
        <f>MAX(MIN(M96+M97-M98,M90*$C$94),0)</f>
        <v/>
      </c>
      <c r="N99" s="194">
        <f>MAX(MIN(N96+N97-N98,N90*$C$94),0)</f>
        <v/>
      </c>
      <c r="O99" s="194">
        <f>MAX(MIN(O96+O97-O98,O90*$C$94),0)</f>
        <v/>
      </c>
      <c r="P99" s="194">
        <f>MAX(MIN(P96+P97-P98,P90*$C$94),0)</f>
        <v/>
      </c>
    </row>
    <row r="100" ht="15" customHeight="1" s="160">
      <c r="A100" s="161" t="n"/>
      <c r="B100" s="166" t="inlineStr">
        <is>
          <t>LP Ending Balance</t>
        </is>
      </c>
      <c r="C100" s="161" t="n"/>
      <c r="D100" s="161" t="n"/>
      <c r="E100" s="161" t="n"/>
      <c r="F100" s="194">
        <f>$D$8</f>
        <v/>
      </c>
      <c r="G100" s="194">
        <f>G96+G97-G98-G99</f>
        <v/>
      </c>
      <c r="H100" s="194">
        <f>H96+H97-H98-H99</f>
        <v/>
      </c>
      <c r="I100" s="194">
        <f>I96+I97-I98-I99</f>
        <v/>
      </c>
      <c r="J100" s="194">
        <f>J96+J97-J98-J99</f>
        <v/>
      </c>
      <c r="K100" s="194">
        <f>K96+K97-K98-K99</f>
        <v/>
      </c>
      <c r="L100" s="194">
        <f>L96+L97-L98-L99</f>
        <v/>
      </c>
      <c r="M100" s="194">
        <f>M96+M97-M98-M99</f>
        <v/>
      </c>
      <c r="N100" s="194">
        <f>N96+N97-N98-N99</f>
        <v/>
      </c>
      <c r="O100" s="194">
        <f>O96+O97-O98-O99</f>
        <v/>
      </c>
      <c r="P100" s="194">
        <f>P96+P97-P98-P99</f>
        <v/>
      </c>
    </row>
    <row r="101" ht="15" customHeight="1" s="160">
      <c r="A101" s="161" t="n"/>
      <c r="B101" s="298" t="inlineStr">
        <is>
          <t>LP Distribution (Tier 3)</t>
        </is>
      </c>
      <c r="C101" s="161" t="n"/>
      <c r="D101" s="161" t="n"/>
      <c r="E101" s="161" t="n"/>
      <c r="F101" s="259">
        <f>F99</f>
        <v/>
      </c>
      <c r="G101" s="259">
        <f>G99</f>
        <v/>
      </c>
      <c r="H101" s="259">
        <f>H99</f>
        <v/>
      </c>
      <c r="I101" s="259">
        <f>I99</f>
        <v/>
      </c>
      <c r="J101" s="259">
        <f>J99</f>
        <v/>
      </c>
      <c r="K101" s="259">
        <f>K99</f>
        <v/>
      </c>
      <c r="L101" s="259">
        <f>L99</f>
        <v/>
      </c>
      <c r="M101" s="259">
        <f>M99</f>
        <v/>
      </c>
      <c r="N101" s="259">
        <f>N99</f>
        <v/>
      </c>
      <c r="O101" s="259">
        <f>O99</f>
        <v/>
      </c>
      <c r="P101" s="259">
        <f>P99</f>
        <v/>
      </c>
    </row>
    <row r="102" ht="15" customHeight="1" s="160">
      <c r="A102" s="161" t="n"/>
      <c r="B102" s="166" t="inlineStr">
        <is>
          <t>GP Distribution (Tier 3)</t>
        </is>
      </c>
      <c r="C102" s="161" t="n"/>
      <c r="D102" s="161" t="n"/>
      <c r="E102" s="161" t="n"/>
      <c r="F102" s="194">
        <f>IF($C$94&gt;0,F101/$C$94*$D$94,0)</f>
        <v/>
      </c>
      <c r="G102" s="194">
        <f>IF($C$94&gt;0,G101/$C$94*$D$94,0)</f>
        <v/>
      </c>
      <c r="H102" s="194">
        <f>IF($C$94&gt;0,H101/$C$94*$D$94,0)</f>
        <v/>
      </c>
      <c r="I102" s="194">
        <f>IF($C$94&gt;0,I101/$C$94*$D$94,0)</f>
        <v/>
      </c>
      <c r="J102" s="194">
        <f>IF($C$94&gt;0,J101/$C$94*$D$94,0)</f>
        <v/>
      </c>
      <c r="K102" s="194">
        <f>IF($C$94&gt;0,K101/$C$94*$D$94,0)</f>
        <v/>
      </c>
      <c r="L102" s="194">
        <f>IF($C$94&gt;0,L101/$C$94*$D$94,0)</f>
        <v/>
      </c>
      <c r="M102" s="194">
        <f>IF($C$94&gt;0,M101/$C$94*$D$94,0)</f>
        <v/>
      </c>
      <c r="N102" s="194">
        <f>IF($C$94&gt;0,N101/$C$94*$D$94,0)</f>
        <v/>
      </c>
      <c r="O102" s="194">
        <f>IF($C$94&gt;0,O101/$C$94*$D$94,0)</f>
        <v/>
      </c>
      <c r="P102" s="194">
        <f>IF($C$94&gt;0,P101/$C$94*$D$94,0)</f>
        <v/>
      </c>
    </row>
    <row r="103" ht="15" customHeight="1" s="160">
      <c r="A103" s="289" t="n"/>
      <c r="B103" s="268" t="inlineStr">
        <is>
          <t>Total Tier 3 Distributions</t>
        </is>
      </c>
      <c r="C103" s="289" t="n"/>
      <c r="D103" s="289" t="n"/>
      <c r="E103" s="289" t="n"/>
      <c r="F103" s="193">
        <f>F101+F102</f>
        <v/>
      </c>
      <c r="G103" s="193">
        <f>G101+G102</f>
        <v/>
      </c>
      <c r="H103" s="193">
        <f>H101+H102</f>
        <v/>
      </c>
      <c r="I103" s="193">
        <f>I101+I102</f>
        <v/>
      </c>
      <c r="J103" s="193">
        <f>J101+J102</f>
        <v/>
      </c>
      <c r="K103" s="193">
        <f>K101+K102</f>
        <v/>
      </c>
      <c r="L103" s="193">
        <f>L101+L102</f>
        <v/>
      </c>
      <c r="M103" s="193">
        <f>M101+M102</f>
        <v/>
      </c>
      <c r="N103" s="193">
        <f>N101+N102</f>
        <v/>
      </c>
      <c r="O103" s="193">
        <f>O101+O102</f>
        <v/>
      </c>
      <c r="P103" s="193">
        <f>P101+P102</f>
        <v/>
      </c>
    </row>
    <row r="104" ht="15" customHeight="1" s="160">
      <c r="A104" s="161" t="n"/>
      <c r="B104" s="166" t="inlineStr">
        <is>
          <t>Cash Flow Remaining After Tier 3</t>
        </is>
      </c>
      <c r="C104" s="161" t="n"/>
      <c r="D104" s="161" t="n"/>
      <c r="E104" s="161" t="n"/>
      <c r="F104" s="194">
        <f>MAX(F90-F103,0)</f>
        <v/>
      </c>
      <c r="G104" s="194">
        <f>MAX(G90-G103,0)</f>
        <v/>
      </c>
      <c r="H104" s="194">
        <f>MAX(H90-H103,0)</f>
        <v/>
      </c>
      <c r="I104" s="194">
        <f>MAX(I90-I103,0)</f>
        <v/>
      </c>
      <c r="J104" s="194">
        <f>MAX(J90-J103,0)</f>
        <v/>
      </c>
      <c r="K104" s="194">
        <f>MAX(K90-K103,0)</f>
        <v/>
      </c>
      <c r="L104" s="194">
        <f>MAX(L90-L103,0)</f>
        <v/>
      </c>
      <c r="M104" s="194">
        <f>MAX(M90-M103,0)</f>
        <v/>
      </c>
      <c r="N104" s="194">
        <f>MAX(N90-N103,0)</f>
        <v/>
      </c>
      <c r="O104" s="194">
        <f>MAX(O90-O103,0)</f>
        <v/>
      </c>
      <c r="P104" s="194">
        <f>MAX(P90-P103,0)</f>
        <v/>
      </c>
    </row>
    <row r="105" ht="15" customHeight="1" s="160">
      <c r="A105" s="161" t="n"/>
      <c r="B105" s="161" t="n"/>
      <c r="C105" s="161" t="n"/>
      <c r="D105" s="161" t="n"/>
      <c r="E105" s="161" t="n"/>
      <c r="F105" s="161" t="n"/>
      <c r="G105" s="161" t="n"/>
      <c r="H105" s="161" t="n"/>
      <c r="I105" s="161" t="n"/>
      <c r="J105" s="161" t="n"/>
      <c r="K105" s="161" t="n"/>
      <c r="L105" s="161" t="n"/>
      <c r="M105" s="161" t="n"/>
      <c r="N105" s="161" t="n"/>
      <c r="O105" s="161" t="n"/>
      <c r="P105" s="161" t="n"/>
    </row>
    <row r="106" ht="24" customHeight="1" s="160">
      <c r="A106" s="294" t="n"/>
      <c r="B106" s="295" t="inlineStr">
        <is>
          <t>TIER 4 — Promote</t>
        </is>
      </c>
    </row>
    <row r="107" ht="15" customHeight="1" s="160">
      <c r="A107" s="161" t="n"/>
      <c r="B107" s="258" t="inlineStr">
        <is>
          <t>Hurdle: Up to</t>
        </is>
      </c>
      <c r="C107" s="288">
        <f>Assumptions!$C$209</f>
        <v/>
      </c>
      <c r="D107" s="161" t="n"/>
      <c r="E107" s="161" t="n"/>
      <c r="F107" s="161" t="n"/>
      <c r="G107" s="161" t="n"/>
      <c r="H107" s="161" t="n"/>
      <c r="I107" s="161" t="n"/>
      <c r="J107" s="161" t="n"/>
      <c r="K107" s="161" t="n"/>
      <c r="L107" s="161" t="n"/>
      <c r="M107" s="161" t="n"/>
      <c r="N107" s="161" t="n"/>
      <c r="O107" s="161" t="n"/>
      <c r="P107" s="161" t="n"/>
    </row>
    <row r="108" ht="15" customHeight="1" s="160">
      <c r="A108" s="161" t="n"/>
      <c r="B108" s="258" t="inlineStr">
        <is>
          <t>LP / GP Split</t>
        </is>
      </c>
      <c r="C108" s="288">
        <f>Assumptions!$C$210</f>
        <v/>
      </c>
      <c r="D108" s="223">
        <f>1-C108</f>
        <v/>
      </c>
      <c r="E108" s="161" t="n"/>
      <c r="F108" s="161" t="n"/>
      <c r="G108" s="161" t="n"/>
      <c r="H108" s="161" t="n"/>
      <c r="I108" s="161" t="n"/>
      <c r="J108" s="161" t="n"/>
      <c r="K108" s="161" t="n"/>
      <c r="L108" s="161" t="n"/>
      <c r="M108" s="161" t="n"/>
      <c r="N108" s="161" t="n"/>
      <c r="O108" s="161" t="n"/>
      <c r="P108" s="161" t="n"/>
    </row>
    <row r="109" ht="15" customHeight="1" s="160">
      <c r="A109" s="161" t="n"/>
      <c r="B109" s="161" t="n"/>
      <c r="C109" s="161" t="n"/>
      <c r="D109" s="161" t="n"/>
      <c r="E109" s="161" t="n"/>
      <c r="F109" s="161" t="n"/>
      <c r="G109" s="161" t="n"/>
      <c r="H109" s="161" t="n"/>
      <c r="I109" s="161" t="n"/>
      <c r="J109" s="161" t="n"/>
      <c r="K109" s="161" t="n"/>
      <c r="L109" s="161" t="n"/>
      <c r="M109" s="161" t="n"/>
      <c r="N109" s="161" t="n"/>
      <c r="O109" s="161" t="n"/>
      <c r="P109" s="161" t="n"/>
    </row>
    <row r="110" ht="15" customHeight="1" s="160">
      <c r="A110" s="161" t="n"/>
      <c r="B110" s="166" t="inlineStr">
        <is>
          <t>LP Beginning Balance</t>
        </is>
      </c>
      <c r="C110" s="161" t="n"/>
      <c r="D110" s="161" t="n"/>
      <c r="E110" s="161" t="n"/>
      <c r="F110" s="194" t="n">
        <v>0</v>
      </c>
      <c r="G110" s="194">
        <f>F114</f>
        <v/>
      </c>
      <c r="H110" s="194">
        <f>G114</f>
        <v/>
      </c>
      <c r="I110" s="194">
        <f>H114</f>
        <v/>
      </c>
      <c r="J110" s="194">
        <f>I114</f>
        <v/>
      </c>
      <c r="K110" s="194">
        <f>J114</f>
        <v/>
      </c>
      <c r="L110" s="194">
        <f>K114</f>
        <v/>
      </c>
      <c r="M110" s="194">
        <f>L114</f>
        <v/>
      </c>
      <c r="N110" s="194">
        <f>M114</f>
        <v/>
      </c>
      <c r="O110" s="194">
        <f>N114</f>
        <v/>
      </c>
      <c r="P110" s="194">
        <f>O114</f>
        <v/>
      </c>
    </row>
    <row r="111" ht="15" customHeight="1" s="160">
      <c r="A111" s="161" t="n"/>
      <c r="B111" s="166" t="inlineStr">
        <is>
          <t>Req'd Return to hit Hurdle 4</t>
        </is>
      </c>
      <c r="C111" s="161" t="n"/>
      <c r="D111" s="161" t="n"/>
      <c r="E111" s="161" t="n"/>
      <c r="F111" s="194">
        <f>F110*$C$107</f>
        <v/>
      </c>
      <c r="G111" s="194">
        <f>G110*$C$107</f>
        <v/>
      </c>
      <c r="H111" s="194">
        <f>H110*$C$107</f>
        <v/>
      </c>
      <c r="I111" s="194">
        <f>I110*$C$107</f>
        <v/>
      </c>
      <c r="J111" s="194">
        <f>J110*$C$107</f>
        <v/>
      </c>
      <c r="K111" s="194">
        <f>K110*$C$107</f>
        <v/>
      </c>
      <c r="L111" s="194">
        <f>L110*$C$107</f>
        <v/>
      </c>
      <c r="M111" s="194">
        <f>M110*$C$107</f>
        <v/>
      </c>
      <c r="N111" s="194">
        <f>N110*$C$107</f>
        <v/>
      </c>
      <c r="O111" s="194">
        <f>O110*$C$107</f>
        <v/>
      </c>
      <c r="P111" s="194">
        <f>P110*$C$107</f>
        <v/>
      </c>
    </row>
    <row r="112" ht="15" customHeight="1" s="160">
      <c r="A112" s="161" t="n"/>
      <c r="B112" s="166" t="inlineStr">
        <is>
          <t>Prior LP Distributions</t>
        </is>
      </c>
      <c r="C112" s="161" t="n"/>
      <c r="D112" s="161" t="n"/>
      <c r="E112" s="161" t="n"/>
      <c r="F112" s="194">
        <f>F74+F87+F101</f>
        <v/>
      </c>
      <c r="G112" s="194">
        <f>G74+G87+G101</f>
        <v/>
      </c>
      <c r="H112" s="194">
        <f>H74+H87+H101</f>
        <v/>
      </c>
      <c r="I112" s="194">
        <f>I74+I87+I101</f>
        <v/>
      </c>
      <c r="J112" s="194">
        <f>J74+J87+J101</f>
        <v/>
      </c>
      <c r="K112" s="194">
        <f>K74+K87+K101</f>
        <v/>
      </c>
      <c r="L112" s="194">
        <f>L74+L87+L101</f>
        <v/>
      </c>
      <c r="M112" s="194">
        <f>M74+M87+M101</f>
        <v/>
      </c>
      <c r="N112" s="194">
        <f>N74+N87+N101</f>
        <v/>
      </c>
      <c r="O112" s="194">
        <f>O74+O87+O101</f>
        <v/>
      </c>
      <c r="P112" s="194">
        <f>P74+P87+P101</f>
        <v/>
      </c>
    </row>
    <row r="113" ht="15" customHeight="1" s="160">
      <c r="A113" s="161" t="n"/>
      <c r="B113" s="166" t="inlineStr">
        <is>
          <t>LP Distribution (Tier 4)</t>
        </is>
      </c>
      <c r="C113" s="161" t="n"/>
      <c r="D113" s="161" t="n"/>
      <c r="E113" s="161" t="n"/>
      <c r="F113" s="194" t="n">
        <v>0</v>
      </c>
      <c r="G113" s="194">
        <f>MAX(MIN(G110+G111-G112,G104*$C$108),0)</f>
        <v/>
      </c>
      <c r="H113" s="194">
        <f>MAX(MIN(H110+H111-H112,H104*$C$108),0)</f>
        <v/>
      </c>
      <c r="I113" s="194">
        <f>MAX(MIN(I110+I111-I112,I104*$C$108),0)</f>
        <v/>
      </c>
      <c r="J113" s="194">
        <f>MAX(MIN(J110+J111-J112,J104*$C$108),0)</f>
        <v/>
      </c>
      <c r="K113" s="194">
        <f>MAX(MIN(K110+K111-K112,K104*$C$108),0)</f>
        <v/>
      </c>
      <c r="L113" s="194">
        <f>MAX(MIN(L110+L111-L112,L104*$C$108),0)</f>
        <v/>
      </c>
      <c r="M113" s="194">
        <f>MAX(MIN(M110+M111-M112,M104*$C$108),0)</f>
        <v/>
      </c>
      <c r="N113" s="194">
        <f>MAX(MIN(N110+N111-N112,N104*$C$108),0)</f>
        <v/>
      </c>
      <c r="O113" s="194">
        <f>MAX(MIN(O110+O111-O112,O104*$C$108),0)</f>
        <v/>
      </c>
      <c r="P113" s="194">
        <f>MAX(MIN(P110+P111-P112,P104*$C$108),0)</f>
        <v/>
      </c>
    </row>
    <row r="114" ht="15" customHeight="1" s="160">
      <c r="A114" s="161" t="n"/>
      <c r="B114" s="166" t="inlineStr">
        <is>
          <t>LP Ending Balance</t>
        </is>
      </c>
      <c r="C114" s="161" t="n"/>
      <c r="D114" s="161" t="n"/>
      <c r="E114" s="161" t="n"/>
      <c r="F114" s="194">
        <f>$D$8</f>
        <v/>
      </c>
      <c r="G114" s="194">
        <f>G110+G111-G112-G113</f>
        <v/>
      </c>
      <c r="H114" s="194">
        <f>H110+H111-H112-H113</f>
        <v/>
      </c>
      <c r="I114" s="194">
        <f>I110+I111-I112-I113</f>
        <v/>
      </c>
      <c r="J114" s="194">
        <f>J110+J111-J112-J113</f>
        <v/>
      </c>
      <c r="K114" s="194">
        <f>K110+K111-K112-K113</f>
        <v/>
      </c>
      <c r="L114" s="194">
        <f>L110+L111-L112-L113</f>
        <v/>
      </c>
      <c r="M114" s="194">
        <f>M110+M111-M112-M113</f>
        <v/>
      </c>
      <c r="N114" s="194">
        <f>N110+N111-N112-N113</f>
        <v/>
      </c>
      <c r="O114" s="194">
        <f>O110+O111-O112-O113</f>
        <v/>
      </c>
      <c r="P114" s="194">
        <f>P110+P111-P112-P113</f>
        <v/>
      </c>
    </row>
    <row r="115" ht="15" customHeight="1" s="160">
      <c r="A115" s="161" t="n"/>
      <c r="B115" s="298" t="inlineStr">
        <is>
          <t>LP Distribution (Tier 4)</t>
        </is>
      </c>
      <c r="C115" s="161" t="n"/>
      <c r="D115" s="161" t="n"/>
      <c r="E115" s="161" t="n"/>
      <c r="F115" s="259">
        <f>F113</f>
        <v/>
      </c>
      <c r="G115" s="259">
        <f>G113</f>
        <v/>
      </c>
      <c r="H115" s="259">
        <f>H113</f>
        <v/>
      </c>
      <c r="I115" s="259">
        <f>I113</f>
        <v/>
      </c>
      <c r="J115" s="259">
        <f>J113</f>
        <v/>
      </c>
      <c r="K115" s="259">
        <f>K113</f>
        <v/>
      </c>
      <c r="L115" s="259">
        <f>L113</f>
        <v/>
      </c>
      <c r="M115" s="259">
        <f>M113</f>
        <v/>
      </c>
      <c r="N115" s="259">
        <f>N113</f>
        <v/>
      </c>
      <c r="O115" s="259">
        <f>O113</f>
        <v/>
      </c>
      <c r="P115" s="259">
        <f>P113</f>
        <v/>
      </c>
    </row>
    <row r="116" ht="15" customHeight="1" s="160">
      <c r="A116" s="161" t="n"/>
      <c r="B116" s="166" t="inlineStr">
        <is>
          <t>GP Distribution (Tier 4)</t>
        </is>
      </c>
      <c r="C116" s="161" t="n"/>
      <c r="D116" s="161" t="n"/>
      <c r="E116" s="161" t="n"/>
      <c r="F116" s="194">
        <f>IF($C$108&gt;0,F115/$C$108*$D$108,0)</f>
        <v/>
      </c>
      <c r="G116" s="194">
        <f>IF($C$108&gt;0,G115/$C$108*$D$108,0)</f>
        <v/>
      </c>
      <c r="H116" s="194">
        <f>IF($C$108&gt;0,H115/$C$108*$D$108,0)</f>
        <v/>
      </c>
      <c r="I116" s="194">
        <f>IF($C$108&gt;0,I115/$C$108*$D$108,0)</f>
        <v/>
      </c>
      <c r="J116" s="194">
        <f>IF($C$108&gt;0,J115/$C$108*$D$108,0)</f>
        <v/>
      </c>
      <c r="K116" s="194">
        <f>IF($C$108&gt;0,K115/$C$108*$D$108,0)</f>
        <v/>
      </c>
      <c r="L116" s="194">
        <f>IF($C$108&gt;0,L115/$C$108*$D$108,0)</f>
        <v/>
      </c>
      <c r="M116" s="194">
        <f>IF($C$108&gt;0,M115/$C$108*$D$108,0)</f>
        <v/>
      </c>
      <c r="N116" s="194">
        <f>IF($C$108&gt;0,N115/$C$108*$D$108,0)</f>
        <v/>
      </c>
      <c r="O116" s="194">
        <f>IF($C$108&gt;0,O115/$C$108*$D$108,0)</f>
        <v/>
      </c>
      <c r="P116" s="194">
        <f>IF($C$108&gt;0,P115/$C$108*$D$108,0)</f>
        <v/>
      </c>
    </row>
    <row r="117" ht="15" customHeight="1" s="160">
      <c r="A117" s="289" t="n"/>
      <c r="B117" s="268" t="inlineStr">
        <is>
          <t>Total Tier 4 Distributions</t>
        </is>
      </c>
      <c r="C117" s="289" t="n"/>
      <c r="D117" s="289" t="n"/>
      <c r="E117" s="289" t="n"/>
      <c r="F117" s="193">
        <f>F115+F116</f>
        <v/>
      </c>
      <c r="G117" s="193">
        <f>G115+G116</f>
        <v/>
      </c>
      <c r="H117" s="193">
        <f>H115+H116</f>
        <v/>
      </c>
      <c r="I117" s="193">
        <f>I115+I116</f>
        <v/>
      </c>
      <c r="J117" s="193">
        <f>J115+J116</f>
        <v/>
      </c>
      <c r="K117" s="193">
        <f>K115+K116</f>
        <v/>
      </c>
      <c r="L117" s="193">
        <f>L115+L116</f>
        <v/>
      </c>
      <c r="M117" s="193">
        <f>M115+M116</f>
        <v/>
      </c>
      <c r="N117" s="193">
        <f>N115+N116</f>
        <v/>
      </c>
      <c r="O117" s="193">
        <f>O115+O116</f>
        <v/>
      </c>
      <c r="P117" s="193">
        <f>P115+P116</f>
        <v/>
      </c>
    </row>
    <row r="118" ht="15" customHeight="1" s="160">
      <c r="A118" s="161" t="n"/>
      <c r="B118" s="166" t="inlineStr">
        <is>
          <t>Cash Flow Remaining After Tier 4</t>
        </is>
      </c>
      <c r="C118" s="161" t="n"/>
      <c r="D118" s="161" t="n"/>
      <c r="E118" s="161" t="n"/>
      <c r="F118" s="194">
        <f>MAX(F104-F117,0)</f>
        <v/>
      </c>
      <c r="G118" s="194">
        <f>MAX(G104-G117,0)</f>
        <v/>
      </c>
      <c r="H118" s="194">
        <f>MAX(H104-H117,0)</f>
        <v/>
      </c>
      <c r="I118" s="194">
        <f>MAX(I104-I117,0)</f>
        <v/>
      </c>
      <c r="J118" s="194">
        <f>MAX(J104-J117,0)</f>
        <v/>
      </c>
      <c r="K118" s="194">
        <f>MAX(K104-K117,0)</f>
        <v/>
      </c>
      <c r="L118" s="194">
        <f>MAX(L104-L117,0)</f>
        <v/>
      </c>
      <c r="M118" s="194">
        <f>MAX(M104-M117,0)</f>
        <v/>
      </c>
      <c r="N118" s="194">
        <f>MAX(N104-N117,0)</f>
        <v/>
      </c>
      <c r="O118" s="194">
        <f>MAX(O104-O117,0)</f>
        <v/>
      </c>
      <c r="P118" s="194">
        <f>MAX(P104-P117,0)</f>
        <v/>
      </c>
    </row>
    <row r="119" ht="15" customHeight="1" s="160">
      <c r="A119" s="161" t="n"/>
      <c r="B119" s="161" t="n"/>
      <c r="C119" s="161" t="n"/>
      <c r="D119" s="161" t="n"/>
      <c r="E119" s="161" t="n"/>
      <c r="F119" s="161" t="n"/>
      <c r="G119" s="161" t="n"/>
      <c r="H119" s="161" t="n"/>
      <c r="I119" s="161" t="n"/>
      <c r="J119" s="161" t="n"/>
      <c r="K119" s="161" t="n"/>
      <c r="L119" s="161" t="n"/>
      <c r="M119" s="161" t="n"/>
      <c r="N119" s="161" t="n"/>
      <c r="O119" s="161" t="n"/>
      <c r="P119" s="161" t="n"/>
    </row>
    <row r="120" ht="24" customHeight="1" s="160">
      <c r="A120" s="294" t="n"/>
      <c r="B120" s="295" t="inlineStr">
        <is>
          <t>TIER 5 — Above Hurdle 4 (Super Promote)</t>
        </is>
      </c>
    </row>
    <row r="121" ht="15" customHeight="1" s="160">
      <c r="A121" s="161" t="n"/>
      <c r="B121" s="258" t="inlineStr">
        <is>
          <t>LP / GP Split</t>
        </is>
      </c>
      <c r="C121" s="288">
        <f>Assumptions!$C$212</f>
        <v/>
      </c>
      <c r="D121" s="223">
        <f>1-C121</f>
        <v/>
      </c>
      <c r="E121" s="161" t="n"/>
      <c r="F121" s="161" t="n"/>
      <c r="G121" s="161" t="n"/>
      <c r="H121" s="161" t="n"/>
      <c r="I121" s="161" t="n"/>
      <c r="J121" s="161" t="n"/>
      <c r="K121" s="161" t="n"/>
      <c r="L121" s="161" t="n"/>
      <c r="M121" s="161" t="n"/>
      <c r="N121" s="161" t="n"/>
      <c r="O121" s="161" t="n"/>
      <c r="P121" s="161" t="n"/>
    </row>
    <row r="122" ht="15" customHeight="1" s="160">
      <c r="A122" s="161" t="n"/>
      <c r="B122" s="298" t="inlineStr">
        <is>
          <t>LP Distribution (Tier 5)</t>
        </is>
      </c>
      <c r="C122" s="161" t="n"/>
      <c r="D122" s="161" t="n"/>
      <c r="E122" s="161" t="n"/>
      <c r="F122" s="259">
        <f>F118*$C$121</f>
        <v/>
      </c>
      <c r="G122" s="259">
        <f>G118*$C$121</f>
        <v/>
      </c>
      <c r="H122" s="259">
        <f>H118*$C$121</f>
        <v/>
      </c>
      <c r="I122" s="259">
        <f>I118*$C$121</f>
        <v/>
      </c>
      <c r="J122" s="259">
        <f>J118*$C$121</f>
        <v/>
      </c>
      <c r="K122" s="259">
        <f>K118*$C$121</f>
        <v/>
      </c>
      <c r="L122" s="259">
        <f>L118*$C$121</f>
        <v/>
      </c>
      <c r="M122" s="259">
        <f>M118*$C$121</f>
        <v/>
      </c>
      <c r="N122" s="259">
        <f>N118*$C$121</f>
        <v/>
      </c>
      <c r="O122" s="259">
        <f>O118*$C$121</f>
        <v/>
      </c>
      <c r="P122" s="259">
        <f>P118*$C$121</f>
        <v/>
      </c>
    </row>
    <row r="123" ht="15" customHeight="1" s="160">
      <c r="A123" s="161" t="n"/>
      <c r="B123" s="166" t="inlineStr">
        <is>
          <t>GP Distribution (Tier 5)</t>
        </is>
      </c>
      <c r="C123" s="161" t="n"/>
      <c r="D123" s="161" t="n"/>
      <c r="E123" s="161" t="n"/>
      <c r="F123" s="194">
        <f>F118-F122</f>
        <v/>
      </c>
      <c r="G123" s="194">
        <f>G118-G122</f>
        <v/>
      </c>
      <c r="H123" s="194">
        <f>H118-H122</f>
        <v/>
      </c>
      <c r="I123" s="194">
        <f>I118-I122</f>
        <v/>
      </c>
      <c r="J123" s="194">
        <f>J118-J122</f>
        <v/>
      </c>
      <c r="K123" s="194">
        <f>K118-K122</f>
        <v/>
      </c>
      <c r="L123" s="194">
        <f>L118-L122</f>
        <v/>
      </c>
      <c r="M123" s="194">
        <f>M118-M122</f>
        <v/>
      </c>
      <c r="N123" s="194">
        <f>N118-N122</f>
        <v/>
      </c>
      <c r="O123" s="194">
        <f>O118-O122</f>
        <v/>
      </c>
      <c r="P123" s="194">
        <f>P118-P122</f>
        <v/>
      </c>
    </row>
    <row r="124" ht="15" customHeight="1" s="160">
      <c r="A124" s="289" t="n"/>
      <c r="B124" s="268" t="inlineStr">
        <is>
          <t>Total Tier 5 Distributions</t>
        </is>
      </c>
      <c r="C124" s="289" t="n"/>
      <c r="D124" s="289" t="n"/>
      <c r="E124" s="289" t="n"/>
      <c r="F124" s="193">
        <f>F122+F123</f>
        <v/>
      </c>
      <c r="G124" s="193">
        <f>G122+G123</f>
        <v/>
      </c>
      <c r="H124" s="193">
        <f>H122+H123</f>
        <v/>
      </c>
      <c r="I124" s="193">
        <f>I122+I123</f>
        <v/>
      </c>
      <c r="J124" s="193">
        <f>J122+J123</f>
        <v/>
      </c>
      <c r="K124" s="193">
        <f>K122+K123</f>
        <v/>
      </c>
      <c r="L124" s="193">
        <f>L122+L123</f>
        <v/>
      </c>
      <c r="M124" s="193">
        <f>M122+M123</f>
        <v/>
      </c>
      <c r="N124" s="193">
        <f>N122+N123</f>
        <v/>
      </c>
      <c r="O124" s="193">
        <f>O122+O123</f>
        <v/>
      </c>
      <c r="P124" s="193">
        <f>P122+P123</f>
        <v/>
      </c>
    </row>
    <row r="125" ht="15" customHeight="1" s="160">
      <c r="A125" s="161" t="n"/>
      <c r="B125" s="166" t="inlineStr">
        <is>
          <t>Cash Flow Remaining (should be 0)</t>
        </is>
      </c>
      <c r="C125" s="161" t="n"/>
      <c r="D125" s="161" t="n"/>
      <c r="E125" s="161" t="n"/>
      <c r="F125" s="297">
        <f>F118-F124</f>
        <v/>
      </c>
      <c r="G125" s="297">
        <f>G118-G124</f>
        <v/>
      </c>
      <c r="H125" s="297">
        <f>H118-H124</f>
        <v/>
      </c>
      <c r="I125" s="297">
        <f>I118-I124</f>
        <v/>
      </c>
      <c r="J125" s="297">
        <f>J118-J124</f>
        <v/>
      </c>
      <c r="K125" s="297">
        <f>K118-K124</f>
        <v/>
      </c>
      <c r="L125" s="297">
        <f>L118-L124</f>
        <v/>
      </c>
      <c r="M125" s="297">
        <f>M118-M124</f>
        <v/>
      </c>
      <c r="N125" s="297">
        <f>N118-N124</f>
        <v/>
      </c>
      <c r="O125" s="297">
        <f>O118-O124</f>
        <v/>
      </c>
      <c r="P125" s="297">
        <f>P118-P124</f>
        <v/>
      </c>
    </row>
    <row r="126" ht="15" customHeight="1" s="160">
      <c r="A126" s="161" t="n"/>
      <c r="B126" s="161" t="n"/>
      <c r="C126" s="161" t="n"/>
      <c r="D126" s="161" t="n"/>
      <c r="E126" s="161" t="n"/>
      <c r="F126" s="161" t="n"/>
      <c r="G126" s="161" t="n"/>
      <c r="H126" s="161" t="n"/>
      <c r="I126" s="161" t="n"/>
      <c r="J126" s="161" t="n"/>
      <c r="K126" s="161" t="n"/>
      <c r="L126" s="161" t="n"/>
      <c r="M126" s="161" t="n"/>
      <c r="N126" s="161" t="n"/>
      <c r="O126" s="161" t="n"/>
      <c r="P126" s="161" t="n"/>
    </row>
    <row r="127" ht="27.75" customHeight="1" s="160">
      <c r="A127" s="236" t="n"/>
      <c r="B127" s="286" t="inlineStr">
        <is>
          <t>VERIFICATION &amp; ERROR CHECKS</t>
        </is>
      </c>
      <c r="F127" s="219" t="inlineStr">
        <is>
          <t>Year 0</t>
        </is>
      </c>
      <c r="G127" s="219" t="n">
        <v>1</v>
      </c>
      <c r="H127" s="219" t="n">
        <v>2</v>
      </c>
      <c r="I127" s="219" t="n">
        <v>3</v>
      </c>
      <c r="J127" s="219" t="n">
        <v>4</v>
      </c>
      <c r="K127" s="219" t="n">
        <v>5</v>
      </c>
      <c r="L127" s="219" t="n">
        <v>6</v>
      </c>
      <c r="M127" s="219" t="n">
        <v>7</v>
      </c>
      <c r="N127" s="219" t="n">
        <v>8</v>
      </c>
      <c r="O127" s="219" t="n">
        <v>9</v>
      </c>
      <c r="P127" s="219" t="n">
        <v>10</v>
      </c>
    </row>
    <row r="128" ht="15" customHeight="1" s="160">
      <c r="A128" s="161" t="n"/>
      <c r="B128" s="161" t="n"/>
      <c r="C128" s="161" t="n"/>
      <c r="D128" s="161" t="n"/>
      <c r="E128" s="161" t="n"/>
      <c r="F128" s="161" t="n"/>
      <c r="G128" s="161" t="n"/>
      <c r="H128" s="161" t="n"/>
      <c r="I128" s="161" t="n"/>
      <c r="J128" s="161" t="n"/>
      <c r="K128" s="161" t="n"/>
      <c r="L128" s="161" t="n"/>
      <c r="M128" s="161" t="n"/>
      <c r="N128" s="161" t="n"/>
      <c r="O128" s="161" t="n"/>
      <c r="P128" s="161" t="n"/>
    </row>
    <row r="129" ht="15" customHeight="1" s="160">
      <c r="A129" s="161" t="n"/>
      <c r="B129" s="258" t="inlineStr">
        <is>
          <t>Total LP + GP Distributions</t>
        </is>
      </c>
      <c r="C129" s="161" t="n"/>
      <c r="D129" s="161" t="n"/>
      <c r="E129" s="161" t="n"/>
      <c r="F129" s="269">
        <f>F38+F46</f>
        <v/>
      </c>
      <c r="G129" s="269">
        <f>G38+G46</f>
        <v/>
      </c>
      <c r="H129" s="269">
        <f>H38+H46</f>
        <v/>
      </c>
      <c r="I129" s="269">
        <f>I38+I46</f>
        <v/>
      </c>
      <c r="J129" s="269">
        <f>J38+J46</f>
        <v/>
      </c>
      <c r="K129" s="269">
        <f>K38+K46</f>
        <v/>
      </c>
      <c r="L129" s="269">
        <f>L38+L46</f>
        <v/>
      </c>
      <c r="M129" s="269">
        <f>M38+M46</f>
        <v/>
      </c>
      <c r="N129" s="269">
        <f>N38+N46</f>
        <v/>
      </c>
      <c r="O129" s="269">
        <f>O38+O46</f>
        <v/>
      </c>
      <c r="P129" s="269">
        <f>P38+P46</f>
        <v/>
      </c>
    </row>
    <row r="130" ht="15" customHeight="1" s="160">
      <c r="A130" s="161" t="n"/>
      <c r="B130" s="258" t="inlineStr">
        <is>
          <t>Total Distributable Cash Flow</t>
        </is>
      </c>
      <c r="C130" s="161" t="n"/>
      <c r="D130" s="161" t="n"/>
      <c r="E130" s="161" t="n"/>
      <c r="F130" s="269">
        <f>MAX(F28,0)</f>
        <v/>
      </c>
      <c r="G130" s="269">
        <f>MAX(G28,0)</f>
        <v/>
      </c>
      <c r="H130" s="269">
        <f>MAX(H28,0)</f>
        <v/>
      </c>
      <c r="I130" s="269">
        <f>MAX(I28,0)</f>
        <v/>
      </c>
      <c r="J130" s="269">
        <f>MAX(J28,0)</f>
        <v/>
      </c>
      <c r="K130" s="269">
        <f>MAX(K28,0)</f>
        <v/>
      </c>
      <c r="L130" s="269">
        <f>MAX(L28,0)</f>
        <v/>
      </c>
      <c r="M130" s="269">
        <f>MAX(M28,0)</f>
        <v/>
      </c>
      <c r="N130" s="269">
        <f>MAX(N28,0)</f>
        <v/>
      </c>
      <c r="O130" s="269">
        <f>MAX(O28,0)</f>
        <v/>
      </c>
      <c r="P130" s="269">
        <f>MAX(P28,0)</f>
        <v/>
      </c>
    </row>
    <row r="131" ht="15" customHeight="1" s="160">
      <c r="A131" s="299" t="n"/>
      <c r="B131" s="239" t="inlineStr">
        <is>
          <t>Difference (should be 0)</t>
        </is>
      </c>
      <c r="C131" s="299" t="n"/>
      <c r="D131" s="299" t="n"/>
      <c r="E131" s="299" t="n"/>
      <c r="F131" s="205">
        <f>F129-F130</f>
        <v/>
      </c>
      <c r="G131" s="205">
        <f>G129-G130</f>
        <v/>
      </c>
      <c r="H131" s="205">
        <f>H129-H130</f>
        <v/>
      </c>
      <c r="I131" s="205">
        <f>I129-I130</f>
        <v/>
      </c>
      <c r="J131" s="205">
        <f>J129-J130</f>
        <v/>
      </c>
      <c r="K131" s="205">
        <f>K129-K130</f>
        <v/>
      </c>
      <c r="L131" s="205">
        <f>L129-L130</f>
        <v/>
      </c>
      <c r="M131" s="205">
        <f>M129-M130</f>
        <v/>
      </c>
      <c r="N131" s="205">
        <f>N129-N130</f>
        <v/>
      </c>
      <c r="O131" s="205">
        <f>O129-O130</f>
        <v/>
      </c>
      <c r="P131" s="205">
        <f>P129-P130</f>
        <v/>
      </c>
    </row>
    <row r="132" ht="15" customHeight="1" s="160">
      <c r="A132" s="161" t="n"/>
      <c r="B132" s="161" t="n"/>
      <c r="C132" s="161" t="n"/>
      <c r="D132" s="161" t="n"/>
      <c r="E132" s="161" t="n"/>
      <c r="F132" s="161" t="n"/>
      <c r="G132" s="161" t="n"/>
      <c r="H132" s="161" t="n"/>
      <c r="I132" s="161" t="n"/>
      <c r="J132" s="161" t="n"/>
      <c r="K132" s="161" t="n"/>
      <c r="L132" s="161" t="n"/>
      <c r="M132" s="161" t="n"/>
      <c r="N132" s="161" t="n"/>
      <c r="O132" s="161" t="n"/>
      <c r="P132" s="161" t="n"/>
    </row>
    <row r="133" ht="15" customHeight="1" s="160">
      <c r="A133" s="161" t="n"/>
      <c r="B133" s="166" t="inlineStr">
        <is>
          <t>LP+GP Dist as % of Total</t>
        </is>
      </c>
      <c r="C133" s="161" t="n"/>
      <c r="D133" s="161" t="n"/>
      <c r="E133" s="161" t="n"/>
      <c r="F133" s="223">
        <f>IF(F130&gt;0,F129/F130,0)</f>
        <v/>
      </c>
      <c r="G133" s="223">
        <f>IF(G130&gt;0,G129/G130,0)</f>
        <v/>
      </c>
      <c r="H133" s="223">
        <f>IF(H130&gt;0,H129/H130,0)</f>
        <v/>
      </c>
      <c r="I133" s="223">
        <f>IF(I130&gt;0,I129/I130,0)</f>
        <v/>
      </c>
      <c r="J133" s="223">
        <f>IF(J130&gt;0,J129/J130,0)</f>
        <v/>
      </c>
      <c r="K133" s="223">
        <f>IF(K130&gt;0,K129/K130,0)</f>
        <v/>
      </c>
      <c r="L133" s="223">
        <f>IF(L130&gt;0,L129/L130,0)</f>
        <v/>
      </c>
      <c r="M133" s="223">
        <f>IF(M130&gt;0,M129/M130,0)</f>
        <v/>
      </c>
      <c r="N133" s="223">
        <f>IF(N130&gt;0,N129/N130,0)</f>
        <v/>
      </c>
      <c r="O133" s="223">
        <f>IF(O130&gt;0,O129/O130,0)</f>
        <v/>
      </c>
      <c r="P133" s="223">
        <f>IF(P130&gt;0,P129/P130,0)</f>
        <v/>
      </c>
    </row>
    <row r="134" ht="15" customHeight="1" s="160">
      <c r="A134" s="161" t="n"/>
      <c r="B134" s="161" t="n"/>
      <c r="C134" s="161" t="n"/>
      <c r="D134" s="161" t="n"/>
      <c r="E134" s="161" t="n"/>
      <c r="F134" s="161" t="n"/>
      <c r="G134" s="161" t="n"/>
      <c r="H134" s="161" t="n"/>
      <c r="I134" s="161" t="n"/>
      <c r="J134" s="161" t="n"/>
      <c r="K134" s="161" t="n"/>
      <c r="L134" s="161" t="n"/>
      <c r="M134" s="161" t="n"/>
      <c r="N134" s="161" t="n"/>
      <c r="O134" s="161" t="n"/>
      <c r="P134" s="161" t="n"/>
    </row>
  </sheetData>
  <mergeCells count="12">
    <mergeCell ref="B78:P78"/>
    <mergeCell ref="B55:P55"/>
    <mergeCell ref="B2:P2"/>
    <mergeCell ref="B53:E53"/>
    <mergeCell ref="B4:E4"/>
    <mergeCell ref="B127:E127"/>
    <mergeCell ref="B120:P120"/>
    <mergeCell ref="B21:E21"/>
    <mergeCell ref="B33:E33"/>
    <mergeCell ref="B1:P1"/>
    <mergeCell ref="B92:P92"/>
    <mergeCell ref="B106:P10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FF3E6844"/>
    <outlinePr summaryBelow="1" summaryRight="1"/>
    <pageSetUpPr fitToPage="0"/>
  </sheetPr>
  <dimension ref="A1:B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159" min="1" max="1"/>
    <col width="22" customWidth="1" style="159" min="2" max="2"/>
  </cols>
  <sheetData>
    <row r="1" ht="19.5" customHeight="1" s="160">
      <c r="A1" s="218" t="inlineStr">
        <is>
          <t>RETURNS SUMMARY</t>
        </is>
      </c>
    </row>
    <row r="2" ht="15" customHeight="1" s="160">
      <c r="A2" s="179" t="inlineStr">
        <is>
          <t>All values reference other tabs. No hardcoded numbers.</t>
        </is>
      </c>
    </row>
    <row r="3" ht="15" customHeight="1" s="160">
      <c r="A3" s="161" t="n"/>
      <c r="B3" s="161" t="n"/>
    </row>
    <row r="4" ht="15" customHeight="1" s="160">
      <c r="A4" s="169" t="inlineStr">
        <is>
          <t>Investment Overview</t>
        </is>
      </c>
    </row>
    <row r="5" ht="15" customHeight="1" s="160">
      <c r="A5" s="166" t="inlineStr">
        <is>
          <t>Property</t>
        </is>
      </c>
      <c r="B5" s="300">
        <f>Assumptions!C5</f>
        <v/>
      </c>
    </row>
    <row r="6" ht="15" customHeight="1" s="160">
      <c r="A6" s="166" t="inlineStr">
        <is>
          <t>Purchase Price</t>
        </is>
      </c>
      <c r="B6" s="222">
        <f>Assumptions!C17</f>
        <v/>
      </c>
    </row>
    <row r="7" ht="15" customHeight="1" s="160">
      <c r="A7" s="166" t="inlineStr">
        <is>
          <t>Total Project Cost</t>
        </is>
      </c>
      <c r="B7" s="222">
        <f>Assumptions!C89</f>
        <v/>
      </c>
    </row>
    <row r="8" ht="15" customHeight="1" s="160">
      <c r="A8" s="166" t="inlineStr">
        <is>
          <t>Total Equity</t>
        </is>
      </c>
      <c r="B8" s="222">
        <f>Assumptions!C91</f>
        <v/>
      </c>
    </row>
    <row r="9" ht="15" customHeight="1" s="160">
      <c r="A9" s="166" t="inlineStr">
        <is>
          <t>Hold Period</t>
        </is>
      </c>
      <c r="B9" s="275">
        <f>Assumptions!C14</f>
        <v/>
      </c>
    </row>
    <row r="10" ht="15" customHeight="1" s="160">
      <c r="A10" s="161" t="n"/>
      <c r="B10" s="161" t="n"/>
    </row>
    <row r="11" ht="15" customHeight="1" s="160">
      <c r="A11" s="169" t="inlineStr">
        <is>
          <t>Return Metrics</t>
        </is>
      </c>
    </row>
    <row r="12" ht="15" customHeight="1" s="160">
      <c r="A12" s="166" t="inlineStr">
        <is>
          <t>Year 1 NOI</t>
        </is>
      </c>
      <c r="B12" s="222">
        <f>'Pro Forma'!B49</f>
        <v/>
      </c>
    </row>
    <row r="13" ht="15" customHeight="1" s="160">
      <c r="A13" s="166" t="inlineStr">
        <is>
          <t>Going-In Cap Rate</t>
        </is>
      </c>
      <c r="B13" s="273">
        <f>IF(Assumptions!C17&gt;0,B12/Assumptions!C17,0)</f>
        <v/>
      </c>
    </row>
    <row r="14" ht="15" customHeight="1" s="160">
      <c r="A14" s="166" t="inlineStr">
        <is>
          <t>Year 1 Cash-on-Cash</t>
        </is>
      </c>
      <c r="B14" s="301">
        <f>IF(Assumptions!C91&gt;0,'Pro Forma'!B63/Assumptions!C91,0)</f>
        <v/>
      </c>
    </row>
    <row r="15" ht="15" customHeight="1" s="160">
      <c r="A15" s="166" t="inlineStr">
        <is>
          <t>Year 1 DSCR</t>
        </is>
      </c>
      <c r="B15" s="175">
        <f>'Pro Forma'!B61</f>
        <v/>
      </c>
    </row>
    <row r="16" ht="15" customHeight="1" s="160">
      <c r="A16" s="166" t="inlineStr">
        <is>
          <t>Exit Cap Rate</t>
        </is>
      </c>
      <c r="B16" s="277">
        <f>Assumptions!C193</f>
        <v/>
      </c>
    </row>
    <row r="17" ht="15" customHeight="1" s="160">
      <c r="A17" s="166" t="inlineStr">
        <is>
          <t>Gross Sale Price</t>
        </is>
      </c>
      <c r="B17" s="222">
        <f>Exit!B7</f>
        <v/>
      </c>
    </row>
    <row r="18" ht="15" customHeight="1" s="160">
      <c r="A18" s="161" t="n"/>
      <c r="B18" s="161" t="n"/>
    </row>
    <row r="19" ht="15" customHeight="1" s="160">
      <c r="A19" s="169" t="inlineStr">
        <is>
          <t>Equity Multiple &amp; Distributions</t>
        </is>
      </c>
    </row>
    <row r="20" ht="15" customHeight="1" s="160">
      <c r="A20" s="166" t="inlineStr">
        <is>
          <t>Total Operating CF</t>
        </is>
      </c>
      <c r="B20" s="222">
        <f>SUM('Pro Forma'!B63:K63)</f>
        <v/>
      </c>
    </row>
    <row r="21" ht="15" customHeight="1" s="160">
      <c r="A21" s="166" t="inlineStr">
        <is>
          <t>Total Refi Proceeds</t>
        </is>
      </c>
      <c r="B21" s="222">
        <f>'Refi Analysis'!B22+'Refi Analysis'!C22+'Refi Analysis'!D22</f>
        <v/>
      </c>
    </row>
    <row r="22" ht="15" customHeight="1" s="160">
      <c r="A22" s="166" t="inlineStr">
        <is>
          <t>Net Exit Proceeds</t>
        </is>
      </c>
      <c r="B22" s="222">
        <f>Exit!B14</f>
        <v/>
      </c>
    </row>
    <row r="23" ht="15" customHeight="1" s="160">
      <c r="A23" s="268" t="inlineStr">
        <is>
          <t>Total Distributions</t>
        </is>
      </c>
      <c r="B23" s="193">
        <f>B20+B21+B22</f>
        <v/>
      </c>
    </row>
    <row r="24" ht="15" customHeight="1" s="160">
      <c r="A24" s="161" t="n"/>
      <c r="B24" s="161" t="n"/>
    </row>
    <row r="25" ht="17.25" customHeight="1" s="160">
      <c r="A25" s="284" t="inlineStr">
        <is>
          <t>EQUITY MULTIPLE</t>
        </is>
      </c>
      <c r="B25" s="285">
        <f>IF(Assumptions!C91&gt;0,B23/Assumptions!C91,0)</f>
        <v/>
      </c>
    </row>
    <row r="26" ht="15" customHeight="1" s="160">
      <c r="A26" s="161" t="n"/>
      <c r="B26" s="161" t="n"/>
    </row>
    <row r="27" ht="15" customHeight="1" s="160">
      <c r="A27" s="264" t="inlineStr">
        <is>
          <t>LP IRR (from Waterfall)</t>
        </is>
      </c>
      <c r="B27" s="302">
        <f>'Cash Waterfall'!D41</f>
        <v/>
      </c>
    </row>
    <row r="28" ht="15" customHeight="1" s="160">
      <c r="A28" s="264" t="inlineStr">
        <is>
          <t>LP Equity Multiple</t>
        </is>
      </c>
      <c r="B28" s="303">
        <f>'Cash Waterfall'!D42</f>
        <v/>
      </c>
    </row>
    <row r="29" ht="15" customHeight="1" s="160">
      <c r="A29" s="264" t="inlineStr">
        <is>
          <t>GP IRR</t>
        </is>
      </c>
      <c r="B29" s="302">
        <f>'Cash Waterfall'!D49</f>
        <v/>
      </c>
    </row>
    <row r="30" ht="15" customHeight="1" s="160">
      <c r="A30" s="264" t="inlineStr">
        <is>
          <t>GP Equity Multiple</t>
        </is>
      </c>
      <c r="B30" s="303">
        <f>'Cash Waterfall'!D50</f>
        <v/>
      </c>
    </row>
    <row r="31" ht="15" customHeight="1" s="160">
      <c r="A31" s="264" t="inlineStr">
        <is>
          <t>Levered IRR (Property)</t>
        </is>
      </c>
      <c r="B31" s="302">
        <f>'Cash Waterfall'!D30</f>
        <v/>
      </c>
    </row>
  </sheetData>
  <mergeCells count="5">
    <mergeCell ref="A4:B4"/>
    <mergeCell ref="A2:B2"/>
    <mergeCell ref="A19:B19"/>
    <mergeCell ref="A11:B11"/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tabColor rgb="FF3E6844"/>
    <outlinePr summaryBelow="1" summaryRight="1"/>
    <pageSetUpPr fitToPage="0"/>
  </sheetPr>
  <dimension ref="A1:R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159" min="1" max="1"/>
    <col width="16" customWidth="1" style="159" min="2" max="2"/>
    <col width="14" customWidth="1" style="159" min="3" max="9"/>
    <col width="3" customWidth="1" style="159" min="10" max="10"/>
    <col width="16" customWidth="1" style="159" min="11" max="11"/>
    <col width="14" customWidth="1" style="159" min="12" max="18"/>
  </cols>
  <sheetData>
    <row r="1" ht="36" customHeight="1" s="160">
      <c r="A1" s="240" t="inlineStr">
        <is>
          <t>SENSITIVITY ANALYSIS</t>
        </is>
      </c>
    </row>
    <row r="2" ht="15" customHeight="1" s="160">
      <c r="A2" s="241" t="inlineStr">
        <is>
          <t>How key returns change across different scenarios. Rent Growth (columns) × Exit Cap Rate (rows).</t>
        </is>
      </c>
    </row>
    <row r="3" ht="15" customHeight="1" s="160">
      <c r="A3" s="161" t="n"/>
      <c r="B3" s="161" t="n"/>
      <c r="C3" s="161" t="n"/>
      <c r="D3" s="161" t="n"/>
      <c r="E3" s="161" t="n"/>
      <c r="F3" s="161" t="n"/>
      <c r="G3" s="161" t="n"/>
      <c r="H3" s="161" t="n"/>
      <c r="I3" s="161" t="n"/>
      <c r="J3" s="161" t="n"/>
      <c r="K3" s="161" t="n"/>
      <c r="L3" s="161" t="n"/>
      <c r="M3" s="161" t="n"/>
      <c r="N3" s="161" t="n"/>
      <c r="O3" s="161" t="n"/>
      <c r="P3" s="161" t="n"/>
      <c r="Q3" s="161" t="n"/>
      <c r="R3" s="161" t="n"/>
    </row>
    <row r="4" ht="15" customHeight="1" s="160">
      <c r="A4" s="161" t="n"/>
      <c r="B4" s="291" t="inlineStr">
        <is>
          <t>LEVERED IRR</t>
        </is>
      </c>
      <c r="I4" s="161" t="n"/>
      <c r="J4" s="161" t="n"/>
      <c r="K4" s="291" t="inlineStr">
        <is>
          <t>EQUITY MULTIPLE</t>
        </is>
      </c>
      <c r="R4" s="161" t="n"/>
    </row>
    <row r="5" ht="15" customHeight="1" s="160">
      <c r="A5" s="161" t="n"/>
      <c r="B5" s="179" t="inlineStr">
        <is>
          <t>Project-level IRR under different rent growth and exit cap assumptions</t>
        </is>
      </c>
      <c r="C5" s="161" t="n"/>
      <c r="D5" s="161" t="n"/>
      <c r="E5" s="161" t="n"/>
      <c r="F5" s="161" t="n"/>
      <c r="G5" s="161" t="n"/>
      <c r="H5" s="161" t="n"/>
      <c r="I5" s="161" t="n"/>
      <c r="J5" s="161" t="n"/>
      <c r="K5" s="179" t="inlineStr">
        <is>
          <t>Project-level equity multiple under different scenarios</t>
        </is>
      </c>
      <c r="L5" s="161" t="n"/>
      <c r="M5" s="161" t="n"/>
      <c r="N5" s="161" t="n"/>
      <c r="O5" s="161" t="n"/>
      <c r="P5" s="161" t="n"/>
      <c r="Q5" s="161" t="n"/>
      <c r="R5" s="161" t="n"/>
    </row>
    <row r="6" ht="15" customHeight="1" s="160">
      <c r="A6" s="161" t="n"/>
      <c r="B6" s="219" t="inlineStr">
        <is>
          <t>Exit Cap ↓  Rent Growth →</t>
        </is>
      </c>
      <c r="C6" s="304">
        <f>Assumptions!$C$222+0*Assumptions!$C$224</f>
        <v/>
      </c>
      <c r="D6" s="304">
        <f>Assumptions!$C$222+1*Assumptions!$C$224</f>
        <v/>
      </c>
      <c r="E6" s="304">
        <f>Assumptions!$C$222+2*Assumptions!$C$224</f>
        <v/>
      </c>
      <c r="F6" s="304">
        <f>Assumptions!$C$222+3*Assumptions!$C$224</f>
        <v/>
      </c>
      <c r="G6" s="304">
        <f>Assumptions!$C$222+4*Assumptions!$C$224</f>
        <v/>
      </c>
      <c r="H6" s="304">
        <f>Assumptions!$C$222+5*Assumptions!$C$224</f>
        <v/>
      </c>
      <c r="I6" s="161" t="n"/>
      <c r="J6" s="161" t="n"/>
      <c r="K6" s="219" t="inlineStr">
        <is>
          <t>Exit Cap ↓  Rent Growth →</t>
        </is>
      </c>
      <c r="L6" s="304">
        <f>Assumptions!$C$222+0*Assumptions!$C$224</f>
        <v/>
      </c>
      <c r="M6" s="304">
        <f>Assumptions!$C$222+1*Assumptions!$C$224</f>
        <v/>
      </c>
      <c r="N6" s="304">
        <f>Assumptions!$C$222+2*Assumptions!$C$224</f>
        <v/>
      </c>
      <c r="O6" s="304">
        <f>Assumptions!$C$222+3*Assumptions!$C$224</f>
        <v/>
      </c>
      <c r="P6" s="304">
        <f>Assumptions!$C$222+4*Assumptions!$C$224</f>
        <v/>
      </c>
      <c r="Q6" s="304">
        <f>Assumptions!$C$222+5*Assumptions!$C$224</f>
        <v/>
      </c>
      <c r="R6" s="161" t="n"/>
    </row>
    <row r="7" ht="15" customHeight="1" s="160">
      <c r="A7" s="161" t="n"/>
      <c r="B7" s="305">
        <f>Assumptions!$C$225+0*Assumptions!$C$227</f>
        <v/>
      </c>
      <c r="C7" s="306" t="inlineStr">
        <is>
          <t>—</t>
        </is>
      </c>
      <c r="D7" s="306" t="inlineStr">
        <is>
          <t>—</t>
        </is>
      </c>
      <c r="E7" s="306" t="inlineStr">
        <is>
          <t>—</t>
        </is>
      </c>
      <c r="F7" s="306" t="inlineStr">
        <is>
          <t>—</t>
        </is>
      </c>
      <c r="G7" s="306" t="inlineStr">
        <is>
          <t>—</t>
        </is>
      </c>
      <c r="H7" s="306" t="inlineStr">
        <is>
          <t>—</t>
        </is>
      </c>
      <c r="I7" s="161" t="n"/>
      <c r="J7" s="161" t="n"/>
      <c r="K7" s="305">
        <f>Assumptions!$C$225+0*Assumptions!$C$227</f>
        <v/>
      </c>
      <c r="L7" s="307" t="inlineStr">
        <is>
          <t>—</t>
        </is>
      </c>
      <c r="M7" s="307" t="inlineStr">
        <is>
          <t>—</t>
        </is>
      </c>
      <c r="N7" s="307" t="inlineStr">
        <is>
          <t>—</t>
        </is>
      </c>
      <c r="O7" s="307" t="inlineStr">
        <is>
          <t>—</t>
        </is>
      </c>
      <c r="P7" s="307" t="inlineStr">
        <is>
          <t>—</t>
        </is>
      </c>
      <c r="Q7" s="307" t="inlineStr">
        <is>
          <t>—</t>
        </is>
      </c>
      <c r="R7" s="161" t="n"/>
    </row>
    <row r="8" ht="15" customHeight="1" s="160">
      <c r="A8" s="161" t="n"/>
      <c r="B8" s="305">
        <f>Assumptions!$C$225+1*Assumptions!$C$227</f>
        <v/>
      </c>
      <c r="C8" s="306" t="inlineStr">
        <is>
          <t>—</t>
        </is>
      </c>
      <c r="D8" s="306" t="inlineStr">
        <is>
          <t>—</t>
        </is>
      </c>
      <c r="E8" s="306" t="inlineStr">
        <is>
          <t>—</t>
        </is>
      </c>
      <c r="F8" s="306" t="inlineStr">
        <is>
          <t>—</t>
        </is>
      </c>
      <c r="G8" s="306" t="inlineStr">
        <is>
          <t>—</t>
        </is>
      </c>
      <c r="H8" s="306" t="inlineStr">
        <is>
          <t>—</t>
        </is>
      </c>
      <c r="I8" s="161" t="n"/>
      <c r="J8" s="161" t="n"/>
      <c r="K8" s="305">
        <f>Assumptions!$C$225+1*Assumptions!$C$227</f>
        <v/>
      </c>
      <c r="L8" s="307" t="inlineStr">
        <is>
          <t>—</t>
        </is>
      </c>
      <c r="M8" s="307" t="inlineStr">
        <is>
          <t>—</t>
        </is>
      </c>
      <c r="N8" s="307" t="inlineStr">
        <is>
          <t>—</t>
        </is>
      </c>
      <c r="O8" s="307" t="inlineStr">
        <is>
          <t>—</t>
        </is>
      </c>
      <c r="P8" s="307" t="inlineStr">
        <is>
          <t>—</t>
        </is>
      </c>
      <c r="Q8" s="307" t="inlineStr">
        <is>
          <t>—</t>
        </is>
      </c>
      <c r="R8" s="161" t="n"/>
    </row>
    <row r="9" ht="15" customHeight="1" s="160">
      <c r="A9" s="161" t="n"/>
      <c r="B9" s="305">
        <f>Assumptions!$C$225+2*Assumptions!$C$227</f>
        <v/>
      </c>
      <c r="C9" s="306" t="inlineStr">
        <is>
          <t>—</t>
        </is>
      </c>
      <c r="D9" s="306" t="inlineStr">
        <is>
          <t>—</t>
        </is>
      </c>
      <c r="E9" s="306" t="inlineStr">
        <is>
          <t>—</t>
        </is>
      </c>
      <c r="F9" s="306" t="inlineStr">
        <is>
          <t>—</t>
        </is>
      </c>
      <c r="G9" s="306" t="inlineStr">
        <is>
          <t>—</t>
        </is>
      </c>
      <c r="H9" s="306" t="inlineStr">
        <is>
          <t>—</t>
        </is>
      </c>
      <c r="I9" s="161" t="n"/>
      <c r="J9" s="161" t="n"/>
      <c r="K9" s="305">
        <f>Assumptions!$C$225+2*Assumptions!$C$227</f>
        <v/>
      </c>
      <c r="L9" s="307" t="inlineStr">
        <is>
          <t>—</t>
        </is>
      </c>
      <c r="M9" s="307" t="inlineStr">
        <is>
          <t>—</t>
        </is>
      </c>
      <c r="N9" s="307" t="inlineStr">
        <is>
          <t>—</t>
        </is>
      </c>
      <c r="O9" s="307" t="inlineStr">
        <is>
          <t>—</t>
        </is>
      </c>
      <c r="P9" s="307" t="inlineStr">
        <is>
          <t>—</t>
        </is>
      </c>
      <c r="Q9" s="307" t="inlineStr">
        <is>
          <t>—</t>
        </is>
      </c>
      <c r="R9" s="161" t="n"/>
    </row>
    <row r="10" ht="15" customHeight="1" s="160">
      <c r="A10" s="161" t="n"/>
      <c r="B10" s="305">
        <f>Assumptions!$C$225+3*Assumptions!$C$227</f>
        <v/>
      </c>
      <c r="C10" s="306" t="inlineStr">
        <is>
          <t>—</t>
        </is>
      </c>
      <c r="D10" s="306" t="inlineStr">
        <is>
          <t>—</t>
        </is>
      </c>
      <c r="E10" s="306" t="inlineStr">
        <is>
          <t>—</t>
        </is>
      </c>
      <c r="F10" s="306" t="inlineStr">
        <is>
          <t>—</t>
        </is>
      </c>
      <c r="G10" s="306" t="inlineStr">
        <is>
          <t>—</t>
        </is>
      </c>
      <c r="H10" s="306" t="inlineStr">
        <is>
          <t>—</t>
        </is>
      </c>
      <c r="I10" s="161" t="n"/>
      <c r="J10" s="161" t="n"/>
      <c r="K10" s="305">
        <f>Assumptions!$C$225+3*Assumptions!$C$227</f>
        <v/>
      </c>
      <c r="L10" s="307" t="inlineStr">
        <is>
          <t>—</t>
        </is>
      </c>
      <c r="M10" s="307" t="inlineStr">
        <is>
          <t>—</t>
        </is>
      </c>
      <c r="N10" s="307" t="inlineStr">
        <is>
          <t>—</t>
        </is>
      </c>
      <c r="O10" s="307" t="inlineStr">
        <is>
          <t>—</t>
        </is>
      </c>
      <c r="P10" s="307" t="inlineStr">
        <is>
          <t>—</t>
        </is>
      </c>
      <c r="Q10" s="307" t="inlineStr">
        <is>
          <t>—</t>
        </is>
      </c>
      <c r="R10" s="161" t="n"/>
    </row>
    <row r="11" ht="15" customHeight="1" s="160">
      <c r="A11" s="161" t="n"/>
      <c r="B11" s="305">
        <f>Assumptions!$C$225+4*Assumptions!$C$227</f>
        <v/>
      </c>
      <c r="C11" s="306" t="inlineStr">
        <is>
          <t>—</t>
        </is>
      </c>
      <c r="D11" s="306" t="inlineStr">
        <is>
          <t>—</t>
        </is>
      </c>
      <c r="E11" s="306" t="inlineStr">
        <is>
          <t>—</t>
        </is>
      </c>
      <c r="F11" s="306" t="inlineStr">
        <is>
          <t>—</t>
        </is>
      </c>
      <c r="G11" s="306" t="inlineStr">
        <is>
          <t>—</t>
        </is>
      </c>
      <c r="H11" s="306" t="inlineStr">
        <is>
          <t>—</t>
        </is>
      </c>
      <c r="I11" s="161" t="n"/>
      <c r="J11" s="161" t="n"/>
      <c r="K11" s="305">
        <f>Assumptions!$C$225+4*Assumptions!$C$227</f>
        <v/>
      </c>
      <c r="L11" s="307" t="inlineStr">
        <is>
          <t>—</t>
        </is>
      </c>
      <c r="M11" s="307" t="inlineStr">
        <is>
          <t>—</t>
        </is>
      </c>
      <c r="N11" s="307" t="inlineStr">
        <is>
          <t>—</t>
        </is>
      </c>
      <c r="O11" s="307" t="inlineStr">
        <is>
          <t>—</t>
        </is>
      </c>
      <c r="P11" s="307" t="inlineStr">
        <is>
          <t>—</t>
        </is>
      </c>
      <c r="Q11" s="307" t="inlineStr">
        <is>
          <t>—</t>
        </is>
      </c>
      <c r="R11" s="161" t="n"/>
    </row>
    <row r="12" ht="15" customHeight="1" s="160">
      <c r="A12" s="161" t="n"/>
      <c r="B12" s="305">
        <f>Assumptions!$C$225+5*Assumptions!$C$227</f>
        <v/>
      </c>
      <c r="C12" s="306" t="inlineStr">
        <is>
          <t>—</t>
        </is>
      </c>
      <c r="D12" s="306" t="inlineStr">
        <is>
          <t>—</t>
        </is>
      </c>
      <c r="E12" s="306" t="inlineStr">
        <is>
          <t>—</t>
        </is>
      </c>
      <c r="F12" s="306" t="inlineStr">
        <is>
          <t>—</t>
        </is>
      </c>
      <c r="G12" s="306" t="inlineStr">
        <is>
          <t>—</t>
        </is>
      </c>
      <c r="H12" s="306" t="inlineStr">
        <is>
          <t>—</t>
        </is>
      </c>
      <c r="I12" s="161" t="n"/>
      <c r="J12" s="161" t="n"/>
      <c r="K12" s="305">
        <f>Assumptions!$C$225+5*Assumptions!$C$227</f>
        <v/>
      </c>
      <c r="L12" s="307" t="inlineStr">
        <is>
          <t>—</t>
        </is>
      </c>
      <c r="M12" s="307" t="inlineStr">
        <is>
          <t>—</t>
        </is>
      </c>
      <c r="N12" s="307" t="inlineStr">
        <is>
          <t>—</t>
        </is>
      </c>
      <c r="O12" s="307" t="inlineStr">
        <is>
          <t>—</t>
        </is>
      </c>
      <c r="P12" s="307" t="inlineStr">
        <is>
          <t>—</t>
        </is>
      </c>
      <c r="Q12" s="307" t="inlineStr">
        <is>
          <t>—</t>
        </is>
      </c>
      <c r="R12" s="161" t="n"/>
    </row>
    <row r="13" ht="15" customHeight="1" s="160">
      <c r="A13" s="161" t="n"/>
      <c r="B13" s="305">
        <f>Assumptions!$C$225+6*Assumptions!$C$227</f>
        <v/>
      </c>
      <c r="C13" s="306" t="inlineStr">
        <is>
          <t>—</t>
        </is>
      </c>
      <c r="D13" s="306" t="inlineStr">
        <is>
          <t>—</t>
        </is>
      </c>
      <c r="E13" s="306" t="inlineStr">
        <is>
          <t>—</t>
        </is>
      </c>
      <c r="F13" s="306" t="inlineStr">
        <is>
          <t>—</t>
        </is>
      </c>
      <c r="G13" s="306" t="inlineStr">
        <is>
          <t>—</t>
        </is>
      </c>
      <c r="H13" s="306" t="inlineStr">
        <is>
          <t>—</t>
        </is>
      </c>
      <c r="I13" s="161" t="n"/>
      <c r="J13" s="161" t="n"/>
      <c r="K13" s="305">
        <f>Assumptions!$C$225+6*Assumptions!$C$227</f>
        <v/>
      </c>
      <c r="L13" s="307" t="inlineStr">
        <is>
          <t>—</t>
        </is>
      </c>
      <c r="M13" s="307" t="inlineStr">
        <is>
          <t>—</t>
        </is>
      </c>
      <c r="N13" s="307" t="inlineStr">
        <is>
          <t>—</t>
        </is>
      </c>
      <c r="O13" s="307" t="inlineStr">
        <is>
          <t>—</t>
        </is>
      </c>
      <c r="P13" s="307" t="inlineStr">
        <is>
          <t>—</t>
        </is>
      </c>
      <c r="Q13" s="307" t="inlineStr">
        <is>
          <t>—</t>
        </is>
      </c>
      <c r="R13" s="161" t="n"/>
    </row>
    <row r="14" ht="15" customHeight="1" s="160">
      <c r="A14" s="161" t="n"/>
      <c r="B14" s="161" t="n"/>
      <c r="C14" s="161" t="n"/>
      <c r="D14" s="161" t="n"/>
      <c r="E14" s="161" t="n"/>
      <c r="F14" s="161" t="n"/>
      <c r="G14" s="161" t="n"/>
      <c r="H14" s="161" t="n"/>
      <c r="I14" s="161" t="n"/>
      <c r="J14" s="161" t="n"/>
      <c r="K14" s="161" t="n"/>
      <c r="L14" s="161" t="n"/>
      <c r="M14" s="161" t="n"/>
      <c r="N14" s="161" t="n"/>
      <c r="O14" s="161" t="n"/>
      <c r="P14" s="161" t="n"/>
      <c r="Q14" s="161" t="n"/>
      <c r="R14" s="161" t="n"/>
    </row>
    <row r="15" ht="15" customHeight="1" s="160">
      <c r="A15" s="161" t="n"/>
      <c r="B15" s="179" t="inlineStr">
        <is>
          <t>Values calculated by Python underwriting script (requires iterative IRR calculation).</t>
        </is>
      </c>
      <c r="C15" s="161" t="n"/>
      <c r="D15" s="161" t="n"/>
      <c r="E15" s="161" t="n"/>
      <c r="F15" s="161" t="n"/>
      <c r="G15" s="161" t="n"/>
      <c r="H15" s="161" t="n"/>
      <c r="I15" s="161" t="n"/>
      <c r="J15" s="161" t="n"/>
      <c r="K15" s="179" t="inlineStr">
        <is>
          <t>Values calculated by Python underwriting script.</t>
        </is>
      </c>
      <c r="L15" s="161" t="n"/>
      <c r="M15" s="161" t="n"/>
      <c r="N15" s="161" t="n"/>
      <c r="O15" s="161" t="n"/>
      <c r="P15" s="161" t="n"/>
      <c r="Q15" s="161" t="n"/>
      <c r="R15" s="161" t="n"/>
    </row>
    <row r="16" ht="25.5" customHeight="1" s="160">
      <c r="A16" s="184" t="inlineStr">
        <is>
          <t xml:space="preserve">  OPERATING METRICS SENSITIVITY</t>
        </is>
      </c>
    </row>
    <row r="17" ht="15" customHeight="1" s="160">
      <c r="A17" s="161" t="n"/>
      <c r="B17" s="161" t="n"/>
      <c r="C17" s="161" t="n"/>
      <c r="D17" s="161" t="n"/>
      <c r="E17" s="161" t="n"/>
      <c r="F17" s="161" t="n"/>
      <c r="G17" s="161" t="n"/>
      <c r="H17" s="161" t="n"/>
      <c r="I17" s="161" t="n"/>
      <c r="J17" s="161" t="n"/>
      <c r="K17" s="161" t="n"/>
      <c r="L17" s="161" t="n"/>
      <c r="M17" s="161" t="n"/>
      <c r="N17" s="161" t="n"/>
      <c r="O17" s="161" t="n"/>
      <c r="P17" s="161" t="n"/>
      <c r="Q17" s="161" t="n"/>
      <c r="R17" s="161" t="n"/>
    </row>
    <row r="18" ht="15" customHeight="1" s="160">
      <c r="A18" s="161" t="n"/>
      <c r="B18" s="291" t="inlineStr">
        <is>
          <t>YEAR 1 NOI</t>
        </is>
      </c>
      <c r="I18" s="161" t="n"/>
      <c r="J18" s="161" t="n"/>
      <c r="K18" s="291" t="inlineStr">
        <is>
          <t>YEAR 1 CASH-ON-CASH RETURN</t>
        </is>
      </c>
      <c r="R18" s="161" t="n"/>
    </row>
    <row r="19" ht="15" customHeight="1" s="160">
      <c r="A19" s="161" t="n"/>
      <c r="B19" s="179" t="inlineStr">
        <is>
          <t>Vacancy Rate (columns) × Expense Growth (rows)</t>
        </is>
      </c>
      <c r="C19" s="161" t="n"/>
      <c r="D19" s="161" t="n"/>
      <c r="E19" s="161" t="n"/>
      <c r="F19" s="161" t="n"/>
      <c r="G19" s="161" t="n"/>
      <c r="H19" s="161" t="n"/>
      <c r="I19" s="161" t="n"/>
      <c r="J19" s="161" t="n"/>
      <c r="K19" s="179" t="inlineStr">
        <is>
          <t>Purchase Price (columns) × LTV (rows)</t>
        </is>
      </c>
      <c r="L19" s="161" t="n"/>
      <c r="M19" s="161" t="n"/>
      <c r="N19" s="161" t="n"/>
      <c r="O19" s="161" t="n"/>
      <c r="P19" s="161" t="n"/>
      <c r="Q19" s="161" t="n"/>
      <c r="R19" s="161" t="n"/>
    </row>
    <row r="20" ht="15" customHeight="1" s="160">
      <c r="A20" s="161" t="n"/>
      <c r="B20" s="219" t="inlineStr">
        <is>
          <t>Exp Growth ↓  Vacancy →</t>
        </is>
      </c>
      <c r="C20" s="304" t="n">
        <v>0.05</v>
      </c>
      <c r="D20" s="304" t="n">
        <v>0.075</v>
      </c>
      <c r="E20" s="304" t="n">
        <v>0.1</v>
      </c>
      <c r="F20" s="304" t="n">
        <v>0.125</v>
      </c>
      <c r="G20" s="304" t="n">
        <v>0.15</v>
      </c>
      <c r="H20" s="304" t="n">
        <v>0.2</v>
      </c>
      <c r="I20" s="161" t="n"/>
      <c r="J20" s="161" t="n"/>
      <c r="K20" s="219" t="inlineStr">
        <is>
          <t>LTV ↓  Price →</t>
        </is>
      </c>
      <c r="L20" s="308">
        <f>Assumptions!$C$17*(1+-0.15)</f>
        <v/>
      </c>
      <c r="M20" s="308">
        <f>Assumptions!$C$17*(1+-0.1)</f>
        <v/>
      </c>
      <c r="N20" s="308">
        <f>Assumptions!$C$17*(1+-0.05)</f>
        <v/>
      </c>
      <c r="O20" s="308">
        <f>Assumptions!$C$17</f>
        <v/>
      </c>
      <c r="P20" s="308">
        <f>Assumptions!$C$17*(1+0.05)</f>
        <v/>
      </c>
      <c r="Q20" s="308">
        <f>Assumptions!$C$17*(1+0.1)</f>
        <v/>
      </c>
      <c r="R20" s="161" t="n"/>
    </row>
    <row r="21" ht="15" customHeight="1" s="160">
      <c r="A21" s="161" t="n"/>
      <c r="B21" s="309" t="n">
        <v>0.01</v>
      </c>
      <c r="C21" s="310" t="inlineStr">
        <is>
          <t>—</t>
        </is>
      </c>
      <c r="D21" s="310" t="inlineStr">
        <is>
          <t>—</t>
        </is>
      </c>
      <c r="E21" s="310" t="inlineStr">
        <is>
          <t>—</t>
        </is>
      </c>
      <c r="F21" s="310" t="inlineStr">
        <is>
          <t>—</t>
        </is>
      </c>
      <c r="G21" s="310" t="inlineStr">
        <is>
          <t>—</t>
        </is>
      </c>
      <c r="H21" s="310" t="inlineStr">
        <is>
          <t>—</t>
        </is>
      </c>
      <c r="I21" s="161" t="n"/>
      <c r="J21" s="161" t="n"/>
      <c r="K21" s="309" t="n">
        <v>0.6</v>
      </c>
      <c r="L21" s="311" t="inlineStr">
        <is>
          <t>—</t>
        </is>
      </c>
      <c r="M21" s="311" t="inlineStr">
        <is>
          <t>—</t>
        </is>
      </c>
      <c r="N21" s="311" t="inlineStr">
        <is>
          <t>—</t>
        </is>
      </c>
      <c r="O21" s="311" t="inlineStr">
        <is>
          <t>—</t>
        </is>
      </c>
      <c r="P21" s="311" t="inlineStr">
        <is>
          <t>—</t>
        </is>
      </c>
      <c r="Q21" s="311" t="inlineStr">
        <is>
          <t>—</t>
        </is>
      </c>
      <c r="R21" s="161" t="n"/>
    </row>
    <row r="22" ht="15" customHeight="1" s="160">
      <c r="A22" s="161" t="n"/>
      <c r="B22" s="309" t="n">
        <v>0.02</v>
      </c>
      <c r="C22" s="310" t="inlineStr">
        <is>
          <t>—</t>
        </is>
      </c>
      <c r="D22" s="310" t="inlineStr">
        <is>
          <t>—</t>
        </is>
      </c>
      <c r="E22" s="310" t="inlineStr">
        <is>
          <t>—</t>
        </is>
      </c>
      <c r="F22" s="310" t="inlineStr">
        <is>
          <t>—</t>
        </is>
      </c>
      <c r="G22" s="310" t="inlineStr">
        <is>
          <t>—</t>
        </is>
      </c>
      <c r="H22" s="310" t="inlineStr">
        <is>
          <t>—</t>
        </is>
      </c>
      <c r="I22" s="161" t="n"/>
      <c r="J22" s="161" t="n"/>
      <c r="K22" s="309" t="n">
        <v>0.65</v>
      </c>
      <c r="L22" s="311" t="inlineStr">
        <is>
          <t>—</t>
        </is>
      </c>
      <c r="M22" s="311" t="inlineStr">
        <is>
          <t>—</t>
        </is>
      </c>
      <c r="N22" s="311" t="inlineStr">
        <is>
          <t>—</t>
        </is>
      </c>
      <c r="O22" s="311" t="inlineStr">
        <is>
          <t>—</t>
        </is>
      </c>
      <c r="P22" s="311" t="inlineStr">
        <is>
          <t>—</t>
        </is>
      </c>
      <c r="Q22" s="311" t="inlineStr">
        <is>
          <t>—</t>
        </is>
      </c>
      <c r="R22" s="161" t="n"/>
    </row>
    <row r="23" ht="15" customHeight="1" s="160">
      <c r="A23" s="161" t="n"/>
      <c r="B23" s="309" t="n">
        <v>0.03</v>
      </c>
      <c r="C23" s="310" t="inlineStr">
        <is>
          <t>—</t>
        </is>
      </c>
      <c r="D23" s="310" t="inlineStr">
        <is>
          <t>—</t>
        </is>
      </c>
      <c r="E23" s="310" t="inlineStr">
        <is>
          <t>—</t>
        </is>
      </c>
      <c r="F23" s="310" t="inlineStr">
        <is>
          <t>—</t>
        </is>
      </c>
      <c r="G23" s="310" t="inlineStr">
        <is>
          <t>—</t>
        </is>
      </c>
      <c r="H23" s="310" t="inlineStr">
        <is>
          <t>—</t>
        </is>
      </c>
      <c r="I23" s="161" t="n"/>
      <c r="J23" s="161" t="n"/>
      <c r="K23" s="309" t="n">
        <v>0.7</v>
      </c>
      <c r="L23" s="311" t="inlineStr">
        <is>
          <t>—</t>
        </is>
      </c>
      <c r="M23" s="311" t="inlineStr">
        <is>
          <t>—</t>
        </is>
      </c>
      <c r="N23" s="311" t="inlineStr">
        <is>
          <t>—</t>
        </is>
      </c>
      <c r="O23" s="311" t="inlineStr">
        <is>
          <t>—</t>
        </is>
      </c>
      <c r="P23" s="311" t="inlineStr">
        <is>
          <t>—</t>
        </is>
      </c>
      <c r="Q23" s="311" t="inlineStr">
        <is>
          <t>—</t>
        </is>
      </c>
      <c r="R23" s="161" t="n"/>
    </row>
    <row r="24" ht="15" customHeight="1" s="160">
      <c r="A24" s="161" t="n"/>
      <c r="B24" s="309" t="n">
        <v>0.04</v>
      </c>
      <c r="C24" s="310" t="inlineStr">
        <is>
          <t>—</t>
        </is>
      </c>
      <c r="D24" s="310" t="inlineStr">
        <is>
          <t>—</t>
        </is>
      </c>
      <c r="E24" s="310" t="inlineStr">
        <is>
          <t>—</t>
        </is>
      </c>
      <c r="F24" s="310" t="inlineStr">
        <is>
          <t>—</t>
        </is>
      </c>
      <c r="G24" s="310" t="inlineStr">
        <is>
          <t>—</t>
        </is>
      </c>
      <c r="H24" s="310" t="inlineStr">
        <is>
          <t>—</t>
        </is>
      </c>
      <c r="I24" s="161" t="n"/>
      <c r="J24" s="161" t="n"/>
      <c r="K24" s="309" t="n">
        <v>0.75</v>
      </c>
      <c r="L24" s="311" t="inlineStr">
        <is>
          <t>—</t>
        </is>
      </c>
      <c r="M24" s="311" t="inlineStr">
        <is>
          <t>—</t>
        </is>
      </c>
      <c r="N24" s="311" t="inlineStr">
        <is>
          <t>—</t>
        </is>
      </c>
      <c r="O24" s="311" t="inlineStr">
        <is>
          <t>—</t>
        </is>
      </c>
      <c r="P24" s="311" t="inlineStr">
        <is>
          <t>—</t>
        </is>
      </c>
      <c r="Q24" s="311" t="inlineStr">
        <is>
          <t>—</t>
        </is>
      </c>
      <c r="R24" s="161" t="n"/>
    </row>
    <row r="25" ht="15" customHeight="1" s="160">
      <c r="A25" s="161" t="n"/>
      <c r="B25" s="309" t="n">
        <v>0.05</v>
      </c>
      <c r="C25" s="310" t="inlineStr">
        <is>
          <t>—</t>
        </is>
      </c>
      <c r="D25" s="310" t="inlineStr">
        <is>
          <t>—</t>
        </is>
      </c>
      <c r="E25" s="310" t="inlineStr">
        <is>
          <t>—</t>
        </is>
      </c>
      <c r="F25" s="310" t="inlineStr">
        <is>
          <t>—</t>
        </is>
      </c>
      <c r="G25" s="310" t="inlineStr">
        <is>
          <t>—</t>
        </is>
      </c>
      <c r="H25" s="310" t="inlineStr">
        <is>
          <t>—</t>
        </is>
      </c>
      <c r="I25" s="161" t="n"/>
      <c r="J25" s="161" t="n"/>
      <c r="K25" s="309" t="n">
        <v>0.8</v>
      </c>
      <c r="L25" s="311" t="inlineStr">
        <is>
          <t>—</t>
        </is>
      </c>
      <c r="M25" s="311" t="inlineStr">
        <is>
          <t>—</t>
        </is>
      </c>
      <c r="N25" s="311" t="inlineStr">
        <is>
          <t>—</t>
        </is>
      </c>
      <c r="O25" s="311" t="inlineStr">
        <is>
          <t>—</t>
        </is>
      </c>
      <c r="P25" s="311" t="inlineStr">
        <is>
          <t>—</t>
        </is>
      </c>
      <c r="Q25" s="311" t="inlineStr">
        <is>
          <t>—</t>
        </is>
      </c>
      <c r="R25" s="161" t="n"/>
    </row>
    <row r="26" ht="15" customHeight="1" s="160">
      <c r="A26" s="161" t="n"/>
      <c r="B26" s="179" t="inlineStr">
        <is>
          <t>Values calculated by Python underwriting script.</t>
        </is>
      </c>
      <c r="C26" s="161" t="n"/>
      <c r="D26" s="161" t="n"/>
      <c r="E26" s="161" t="n"/>
      <c r="F26" s="161" t="n"/>
      <c r="G26" s="161" t="n"/>
      <c r="H26" s="161" t="n"/>
      <c r="I26" s="161" t="n"/>
      <c r="J26" s="161" t="n"/>
      <c r="K26" s="179" t="inlineStr">
        <is>
          <t>Values calculated by Python underwriting script.</t>
        </is>
      </c>
      <c r="L26" s="161" t="n"/>
      <c r="M26" s="161" t="n"/>
      <c r="N26" s="161" t="n"/>
      <c r="O26" s="161" t="n"/>
      <c r="P26" s="161" t="n"/>
      <c r="Q26" s="161" t="n"/>
      <c r="R26" s="161" t="n"/>
    </row>
  </sheetData>
  <mergeCells count="7">
    <mergeCell ref="B18:H18"/>
    <mergeCell ref="K4:Q4"/>
    <mergeCell ref="A2:R2"/>
    <mergeCell ref="B4:H4"/>
    <mergeCell ref="A16:R16"/>
    <mergeCell ref="K18:Q18"/>
    <mergeCell ref="A1:R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2026-04-01T13:26:46Z</dcterms:created>
  <dcterms:modified xmlns:dcterms="http://purl.org/dc/terms/" xmlns:xsi="http://www.w3.org/2001/XMLSchema-instance" xsi:type="dcterms:W3CDTF">2026-04-20T22:11:15Z</dcterms:modified>
  <cp:revision>0</cp:revision>
</cp:coreProperties>
</file>