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ources &amp; Uses" sheetId="3" state="visible" r:id="rId3"/>
    <sheet xmlns:r="http://schemas.openxmlformats.org/officeDocument/2006/relationships" name="Constr Interest" sheetId="4" state="visible" r:id="rId4"/>
    <sheet xmlns:r="http://schemas.openxmlformats.org/officeDocument/2006/relationships" name="Sale Analysis" sheetId="5" state="visible" r:id="rId5"/>
    <sheet xmlns:r="http://schemas.openxmlformats.org/officeDocument/2006/relationships" name="Cash Waterfall" sheetId="6" state="visible" r:id="rId6"/>
    <sheet xmlns:r="http://schemas.openxmlformats.org/officeDocument/2006/relationships" name="Returns Summary" sheetId="7" state="visible" r:id="rId7"/>
    <sheet xmlns:r="http://schemas.openxmlformats.org/officeDocument/2006/relationships" name="Sensitivity" sheetId="8" state="visible" r:id="rId8"/>
  </sheets>
  <definedNames>
    <definedName name="_xlnm.Print_Area" localSheetId="1">'Assumptions'!$A$1:$H$205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\$#,##0;&quot;($&quot;#,##0\);\-"/>
    <numFmt numFmtId="165" formatCode="0.0%"/>
    <numFmt numFmtId="166" formatCode="0.00\x"/>
    <numFmt numFmtId="167" formatCode="0&quot; years&quot;"/>
    <numFmt numFmtId="168" formatCode="\$#,##0.00;&quot;($&quot;#,##0.00\);\-"/>
    <numFmt numFmtId="169" formatCode="0.0\x"/>
    <numFmt numFmtId="170" formatCode="\$#,##0"/>
  </numFmts>
  <fonts count="3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entury Gothic"/>
      <charset val="1"/>
      <family val="0"/>
      <b val="1"/>
      <color rgb="FF4A6E50"/>
      <sz val="22"/>
    </font>
    <font>
      <name val="Century Gothic"/>
      <charset val="1"/>
      <family val="0"/>
      <color rgb="FF8B7355"/>
      <sz val="14"/>
    </font>
    <font>
      <name val="Century Gothic"/>
      <charset val="1"/>
      <family val="0"/>
      <b val="1"/>
      <color rgb="FF2C1F14"/>
      <sz val="18"/>
    </font>
    <font>
      <name val="Century Gothic"/>
      <charset val="1"/>
      <family val="0"/>
      <color rgb="FF8B7355"/>
      <sz val="12"/>
    </font>
    <font>
      <name val="Century Gothic"/>
      <charset val="1"/>
      <family val="0"/>
      <color rgb="FF2C1F14"/>
      <sz val="10"/>
    </font>
    <font>
      <name val="Century Gothic"/>
      <charset val="1"/>
      <family val="0"/>
      <color rgb="FF008000"/>
      <sz val="10"/>
    </font>
    <font>
      <name val="Century Gothic"/>
      <charset val="1"/>
      <family val="0"/>
      <b val="1"/>
      <color rgb="FF4A6E50"/>
      <sz val="12"/>
    </font>
    <font>
      <name val="Century Gothic"/>
      <charset val="1"/>
      <family val="0"/>
      <b val="1"/>
      <color rgb="FF008000"/>
      <sz val="10"/>
    </font>
    <font>
      <name val="Century Gothic"/>
      <charset val="1"/>
      <family val="0"/>
      <b val="1"/>
      <color rgb="FF9B4D4D"/>
      <sz val="10"/>
    </font>
    <font>
      <name val="Century Gothic"/>
      <charset val="1"/>
      <family val="0"/>
      <i val="1"/>
      <color rgb="FF8B7355"/>
      <sz val="9"/>
    </font>
    <font>
      <name val="Century Gothic"/>
      <charset val="1"/>
      <family val="0"/>
      <b val="1"/>
      <color rgb="FFFFFFFF"/>
      <sz val="20"/>
    </font>
    <font>
      <name val="Century Gothic"/>
      <charset val="1"/>
      <family val="0"/>
      <color rgb="FFB2C9B4"/>
      <sz val="11"/>
    </font>
    <font>
      <name val="Century Gothic"/>
      <charset val="1"/>
      <family val="0"/>
      <sz val="10"/>
    </font>
    <font>
      <name val="Century Gothic"/>
      <charset val="1"/>
      <family val="0"/>
      <b val="1"/>
      <color rgb="FFFFFFFF"/>
      <sz val="13"/>
    </font>
    <font>
      <name val="Century Gothic"/>
      <charset val="1"/>
      <family val="0"/>
      <b val="1"/>
      <color rgb="FF0000FF"/>
      <sz val="10"/>
    </font>
    <font>
      <name val="Century Gothic"/>
      <charset val="1"/>
      <family val="0"/>
      <color rgb="FF4A6E50"/>
      <sz val="10"/>
    </font>
    <font>
      <name val="Century Gothic"/>
      <charset val="1"/>
      <family val="0"/>
      <b val="1"/>
      <color rgb="FF2C1F14"/>
      <sz val="10"/>
    </font>
    <font>
      <name val="Century Gothic"/>
      <charset val="1"/>
      <family val="0"/>
      <color rgb="FF000000"/>
      <sz val="10"/>
    </font>
    <font>
      <name val="Century Gothic"/>
      <charset val="1"/>
      <family val="0"/>
      <b val="1"/>
      <color rgb="FFFFFFFF"/>
      <sz val="10"/>
    </font>
    <font>
      <name val="Century Gothic"/>
      <charset val="1"/>
      <family val="0"/>
      <b val="1"/>
      <color rgb="FF4A6E50"/>
      <sz val="11"/>
    </font>
    <font>
      <name val="Century Gothic"/>
      <charset val="1"/>
      <family val="0"/>
      <b val="1"/>
      <color rgb="FF2C1F14"/>
      <sz val="16"/>
    </font>
    <font>
      <name val="Century Gothic"/>
      <charset val="1"/>
      <family val="0"/>
      <b val="1"/>
      <color rgb="FFFFFFFF"/>
      <sz val="9"/>
    </font>
    <font>
      <name val="Century Gothic"/>
      <charset val="1"/>
      <family val="0"/>
      <b val="1"/>
      <color rgb="FF4A6E50"/>
      <sz val="10"/>
    </font>
    <font>
      <name val="Century Gothic"/>
      <charset val="1"/>
      <family val="0"/>
      <b val="1"/>
      <color rgb="FF5C3D26"/>
      <sz val="10"/>
    </font>
    <font>
      <name val="Century Gothic"/>
      <charset val="1"/>
      <family val="0"/>
      <b val="1"/>
      <color rgb="FF8B7355"/>
      <sz val="10"/>
    </font>
    <font>
      <name val="Century Gothic"/>
      <charset val="1"/>
      <family val="0"/>
      <b val="1"/>
      <color rgb="FFC4A882"/>
      <sz val="10"/>
    </font>
    <font>
      <name val="Century Gothic"/>
      <charset val="1"/>
      <family val="0"/>
      <b val="1"/>
      <color rgb="FFFFFFFF"/>
      <sz val="18"/>
    </font>
    <font>
      <name val="Century Gothic"/>
      <charset val="1"/>
      <family val="0"/>
      <color rgb="FFB2C9B4"/>
      <sz val="10"/>
    </font>
    <font>
      <name val="Century Gothic"/>
      <charset val="1"/>
      <family val="0"/>
      <b val="1"/>
      <color rgb="FFFFFFFF"/>
      <sz val="11"/>
    </font>
    <font>
      <name val="Century Gothic"/>
      <charset val="1"/>
      <family val="0"/>
      <b val="1"/>
      <color rgb="FF2C1F14"/>
      <sz val="12"/>
    </font>
    <font>
      <name val="Century Gothic"/>
      <charset val="1"/>
      <family val="0"/>
      <b val="1"/>
      <sz val="10"/>
    </font>
    <font>
      <name val="Century Gothic"/>
      <charset val="1"/>
      <family val="0"/>
      <b val="1"/>
      <color rgb="FF4A6E50"/>
      <sz val="14"/>
    </font>
    <font/>
    <font>
      <name val="Calibri"/>
      <b val="1"/>
      <color rgb="004A6E50"/>
      <sz val="10"/>
    </font>
    <font>
      <name val="Calibri"/>
      <i val="1"/>
      <color rgb="008B7355"/>
      <sz val="10"/>
    </font>
  </fonts>
  <fills count="18">
    <fill>
      <patternFill/>
    </fill>
    <fill>
      <patternFill patternType="gray125"/>
    </fill>
    <fill>
      <patternFill patternType="solid">
        <fgColor rgb="FFF5EFE4"/>
        <bgColor rgb="FFFBF6E8"/>
      </patternFill>
    </fill>
    <fill>
      <patternFill patternType="solid">
        <fgColor rgb="FFB2C9B4"/>
        <bgColor rgb="FFB2C9B4"/>
      </patternFill>
    </fill>
    <fill>
      <patternFill patternType="solid">
        <fgColor rgb="FFF5EFE4"/>
        <bgColor rgb="FFB2C9B4"/>
      </patternFill>
    </fill>
    <fill>
      <patternFill patternType="solid">
        <fgColor rgb="FF2C1F14"/>
        <bgColor rgb="FF333300"/>
      </patternFill>
    </fill>
    <fill>
      <patternFill patternType="solid">
        <fgColor rgb="FF4A6E50"/>
        <bgColor rgb="FF5C3D26"/>
      </patternFill>
    </fill>
    <fill>
      <patternFill patternType="solid">
        <fgColor rgb="FFFFFFF0"/>
        <bgColor rgb="FFFFFFFF"/>
      </patternFill>
    </fill>
    <fill>
      <patternFill patternType="solid">
        <fgColor rgb="FFB2C9B4"/>
        <bgColor rgb="FFB2C9B4"/>
      </patternFill>
    </fill>
    <fill>
      <patternFill patternType="solid">
        <fgColor rgb="FF5C3D26"/>
        <bgColor rgb="FF9B4D4D"/>
      </patternFill>
    </fill>
    <fill>
      <patternFill patternType="solid">
        <fgColor rgb="FF8B7355"/>
        <bgColor rgb="FF8B7355"/>
      </patternFill>
    </fill>
    <fill>
      <patternFill patternType="solid">
        <fgColor rgb="FFC4A882"/>
        <bgColor rgb="FF8B7355"/>
      </patternFill>
    </fill>
    <fill>
      <patternFill patternType="solid">
        <fgColor rgb="FF9B4D4D"/>
        <bgColor rgb="FF993366"/>
      </patternFill>
    </fill>
    <fill>
      <patternFill patternType="solid">
        <fgColor rgb="FFB2C9B4"/>
        <bgColor rgb="FFB2C9B4"/>
      </patternFill>
    </fill>
    <fill>
      <patternFill patternType="solid">
        <fgColor rgb="FFF5EAEA"/>
        <bgColor rgb="FFF5EFE4"/>
      </patternFill>
    </fill>
    <fill>
      <patternFill patternType="solid">
        <fgColor rgb="FFFBF6E8"/>
        <bgColor rgb="FFF5EFE4"/>
      </patternFill>
    </fill>
    <fill>
      <patternFill patternType="solid">
        <fgColor rgb="00E8F2EA"/>
        <bgColor rgb="00E8F2EA"/>
      </patternFill>
    </fill>
    <fill>
      <patternFill patternType="solid">
        <fgColor rgb="00F5EFE4"/>
        <bgColor rgb="00F5EFE4"/>
      </patternFill>
    </fill>
  </fills>
  <borders count="2">
    <border>
      <left/>
      <right/>
      <top/>
      <bottom/>
      <diagonal/>
    </border>
    <border>
      <left style="thin">
        <color rgb="FFD4C9B8"/>
      </left>
      <right style="thin">
        <color rgb="FFD4C9B8"/>
      </right>
      <top style="thin">
        <color rgb="FFD4C9B8"/>
      </top>
      <bottom style="thin">
        <color rgb="FFD4C9B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3" fontId="9" fillId="2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164" fontId="11" fillId="4" borderId="0" applyAlignment="1" pivotButton="0" quotePrefix="0" xfId="0">
      <alignment horizontal="right" vertical="center"/>
    </xf>
    <xf numFmtId="164" fontId="11" fillId="2" borderId="0" applyAlignment="1" pivotButton="0" quotePrefix="0" xfId="0">
      <alignment horizontal="right" vertical="center"/>
    </xf>
    <xf numFmtId="10" fontId="11" fillId="2" borderId="0" applyAlignment="1" pivotButton="0" quotePrefix="0" xfId="0">
      <alignment horizontal="right" vertical="center"/>
    </xf>
    <xf numFmtId="165" fontId="11" fillId="4" borderId="0" applyAlignment="1" pivotButton="0" quotePrefix="0" xfId="0">
      <alignment horizontal="right" vertical="center"/>
    </xf>
    <xf numFmtId="166" fontId="11" fillId="2" borderId="0" applyAlignment="1" pivotButton="0" quotePrefix="0" xfId="0">
      <alignment horizontal="right" vertical="center"/>
    </xf>
    <xf numFmtId="166" fontId="11" fillId="4" borderId="0" applyAlignment="1" pivotButton="0" quotePrefix="0" xfId="0">
      <alignment horizontal="right" vertical="center"/>
    </xf>
    <xf numFmtId="167" fontId="11" fillId="2" borderId="0" applyAlignment="1" pivotButton="0" quotePrefix="0" xfId="0">
      <alignment horizontal="right" vertical="center"/>
    </xf>
    <xf numFmtId="0" fontId="12" fillId="2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14" fillId="5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general" vertical="bottom"/>
    </xf>
    <xf numFmtId="0" fontId="16" fillId="6" borderId="0" applyAlignment="1" pivotButton="0" quotePrefix="0" xfId="0">
      <alignment horizontal="general" vertical="bottom"/>
    </xf>
    <xf numFmtId="0" fontId="17" fillId="6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49" fontId="18" fillId="7" borderId="1" applyAlignment="1" pivotButton="0" quotePrefix="0" xfId="0">
      <alignment horizontal="right" vertical="center"/>
    </xf>
    <xf numFmtId="3" fontId="18" fillId="7" borderId="1" applyAlignment="1" pivotButton="0" quotePrefix="0" xfId="0">
      <alignment horizontal="right" vertical="center"/>
    </xf>
    <xf numFmtId="1" fontId="18" fillId="7" borderId="1" applyAlignment="1" pivotButton="0" quotePrefix="0" xfId="0">
      <alignment horizontal="right" vertical="center"/>
    </xf>
    <xf numFmtId="164" fontId="18" fillId="7" borderId="1" applyAlignment="1" pivotButton="0" quotePrefix="0" xfId="0">
      <alignment horizontal="right" vertical="center"/>
    </xf>
    <xf numFmtId="10" fontId="18" fillId="7" borderId="1" applyAlignment="1" pivotButton="0" quotePrefix="0" xfId="0">
      <alignment horizontal="right" vertical="center"/>
    </xf>
    <xf numFmtId="164" fontId="19" fillId="2" borderId="0" applyAlignment="1" pivotButton="0" quotePrefix="0" xfId="0">
      <alignment horizontal="right" vertical="center"/>
    </xf>
    <xf numFmtId="0" fontId="20" fillId="8" borderId="0" applyAlignment="1" pivotButton="0" quotePrefix="0" xfId="0">
      <alignment horizontal="left" vertical="center"/>
    </xf>
    <xf numFmtId="164" fontId="20" fillId="8" borderId="0" applyAlignment="1" pivotButton="0" quotePrefix="0" xfId="0">
      <alignment horizontal="right" vertical="center"/>
    </xf>
    <xf numFmtId="164" fontId="21" fillId="2" borderId="0" applyAlignment="1" pivotButton="0" quotePrefix="0" xfId="0">
      <alignment horizontal="right" vertical="center"/>
    </xf>
    <xf numFmtId="168" fontId="21" fillId="2" borderId="0" applyAlignment="1" pivotButton="0" quotePrefix="0" xfId="0">
      <alignment horizontal="right" vertical="center"/>
    </xf>
    <xf numFmtId="0" fontId="13" fillId="2" borderId="0" applyAlignment="1" pivotButton="0" quotePrefix="0" xfId="0">
      <alignment horizontal="general" vertical="bottom"/>
    </xf>
    <xf numFmtId="0" fontId="22" fillId="6" borderId="0" applyAlignment="1" pivotButton="0" quotePrefix="0" xfId="0">
      <alignment horizontal="left" vertical="center"/>
    </xf>
    <xf numFmtId="0" fontId="22" fillId="9" borderId="0" applyAlignment="1" pivotButton="0" quotePrefix="0" xfId="0">
      <alignment horizontal="left" vertical="center"/>
    </xf>
    <xf numFmtId="0" fontId="22" fillId="10" borderId="0" applyAlignment="1" pivotButton="0" quotePrefix="0" xfId="0">
      <alignment horizontal="left" vertical="center"/>
    </xf>
    <xf numFmtId="0" fontId="22" fillId="11" borderId="0" applyAlignment="1" pivotButton="0" quotePrefix="0" xfId="0">
      <alignment horizontal="left" vertical="center"/>
    </xf>
    <xf numFmtId="0" fontId="22" fillId="12" borderId="0" applyAlignment="1" pivotButton="0" quotePrefix="0" xfId="0">
      <alignment horizontal="left" vertical="center"/>
    </xf>
    <xf numFmtId="165" fontId="18" fillId="7" borderId="1" applyAlignment="1" pivotButton="0" quotePrefix="0" xfId="0">
      <alignment horizontal="right" vertical="center"/>
    </xf>
    <xf numFmtId="0" fontId="20" fillId="13" borderId="0" applyAlignment="1" pivotButton="0" quotePrefix="0" xfId="0">
      <alignment horizontal="left" vertical="center"/>
    </xf>
    <xf numFmtId="164" fontId="23" fillId="13" borderId="0" applyAlignment="1" pivotButton="0" quotePrefix="0" xfId="0">
      <alignment horizontal="right" vertical="center"/>
    </xf>
    <xf numFmtId="0" fontId="8" fillId="14" borderId="0" applyAlignment="1" pivotButton="0" quotePrefix="0" xfId="0">
      <alignment horizontal="left" vertical="center"/>
    </xf>
    <xf numFmtId="164" fontId="12" fillId="14" borderId="0" applyAlignment="1" pivotButton="0" quotePrefix="0" xfId="0">
      <alignment horizontal="right" vertical="center"/>
    </xf>
    <xf numFmtId="165" fontId="21" fillId="2" borderId="0" applyAlignment="1" pivotButton="0" quotePrefix="0" xfId="0">
      <alignment horizontal="right" vertical="center"/>
    </xf>
    <xf numFmtId="169" fontId="18" fillId="7" borderId="1" applyAlignment="1" pivotButton="0" quotePrefix="0" xfId="0">
      <alignment horizontal="right" vertical="center"/>
    </xf>
    <xf numFmtId="0" fontId="24" fillId="3" borderId="0" applyAlignment="1" pivotButton="0" quotePrefix="0" xfId="0">
      <alignment horizontal="general" vertical="bottom"/>
    </xf>
    <xf numFmtId="0" fontId="25" fillId="5" borderId="0" applyAlignment="1" pivotButton="0" quotePrefix="0" xfId="0">
      <alignment horizontal="center" vertical="center"/>
    </xf>
    <xf numFmtId="0" fontId="26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4" fontId="9" fillId="2" borderId="0" applyAlignment="1" pivotButton="0" quotePrefix="0" xfId="0">
      <alignment horizontal="right" vertical="center"/>
    </xf>
    <xf numFmtId="0" fontId="26" fillId="8" borderId="0" applyAlignment="1" pivotButton="0" quotePrefix="0" xfId="0">
      <alignment horizontal="general" vertical="bottom"/>
    </xf>
    <xf numFmtId="165" fontId="20" fillId="8" borderId="0" applyAlignment="1" pivotButton="0" quotePrefix="0" xfId="0">
      <alignment horizontal="right" vertical="center"/>
    </xf>
    <xf numFmtId="0" fontId="27" fillId="4" borderId="0" applyAlignment="1" pivotButton="0" quotePrefix="0" xfId="0">
      <alignment horizontal="general" vertical="bottom"/>
    </xf>
    <xf numFmtId="0" fontId="27" fillId="8" borderId="0" applyAlignment="1" pivotButton="0" quotePrefix="0" xfId="0">
      <alignment horizontal="general" vertical="bottom"/>
    </xf>
    <xf numFmtId="0" fontId="28" fillId="4" borderId="0" applyAlignment="1" pivotButton="0" quotePrefix="0" xfId="0">
      <alignment horizontal="general" vertical="bottom"/>
    </xf>
    <xf numFmtId="0" fontId="28" fillId="8" borderId="0" applyAlignment="1" pivotButton="0" quotePrefix="0" xfId="0">
      <alignment horizontal="general" vertical="bottom"/>
    </xf>
    <xf numFmtId="0" fontId="29" fillId="4" borderId="0" applyAlignment="1" pivotButton="0" quotePrefix="0" xfId="0">
      <alignment horizontal="general" vertical="bottom"/>
    </xf>
    <xf numFmtId="0" fontId="29" fillId="8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bottom"/>
    </xf>
    <xf numFmtId="0" fontId="12" fillId="8" borderId="0" applyAlignment="1" pivotButton="0" quotePrefix="0" xfId="0">
      <alignment horizontal="general" vertical="bottom"/>
    </xf>
    <xf numFmtId="0" fontId="22" fillId="5" borderId="0" applyAlignment="1" pivotButton="0" quotePrefix="0" xfId="0">
      <alignment horizontal="general" vertical="bottom"/>
    </xf>
    <xf numFmtId="164" fontId="22" fillId="5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general" vertical="bottom"/>
    </xf>
    <xf numFmtId="0" fontId="22" fillId="6" borderId="0" applyAlignment="1" pivotButton="0" quotePrefix="0" xfId="0">
      <alignment horizontal="general" vertical="bottom"/>
    </xf>
    <xf numFmtId="164" fontId="22" fillId="6" borderId="0" applyAlignment="1" pivotButton="0" quotePrefix="0" xfId="0">
      <alignment horizontal="right" vertical="center"/>
    </xf>
    <xf numFmtId="0" fontId="0" fillId="6" borderId="0" applyAlignment="1" pivotButton="0" quotePrefix="0" xfId="0">
      <alignment horizontal="general" vertical="bottom"/>
    </xf>
    <xf numFmtId="0" fontId="12" fillId="14" borderId="0" applyAlignment="1" pivotButton="0" quotePrefix="0" xfId="0">
      <alignment horizontal="general" vertical="bottom"/>
    </xf>
    <xf numFmtId="0" fontId="30" fillId="5" borderId="0" applyAlignment="1" pivotButton="0" quotePrefix="0" xfId="0">
      <alignment horizontal="center" vertical="center"/>
    </xf>
    <xf numFmtId="0" fontId="31" fillId="5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general" vertical="bottom"/>
    </xf>
    <xf numFmtId="164" fontId="21" fillId="2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general" vertical="bottom"/>
    </xf>
    <xf numFmtId="164" fontId="21" fillId="4" borderId="1" applyAlignment="1" pivotButton="0" quotePrefix="0" xfId="0">
      <alignment horizontal="right" vertical="center"/>
    </xf>
    <xf numFmtId="0" fontId="22" fillId="5" borderId="0" applyAlignment="1" pivotButton="0" quotePrefix="0" xfId="0">
      <alignment horizontal="left" vertical="center"/>
    </xf>
    <xf numFmtId="3" fontId="18" fillId="2" borderId="0" applyAlignment="1" pivotButton="0" quotePrefix="0" xfId="0">
      <alignment horizontal="right" vertical="center"/>
    </xf>
    <xf numFmtId="0" fontId="20" fillId="2" borderId="0" applyAlignment="1" pivotButton="0" quotePrefix="0" xfId="0">
      <alignment horizontal="general" vertical="bottom"/>
    </xf>
    <xf numFmtId="3" fontId="26" fillId="2" borderId="0" applyAlignment="1" pivotButton="0" quotePrefix="0" xfId="0">
      <alignment horizontal="right" vertical="center"/>
    </xf>
    <xf numFmtId="164" fontId="18" fillId="2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center" vertical="center"/>
    </xf>
    <xf numFmtId="164" fontId="18" fillId="4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center" vertical="center"/>
    </xf>
    <xf numFmtId="0" fontId="32" fillId="6" borderId="0" applyAlignment="1" pivotButton="0" quotePrefix="0" xfId="0">
      <alignment horizontal="general" vertical="bottom"/>
    </xf>
    <xf numFmtId="0" fontId="32" fillId="6" borderId="0" applyAlignment="1" pivotButton="0" quotePrefix="0" xfId="0">
      <alignment horizontal="left" vertical="center"/>
    </xf>
    <xf numFmtId="164" fontId="32" fillId="6" borderId="0" applyAlignment="1" pivotButton="0" quotePrefix="0" xfId="0">
      <alignment horizontal="right" vertical="center"/>
    </xf>
    <xf numFmtId="0" fontId="0" fillId="15" borderId="0" applyAlignment="1" pivotButton="0" quotePrefix="0" xfId="0">
      <alignment horizontal="general" vertical="bottom"/>
    </xf>
    <xf numFmtId="0" fontId="33" fillId="15" borderId="0" applyAlignment="1" pivotButton="0" quotePrefix="0" xfId="0">
      <alignment horizontal="general" vertical="bottom"/>
    </xf>
    <xf numFmtId="164" fontId="33" fillId="15" borderId="0" applyAlignment="1" pivotButton="0" quotePrefix="0" xfId="0">
      <alignment horizontal="right" vertical="center"/>
    </xf>
    <xf numFmtId="164" fontId="18" fillId="2" borderId="0" applyAlignment="1" pivotButton="0" quotePrefix="0" xfId="0">
      <alignment horizontal="right" vertical="center"/>
    </xf>
    <xf numFmtId="165" fontId="18" fillId="2" borderId="0" applyAlignment="1" pivotButton="0" quotePrefix="0" xfId="0">
      <alignment horizontal="right" vertical="center"/>
    </xf>
    <xf numFmtId="0" fontId="0" fillId="13" borderId="0" applyAlignment="1" pivotButton="0" quotePrefix="0" xfId="0">
      <alignment horizontal="general" vertical="bottom"/>
    </xf>
    <xf numFmtId="0" fontId="23" fillId="13" borderId="0" applyAlignment="1" pivotButton="0" quotePrefix="0" xfId="0">
      <alignment horizontal="general" vertical="bottom"/>
    </xf>
    <xf numFmtId="164" fontId="10" fillId="13" borderId="0" applyAlignment="1" pivotButton="0" quotePrefix="0" xfId="0">
      <alignment horizontal="right" vertical="center"/>
    </xf>
    <xf numFmtId="0" fontId="20" fillId="2" borderId="1" applyAlignment="1" pivotButton="0" quotePrefix="0" xfId="0">
      <alignment horizontal="general" vertical="bottom"/>
    </xf>
    <xf numFmtId="165" fontId="26" fillId="2" borderId="1" applyAlignment="1" pivotButton="0" quotePrefix="0" xfId="0">
      <alignment horizontal="right" vertical="center"/>
    </xf>
    <xf numFmtId="166" fontId="26" fillId="2" borderId="1" applyAlignment="1" pivotButton="0" quotePrefix="0" xfId="0">
      <alignment horizontal="right" vertical="center"/>
    </xf>
    <xf numFmtId="3" fontId="26" fillId="2" borderId="1" applyAlignment="1" pivotButton="0" quotePrefix="0" xfId="0">
      <alignment horizontal="right" vertical="center"/>
    </xf>
    <xf numFmtId="0" fontId="16" fillId="2" borderId="1" applyAlignment="1" pivotButton="0" quotePrefix="0" xfId="0">
      <alignment horizontal="general" vertical="bottom"/>
    </xf>
    <xf numFmtId="165" fontId="21" fillId="2" borderId="1" applyAlignment="1" pivotButton="0" quotePrefix="0" xfId="0">
      <alignment horizontal="right" vertical="center"/>
    </xf>
    <xf numFmtId="0" fontId="34" fillId="2" borderId="1" applyAlignment="1" pivotButton="0" quotePrefix="0" xfId="0">
      <alignment horizontal="general" vertical="bottom"/>
    </xf>
    <xf numFmtId="3" fontId="21" fillId="2" borderId="1" applyAlignment="1" pivotButton="0" quotePrefix="0" xfId="0">
      <alignment horizontal="right" vertical="center"/>
    </xf>
    <xf numFmtId="2" fontId="26" fillId="2" borderId="1" applyAlignment="1" pivotButton="0" quotePrefix="0" xfId="0">
      <alignment horizontal="right" vertical="center"/>
    </xf>
    <xf numFmtId="164" fontId="26" fillId="2" borderId="1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left" vertical="center"/>
    </xf>
    <xf numFmtId="49" fontId="9" fillId="2" borderId="0" applyAlignment="1" pivotButton="0" quotePrefix="0" xfId="0">
      <alignment horizontal="right" vertical="center"/>
    </xf>
    <xf numFmtId="3" fontId="9" fillId="2" borderId="0" applyAlignment="1" pivotButton="0" quotePrefix="0" xfId="0">
      <alignment horizontal="right" vertical="center"/>
    </xf>
    <xf numFmtId="10" fontId="21" fillId="2" borderId="0" applyAlignment="1" pivotButton="0" quotePrefix="0" xfId="0">
      <alignment horizontal="right" vertical="center"/>
    </xf>
    <xf numFmtId="165" fontId="11" fillId="2" borderId="0" applyAlignment="1" pivotButton="0" quotePrefix="0" xfId="0">
      <alignment horizontal="right" vertical="center"/>
    </xf>
    <xf numFmtId="10" fontId="9" fillId="2" borderId="0" applyAlignment="1" pivotButton="0" quotePrefix="0" xfId="0">
      <alignment horizontal="right" vertical="center"/>
    </xf>
    <xf numFmtId="0" fontId="20" fillId="8" borderId="0" applyAlignment="1" pivotButton="0" quotePrefix="0" xfId="0">
      <alignment horizontal="general" vertical="bottom"/>
    </xf>
    <xf numFmtId="0" fontId="35" fillId="13" borderId="0" applyAlignment="1" pivotButton="0" quotePrefix="0" xfId="0">
      <alignment horizontal="general" vertical="bottom"/>
    </xf>
    <xf numFmtId="166" fontId="35" fillId="13" borderId="0" applyAlignment="1" pivotButton="0" quotePrefix="0" xfId="0">
      <alignment horizontal="right" vertical="center"/>
    </xf>
    <xf numFmtId="10" fontId="23" fillId="13" borderId="0" applyAlignment="1" pivotButton="0" quotePrefix="0" xfId="0">
      <alignment horizontal="right" vertical="center"/>
    </xf>
    <xf numFmtId="166" fontId="23" fillId="13" borderId="0" applyAlignment="1" pivotButton="0" quotePrefix="0" xfId="0">
      <alignment horizontal="right" vertical="center"/>
    </xf>
    <xf numFmtId="0" fontId="23" fillId="3" borderId="0" applyAlignment="1" pivotButton="0" quotePrefix="0" xfId="0">
      <alignment horizontal="general" vertical="bottom"/>
    </xf>
    <xf numFmtId="165" fontId="25" fillId="5" borderId="0" applyAlignment="1" pivotButton="0" quotePrefix="0" xfId="0">
      <alignment horizontal="center" vertical="center"/>
    </xf>
    <xf numFmtId="10" fontId="18" fillId="4" borderId="1" applyAlignment="1" pivotButton="0" quotePrefix="0" xfId="0">
      <alignment horizontal="center" vertical="center"/>
    </xf>
    <xf numFmtId="10" fontId="13" fillId="2" borderId="1" applyAlignment="1" pivotButton="0" quotePrefix="0" xfId="0">
      <alignment horizontal="center" vertical="center"/>
    </xf>
    <xf numFmtId="166" fontId="13" fillId="2" borderId="1" applyAlignment="1" pivotButton="0" quotePrefix="0" xfId="0">
      <alignment horizontal="center" vertical="center"/>
    </xf>
    <xf numFmtId="170" fontId="25" fillId="5" borderId="0" applyAlignment="1" pivotButton="0" quotePrefix="0" xfId="0">
      <alignment horizontal="center" vertical="center"/>
    </xf>
    <xf numFmtId="165" fontId="18" fillId="4" borderId="1" applyAlignment="1" pivotButton="0" quotePrefix="0" xfId="0">
      <alignment horizontal="center" vertical="center"/>
    </xf>
    <xf numFmtId="164" fontId="13" fillId="2" borderId="1" applyAlignment="1" pivotButton="0" quotePrefix="0" xfId="0">
      <alignment horizontal="center" vertical="center"/>
    </xf>
    <xf numFmtId="165" fontId="1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3" fontId="9" fillId="2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164" fontId="11" fillId="4" borderId="0" applyAlignment="1" pivotButton="0" quotePrefix="0" xfId="0">
      <alignment horizontal="right" vertical="center"/>
    </xf>
    <xf numFmtId="164" fontId="11" fillId="2" borderId="0" applyAlignment="1" pivotButton="0" quotePrefix="0" xfId="0">
      <alignment horizontal="right" vertical="center"/>
    </xf>
    <xf numFmtId="10" fontId="11" fillId="2" borderId="0" applyAlignment="1" pivotButton="0" quotePrefix="0" xfId="0">
      <alignment horizontal="right" vertical="center"/>
    </xf>
    <xf numFmtId="165" fontId="11" fillId="4" borderId="0" applyAlignment="1" pivotButton="0" quotePrefix="0" xfId="0">
      <alignment horizontal="right" vertical="center"/>
    </xf>
    <xf numFmtId="166" fontId="11" fillId="2" borderId="0" applyAlignment="1" pivotButton="0" quotePrefix="0" xfId="0">
      <alignment horizontal="right" vertical="center"/>
    </xf>
    <xf numFmtId="166" fontId="11" fillId="4" borderId="0" applyAlignment="1" pivotButton="0" quotePrefix="0" xfId="0">
      <alignment horizontal="right" vertical="center"/>
    </xf>
    <xf numFmtId="167" fontId="11" fillId="2" borderId="0" applyAlignment="1" pivotButton="0" quotePrefix="0" xfId="0">
      <alignment horizontal="right" vertical="center"/>
    </xf>
    <xf numFmtId="0" fontId="12" fillId="2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14" fillId="5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general" vertical="bottom"/>
    </xf>
    <xf numFmtId="0" fontId="16" fillId="6" borderId="0" applyAlignment="1" pivotButton="0" quotePrefix="0" xfId="0">
      <alignment horizontal="general" vertical="bottom"/>
    </xf>
    <xf numFmtId="0" fontId="17" fillId="6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49" fontId="18" fillId="7" borderId="1" applyAlignment="1" pivotButton="0" quotePrefix="0" xfId="0">
      <alignment horizontal="right" vertical="center"/>
    </xf>
    <xf numFmtId="3" fontId="18" fillId="7" borderId="1" applyAlignment="1" pivotButton="0" quotePrefix="0" xfId="0">
      <alignment horizontal="right" vertical="center"/>
    </xf>
    <xf numFmtId="1" fontId="18" fillId="7" borderId="1" applyAlignment="1" pivotButton="0" quotePrefix="0" xfId="0">
      <alignment horizontal="right" vertical="center"/>
    </xf>
    <xf numFmtId="164" fontId="18" fillId="7" borderId="1" applyAlignment="1" pivotButton="0" quotePrefix="0" xfId="0">
      <alignment horizontal="right" vertical="center"/>
    </xf>
    <xf numFmtId="10" fontId="18" fillId="7" borderId="1" applyAlignment="1" pivotButton="0" quotePrefix="0" xfId="0">
      <alignment horizontal="right" vertical="center"/>
    </xf>
    <xf numFmtId="164" fontId="19" fillId="2" borderId="0" applyAlignment="1" pivotButton="0" quotePrefix="0" xfId="0">
      <alignment horizontal="right" vertical="center"/>
    </xf>
    <xf numFmtId="0" fontId="20" fillId="8" borderId="0" applyAlignment="1" pivotButton="0" quotePrefix="0" xfId="0">
      <alignment horizontal="left" vertical="center"/>
    </xf>
    <xf numFmtId="164" fontId="20" fillId="8" borderId="0" applyAlignment="1" pivotButton="0" quotePrefix="0" xfId="0">
      <alignment horizontal="right" vertical="center"/>
    </xf>
    <xf numFmtId="164" fontId="21" fillId="2" borderId="0" applyAlignment="1" pivotButton="0" quotePrefix="0" xfId="0">
      <alignment horizontal="right" vertical="center"/>
    </xf>
    <xf numFmtId="168" fontId="21" fillId="2" borderId="0" applyAlignment="1" pivotButton="0" quotePrefix="0" xfId="0">
      <alignment horizontal="right" vertical="center"/>
    </xf>
    <xf numFmtId="0" fontId="22" fillId="6" borderId="0" applyAlignment="1" pivotButton="0" quotePrefix="0" xfId="0">
      <alignment horizontal="left" vertical="center"/>
    </xf>
    <xf numFmtId="0" fontId="22" fillId="9" borderId="0" applyAlignment="1" pivotButton="0" quotePrefix="0" xfId="0">
      <alignment horizontal="left" vertical="center"/>
    </xf>
    <xf numFmtId="0" fontId="22" fillId="10" borderId="0" applyAlignment="1" pivotButton="0" quotePrefix="0" xfId="0">
      <alignment horizontal="left" vertical="center"/>
    </xf>
    <xf numFmtId="0" fontId="22" fillId="11" borderId="0" applyAlignment="1" pivotButton="0" quotePrefix="0" xfId="0">
      <alignment horizontal="left" vertical="center"/>
    </xf>
    <xf numFmtId="0" fontId="22" fillId="12" borderId="0" applyAlignment="1" pivotButton="0" quotePrefix="0" xfId="0">
      <alignment horizontal="left" vertical="center"/>
    </xf>
    <xf numFmtId="165" fontId="18" fillId="7" borderId="1" applyAlignment="1" pivotButton="0" quotePrefix="0" xfId="0">
      <alignment horizontal="right" vertical="center"/>
    </xf>
    <xf numFmtId="0" fontId="20" fillId="13" borderId="0" applyAlignment="1" pivotButton="0" quotePrefix="0" xfId="0">
      <alignment horizontal="left" vertical="center"/>
    </xf>
    <xf numFmtId="164" fontId="23" fillId="13" borderId="0" applyAlignment="1" pivotButton="0" quotePrefix="0" xfId="0">
      <alignment horizontal="right" vertical="center"/>
    </xf>
    <xf numFmtId="0" fontId="8" fillId="14" borderId="0" applyAlignment="1" pivotButton="0" quotePrefix="0" xfId="0">
      <alignment horizontal="left" vertical="center"/>
    </xf>
    <xf numFmtId="164" fontId="12" fillId="14" borderId="0" applyAlignment="1" pivotButton="0" quotePrefix="0" xfId="0">
      <alignment horizontal="right" vertical="center"/>
    </xf>
    <xf numFmtId="0" fontId="36" fillId="0" borderId="0" applyAlignment="1" pivotButton="0" quotePrefix="0" xfId="0">
      <alignment horizontal="general" vertical="bottom"/>
    </xf>
    <xf numFmtId="0" fontId="37" fillId="16" borderId="0" applyAlignment="1" pivotButton="0" quotePrefix="0" xfId="0">
      <alignment horizontal="left" vertical="center"/>
    </xf>
    <xf numFmtId="0" fontId="38" fillId="17" borderId="0" applyAlignment="1" pivotButton="0" quotePrefix="0" xfId="0">
      <alignment wrapText="1"/>
    </xf>
    <xf numFmtId="0" fontId="36" fillId="0" borderId="0" applyAlignment="1" pivotButton="0" quotePrefix="0" xfId="0">
      <alignment horizontal="left" vertical="center"/>
    </xf>
    <xf numFmtId="165" fontId="36" fillId="0" borderId="1" applyAlignment="1" pivotButton="0" quotePrefix="0" xfId="0">
      <alignment horizontal="right" vertical="center"/>
    </xf>
    <xf numFmtId="164" fontId="36" fillId="0" borderId="1" applyAlignment="1" pivotButton="0" quotePrefix="0" xfId="0">
      <alignment horizontal="right" vertical="center"/>
    </xf>
    <xf numFmtId="0" fontId="36" fillId="0" borderId="0" pivotButton="0" quotePrefix="0" xfId="0"/>
    <xf numFmtId="164" fontId="36" fillId="0" borderId="0" applyAlignment="1" pivotButton="0" quotePrefix="0" xfId="0">
      <alignment horizontal="right" vertical="center"/>
    </xf>
    <xf numFmtId="165" fontId="21" fillId="2" borderId="0" applyAlignment="1" pivotButton="0" quotePrefix="0" xfId="0">
      <alignment horizontal="right" vertical="center"/>
    </xf>
    <xf numFmtId="169" fontId="18" fillId="7" borderId="1" applyAlignment="1" pivotButton="0" quotePrefix="0" xfId="0">
      <alignment horizontal="right" vertical="center"/>
    </xf>
    <xf numFmtId="0" fontId="24" fillId="3" borderId="0" applyAlignment="1" pivotButton="0" quotePrefix="0" xfId="0">
      <alignment horizontal="general" vertical="bottom"/>
    </xf>
    <xf numFmtId="0" fontId="25" fillId="5" borderId="0" applyAlignment="1" pivotButton="0" quotePrefix="0" xfId="0">
      <alignment horizontal="center" vertical="center"/>
    </xf>
    <xf numFmtId="0" fontId="26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4" fontId="9" fillId="2" borderId="0" applyAlignment="1" pivotButton="0" quotePrefix="0" xfId="0">
      <alignment horizontal="right" vertical="center"/>
    </xf>
    <xf numFmtId="0" fontId="26" fillId="8" borderId="0" applyAlignment="1" pivotButton="0" quotePrefix="0" xfId="0">
      <alignment horizontal="general" vertical="bottom"/>
    </xf>
    <xf numFmtId="165" fontId="20" fillId="8" borderId="0" applyAlignment="1" pivotButton="0" quotePrefix="0" xfId="0">
      <alignment horizontal="right" vertical="center"/>
    </xf>
    <xf numFmtId="0" fontId="27" fillId="4" borderId="0" applyAlignment="1" pivotButton="0" quotePrefix="0" xfId="0">
      <alignment horizontal="general" vertical="bottom"/>
    </xf>
    <xf numFmtId="0" fontId="27" fillId="8" borderId="0" applyAlignment="1" pivotButton="0" quotePrefix="0" xfId="0">
      <alignment horizontal="general" vertical="bottom"/>
    </xf>
    <xf numFmtId="0" fontId="28" fillId="4" borderId="0" applyAlignment="1" pivotButton="0" quotePrefix="0" xfId="0">
      <alignment horizontal="general" vertical="bottom"/>
    </xf>
    <xf numFmtId="0" fontId="28" fillId="8" borderId="0" applyAlignment="1" pivotButton="0" quotePrefix="0" xfId="0">
      <alignment horizontal="general" vertical="bottom"/>
    </xf>
    <xf numFmtId="0" fontId="29" fillId="4" borderId="0" applyAlignment="1" pivotButton="0" quotePrefix="0" xfId="0">
      <alignment horizontal="general" vertical="bottom"/>
    </xf>
    <xf numFmtId="0" fontId="29" fillId="8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bottom"/>
    </xf>
    <xf numFmtId="0" fontId="12" fillId="8" borderId="0" applyAlignment="1" pivotButton="0" quotePrefix="0" xfId="0">
      <alignment horizontal="general" vertical="bottom"/>
    </xf>
    <xf numFmtId="0" fontId="22" fillId="5" borderId="0" applyAlignment="1" pivotButton="0" quotePrefix="0" xfId="0">
      <alignment horizontal="general" vertical="bottom"/>
    </xf>
    <xf numFmtId="164" fontId="22" fillId="5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general" vertical="bottom"/>
    </xf>
    <xf numFmtId="0" fontId="22" fillId="6" borderId="0" applyAlignment="1" pivotButton="0" quotePrefix="0" xfId="0">
      <alignment horizontal="general" vertical="bottom"/>
    </xf>
    <xf numFmtId="164" fontId="22" fillId="6" borderId="0" applyAlignment="1" pivotButton="0" quotePrefix="0" xfId="0">
      <alignment horizontal="right" vertical="center"/>
    </xf>
    <xf numFmtId="0" fontId="0" fillId="6" borderId="0" applyAlignment="1" pivotButton="0" quotePrefix="0" xfId="0">
      <alignment horizontal="general" vertical="bottom"/>
    </xf>
    <xf numFmtId="0" fontId="12" fillId="14" borderId="0" applyAlignment="1" pivotButton="0" quotePrefix="0" xfId="0">
      <alignment horizontal="general" vertical="bottom"/>
    </xf>
    <xf numFmtId="0" fontId="30" fillId="5" borderId="0" applyAlignment="1" pivotButton="0" quotePrefix="0" xfId="0">
      <alignment horizontal="center" vertical="center"/>
    </xf>
    <xf numFmtId="0" fontId="31" fillId="5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general" vertical="bottom"/>
    </xf>
    <xf numFmtId="164" fontId="21" fillId="2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general" vertical="bottom"/>
    </xf>
    <xf numFmtId="164" fontId="21" fillId="4" borderId="1" applyAlignment="1" pivotButton="0" quotePrefix="0" xfId="0">
      <alignment horizontal="right" vertical="center"/>
    </xf>
    <xf numFmtId="0" fontId="22" fillId="5" borderId="0" applyAlignment="1" pivotButton="0" quotePrefix="0" xfId="0">
      <alignment horizontal="left" vertical="center"/>
    </xf>
    <xf numFmtId="3" fontId="18" fillId="2" borderId="0" applyAlignment="1" pivotButton="0" quotePrefix="0" xfId="0">
      <alignment horizontal="right" vertical="center"/>
    </xf>
    <xf numFmtId="0" fontId="20" fillId="2" borderId="0" applyAlignment="1" pivotButton="0" quotePrefix="0" xfId="0">
      <alignment horizontal="general" vertical="bottom"/>
    </xf>
    <xf numFmtId="3" fontId="26" fillId="2" borderId="0" applyAlignment="1" pivotButton="0" quotePrefix="0" xfId="0">
      <alignment horizontal="right" vertical="center"/>
    </xf>
    <xf numFmtId="164" fontId="18" fillId="2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center" vertical="center"/>
    </xf>
    <xf numFmtId="164" fontId="18" fillId="4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center" vertical="center"/>
    </xf>
    <xf numFmtId="0" fontId="32" fillId="6" borderId="0" applyAlignment="1" pivotButton="0" quotePrefix="0" xfId="0">
      <alignment horizontal="general" vertical="bottom"/>
    </xf>
    <xf numFmtId="0" fontId="32" fillId="6" borderId="0" applyAlignment="1" pivotButton="0" quotePrefix="0" xfId="0">
      <alignment horizontal="left" vertical="center"/>
    </xf>
    <xf numFmtId="164" fontId="32" fillId="6" borderId="0" applyAlignment="1" pivotButton="0" quotePrefix="0" xfId="0">
      <alignment horizontal="right" vertical="center"/>
    </xf>
    <xf numFmtId="0" fontId="0" fillId="15" borderId="0" applyAlignment="1" pivotButton="0" quotePrefix="0" xfId="0">
      <alignment horizontal="general" vertical="bottom"/>
    </xf>
    <xf numFmtId="0" fontId="33" fillId="15" borderId="0" applyAlignment="1" pivotButton="0" quotePrefix="0" xfId="0">
      <alignment horizontal="general" vertical="bottom"/>
    </xf>
    <xf numFmtId="164" fontId="33" fillId="15" borderId="0" applyAlignment="1" pivotButton="0" quotePrefix="0" xfId="0">
      <alignment horizontal="right" vertical="center"/>
    </xf>
    <xf numFmtId="164" fontId="18" fillId="2" borderId="0" applyAlignment="1" pivotButton="0" quotePrefix="0" xfId="0">
      <alignment horizontal="right" vertical="center"/>
    </xf>
    <xf numFmtId="165" fontId="18" fillId="2" borderId="0" applyAlignment="1" pivotButton="0" quotePrefix="0" xfId="0">
      <alignment horizontal="right" vertical="center"/>
    </xf>
    <xf numFmtId="0" fontId="0" fillId="13" borderId="0" applyAlignment="1" pivotButton="0" quotePrefix="0" xfId="0">
      <alignment horizontal="general" vertical="bottom"/>
    </xf>
    <xf numFmtId="0" fontId="23" fillId="13" borderId="0" applyAlignment="1" pivotButton="0" quotePrefix="0" xfId="0">
      <alignment horizontal="general" vertical="bottom"/>
    </xf>
    <xf numFmtId="164" fontId="10" fillId="13" borderId="0" applyAlignment="1" pivotButton="0" quotePrefix="0" xfId="0">
      <alignment horizontal="right" vertical="center"/>
    </xf>
    <xf numFmtId="0" fontId="20" fillId="2" borderId="1" applyAlignment="1" pivotButton="0" quotePrefix="0" xfId="0">
      <alignment horizontal="general" vertical="bottom"/>
    </xf>
    <xf numFmtId="165" fontId="26" fillId="2" borderId="1" applyAlignment="1" pivotButton="0" quotePrefix="0" xfId="0">
      <alignment horizontal="right" vertical="center"/>
    </xf>
    <xf numFmtId="166" fontId="26" fillId="2" borderId="1" applyAlignment="1" pivotButton="0" quotePrefix="0" xfId="0">
      <alignment horizontal="right" vertical="center"/>
    </xf>
    <xf numFmtId="3" fontId="26" fillId="2" borderId="1" applyAlignment="1" pivotButton="0" quotePrefix="0" xfId="0">
      <alignment horizontal="right" vertical="center"/>
    </xf>
    <xf numFmtId="0" fontId="16" fillId="2" borderId="1" applyAlignment="1" pivotButton="0" quotePrefix="0" xfId="0">
      <alignment horizontal="general" vertical="bottom"/>
    </xf>
    <xf numFmtId="165" fontId="21" fillId="2" borderId="1" applyAlignment="1" pivotButton="0" quotePrefix="0" xfId="0">
      <alignment horizontal="right" vertical="center"/>
    </xf>
    <xf numFmtId="0" fontId="34" fillId="2" borderId="1" applyAlignment="1" pivotButton="0" quotePrefix="0" xfId="0">
      <alignment horizontal="general" vertical="bottom"/>
    </xf>
    <xf numFmtId="3" fontId="21" fillId="2" borderId="1" applyAlignment="1" pivotButton="0" quotePrefix="0" xfId="0">
      <alignment horizontal="right" vertical="center"/>
    </xf>
    <xf numFmtId="2" fontId="26" fillId="2" borderId="1" applyAlignment="1" pivotButton="0" quotePrefix="0" xfId="0">
      <alignment horizontal="right" vertical="center"/>
    </xf>
    <xf numFmtId="164" fontId="26" fillId="2" borderId="1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left" vertical="center"/>
    </xf>
    <xf numFmtId="49" fontId="9" fillId="2" borderId="0" applyAlignment="1" pivotButton="0" quotePrefix="0" xfId="0">
      <alignment horizontal="right" vertical="center"/>
    </xf>
    <xf numFmtId="3" fontId="9" fillId="2" borderId="0" applyAlignment="1" pivotButton="0" quotePrefix="0" xfId="0">
      <alignment horizontal="right" vertical="center"/>
    </xf>
    <xf numFmtId="10" fontId="21" fillId="2" borderId="0" applyAlignment="1" pivotButton="0" quotePrefix="0" xfId="0">
      <alignment horizontal="right" vertical="center"/>
    </xf>
    <xf numFmtId="165" fontId="11" fillId="2" borderId="0" applyAlignment="1" pivotButton="0" quotePrefix="0" xfId="0">
      <alignment horizontal="right" vertical="center"/>
    </xf>
    <xf numFmtId="10" fontId="9" fillId="2" borderId="0" applyAlignment="1" pivotButton="0" quotePrefix="0" xfId="0">
      <alignment horizontal="right" vertical="center"/>
    </xf>
    <xf numFmtId="0" fontId="20" fillId="8" borderId="0" applyAlignment="1" pivotButton="0" quotePrefix="0" xfId="0">
      <alignment horizontal="general" vertical="bottom"/>
    </xf>
    <xf numFmtId="0" fontId="35" fillId="13" borderId="0" applyAlignment="1" pivotButton="0" quotePrefix="0" xfId="0">
      <alignment horizontal="general" vertical="bottom"/>
    </xf>
    <xf numFmtId="166" fontId="35" fillId="13" borderId="0" applyAlignment="1" pivotButton="0" quotePrefix="0" xfId="0">
      <alignment horizontal="right" vertical="center"/>
    </xf>
    <xf numFmtId="10" fontId="23" fillId="13" borderId="0" applyAlignment="1" pivotButton="0" quotePrefix="0" xfId="0">
      <alignment horizontal="right" vertical="center"/>
    </xf>
    <xf numFmtId="166" fontId="23" fillId="13" borderId="0" applyAlignment="1" pivotButton="0" quotePrefix="0" xfId="0">
      <alignment horizontal="right" vertical="center"/>
    </xf>
    <xf numFmtId="0" fontId="23" fillId="3" borderId="0" applyAlignment="1" pivotButton="0" quotePrefix="0" xfId="0">
      <alignment horizontal="general" vertical="bottom"/>
    </xf>
    <xf numFmtId="165" fontId="25" fillId="5" borderId="0" applyAlignment="1" pivotButton="0" quotePrefix="0" xfId="0">
      <alignment horizontal="center" vertical="center"/>
    </xf>
    <xf numFmtId="10" fontId="18" fillId="4" borderId="1" applyAlignment="1" pivotButton="0" quotePrefix="0" xfId="0">
      <alignment horizontal="center" vertical="center"/>
    </xf>
    <xf numFmtId="10" fontId="13" fillId="2" borderId="1" applyAlignment="1" pivotButton="0" quotePrefix="0" xfId="0">
      <alignment horizontal="center" vertical="center"/>
    </xf>
    <xf numFmtId="166" fontId="13" fillId="2" borderId="1" applyAlignment="1" pivotButton="0" quotePrefix="0" xfId="0">
      <alignment horizontal="center" vertical="center"/>
    </xf>
    <xf numFmtId="170" fontId="25" fillId="5" borderId="0" applyAlignment="1" pivotButton="0" quotePrefix="0" xfId="0">
      <alignment horizontal="center" vertical="center"/>
    </xf>
    <xf numFmtId="165" fontId="18" fillId="4" borderId="1" applyAlignment="1" pivotButton="0" quotePrefix="0" xfId="0">
      <alignment horizontal="center" vertical="center"/>
    </xf>
    <xf numFmtId="164" fontId="13" fillId="2" borderId="1" applyAlignment="1" pivotButton="0" quotePrefix="0" xfId="0">
      <alignment horizontal="center" vertical="center"/>
    </xf>
    <xf numFmtId="165" fontId="13" fillId="2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7355"/>
      <rgbColor rgb="FF800080"/>
      <rgbColor rgb="FF008080"/>
      <rgbColor rgb="FFD4C9B8"/>
      <rgbColor rgb="FF8B7355"/>
      <rgbColor rgb="FF9999FF"/>
      <rgbColor rgb="FF9B4D4D"/>
      <rgbColor rgb="FFFBF6E8"/>
      <rgbColor rgb="FFB2C9B4"/>
      <rgbColor rgb="FF660066"/>
      <rgbColor rgb="FFFF8080"/>
      <rgbColor rgb="FF0066CC"/>
      <rgbColor rgb="FFF5EA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2C9B4"/>
      <rgbColor rgb="FFB2C9B4"/>
      <rgbColor rgb="FFFFFFF0"/>
      <rgbColor rgb="FFF5EFE4"/>
      <rgbColor rgb="FFFF99CC"/>
      <rgbColor rgb="FFCC99FF"/>
      <rgbColor rgb="FFF5EFE4"/>
      <rgbColor rgb="FF3366FF"/>
      <rgbColor rgb="FF33CCCC"/>
      <rgbColor rgb="FF99CC00"/>
      <rgbColor rgb="FFFFCC00"/>
      <rgbColor rgb="FFFF9900"/>
      <rgbColor rgb="FFFF6600"/>
      <rgbColor rgb="FF5C3D26"/>
      <rgbColor rgb="FFC4A882"/>
      <rgbColor rgb="FF003366"/>
      <rgbColor rgb="FF4A6E50"/>
      <rgbColor rgb="FF003300"/>
      <rgbColor rgb="FF333300"/>
      <rgbColor rgb="FF993300"/>
      <rgbColor rgb="FF993366"/>
      <rgbColor rgb="FF333399"/>
      <rgbColor rgb="FF2C1F1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1361160</colOff>
      <row>7</row>
      <rowOff>122760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713600" cy="1713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2A2820"/>
    <outlinePr summaryBelow="1" summaryRight="1"/>
    <pageSetUpPr fitToPage="0"/>
  </sheetPr>
  <dimension ref="A1:D2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128" min="1" max="1"/>
    <col width="30" customWidth="1" style="128" min="2" max="2"/>
    <col width="25" customWidth="1" style="128" min="3" max="4"/>
    <col width="5" customWidth="1" style="128" min="5" max="5"/>
  </cols>
  <sheetData>
    <row r="1" ht="15" customHeight="1" s="129">
      <c r="A1" s="130" t="n"/>
      <c r="B1" s="130" t="n"/>
      <c r="C1" s="130" t="n"/>
      <c r="D1" s="130" t="n"/>
    </row>
    <row r="2" ht="26.25" customHeight="1" s="129">
      <c r="A2" s="130" t="n"/>
      <c r="B2" s="131" t="inlineStr">
        <is>
          <t>DEALDESK CRE UNDERWRITING</t>
        </is>
      </c>
    </row>
    <row r="3" ht="17.25" customHeight="1" s="129">
      <c r="A3" s="130" t="n"/>
      <c r="B3" s="132" t="inlineStr">
        <is>
          <t>Investment Underwriting Model</t>
        </is>
      </c>
    </row>
    <row r="4" ht="15" customHeight="1" s="129">
      <c r="A4" s="130" t="n"/>
      <c r="B4" s="130" t="n"/>
      <c r="C4" s="130" t="n"/>
      <c r="D4" s="130" t="n"/>
    </row>
    <row r="5" ht="21.75" customHeight="1" s="129">
      <c r="A5" s="130" t="n"/>
      <c r="B5" s="133">
        <f>Assumptions!C5</f>
        <v/>
      </c>
    </row>
    <row r="6" ht="15" customHeight="1" s="129">
      <c r="A6" s="130" t="n"/>
      <c r="B6" s="134">
        <f>Assumptions!C6</f>
        <v/>
      </c>
    </row>
    <row r="7" ht="15" customHeight="1" s="129">
      <c r="A7" s="130" t="n"/>
      <c r="B7" s="130" t="n"/>
      <c r="C7" s="130" t="n"/>
      <c r="D7" s="130" t="n"/>
    </row>
    <row r="8" ht="15" customHeight="1" s="129">
      <c r="A8" s="130" t="n"/>
      <c r="B8" s="135" t="inlineStr">
        <is>
          <t>Property Type:</t>
        </is>
      </c>
      <c r="C8" s="136">
        <f>Assumptions!C7</f>
        <v/>
      </c>
      <c r="D8" s="130" t="n"/>
    </row>
    <row r="9" ht="15" customHeight="1" s="129">
      <c r="A9" s="130" t="n"/>
      <c r="B9" s="135" t="inlineStr">
        <is>
          <t>Project Type:</t>
        </is>
      </c>
      <c r="C9" s="136">
        <f>Assumptions!C8</f>
        <v/>
      </c>
      <c r="D9" s="130" t="n"/>
    </row>
    <row r="10" ht="15" customHeight="1" s="129">
      <c r="A10" s="130" t="n"/>
      <c r="B10" s="135" t="inlineStr">
        <is>
          <t>Units:</t>
        </is>
      </c>
      <c r="C10" s="137">
        <f>Assumptions!C9</f>
        <v/>
      </c>
      <c r="D10" s="130" t="n"/>
    </row>
    <row r="11" ht="15" customHeight="1" s="129">
      <c r="A11" s="130" t="n"/>
      <c r="B11" s="135" t="inlineStr">
        <is>
          <t>Building SF:</t>
        </is>
      </c>
      <c r="C11" s="137">
        <f>Assumptions!C10</f>
        <v/>
      </c>
      <c r="D11" s="130" t="n"/>
    </row>
    <row r="12" ht="15" customHeight="1" s="129">
      <c r="A12" s="130" t="n"/>
      <c r="B12" s="130" t="n"/>
      <c r="C12" s="130" t="n"/>
      <c r="D12" s="130" t="n"/>
    </row>
    <row r="13" ht="15" customHeight="1" s="129">
      <c r="A13" s="130" t="n"/>
      <c r="B13" s="138" t="inlineStr">
        <is>
          <t>KEY METRICS</t>
        </is>
      </c>
    </row>
    <row r="14" ht="15" customHeight="1" s="129">
      <c r="A14" s="130" t="n"/>
      <c r="B14" s="139" t="inlineStr">
        <is>
          <t>Purchase Price</t>
        </is>
      </c>
      <c r="C14" s="140">
        <f>Assumptions!C17</f>
        <v/>
      </c>
      <c r="D14" s="130" t="n"/>
    </row>
    <row r="15" ht="15" customHeight="1" s="129">
      <c r="A15" s="130" t="n"/>
      <c r="B15" s="135" t="inlineStr">
        <is>
          <t>Price Per Unit</t>
        </is>
      </c>
      <c r="C15" s="141">
        <f>Assumptions!C22</f>
        <v/>
      </c>
      <c r="D15" s="130" t="n"/>
    </row>
    <row r="16" ht="15" customHeight="1" s="129">
      <c r="A16" s="130" t="n"/>
      <c r="B16" s="139" t="inlineStr">
        <is>
          <t>Total Project Cost</t>
        </is>
      </c>
      <c r="C16" s="140">
        <f>Assumptions!C89</f>
        <v/>
      </c>
      <c r="D16" s="130" t="n"/>
    </row>
    <row r="17" ht="15" customHeight="1" s="129">
      <c r="A17" s="130" t="n"/>
      <c r="B17" s="135" t="inlineStr">
        <is>
          <t>Total Equity</t>
        </is>
      </c>
      <c r="C17" s="141">
        <f>Assumptions!C91</f>
        <v/>
      </c>
      <c r="D17" s="130" t="n"/>
    </row>
    <row r="18" ht="15" customHeight="1" s="129">
      <c r="A18" s="130" t="n"/>
      <c r="B18" s="139" t="inlineStr">
        <is>
          <t>Year 1 NOI</t>
        </is>
      </c>
      <c r="C18" s="140">
        <f>'Returns Summary'!B12</f>
        <v/>
      </c>
      <c r="D18" s="130" t="n"/>
    </row>
    <row r="19" ht="15" customHeight="1" s="129">
      <c r="A19" s="130" t="n"/>
      <c r="B19" s="135" t="inlineStr">
        <is>
          <t>Going-In Cap Rate</t>
        </is>
      </c>
      <c r="C19" s="142">
        <f>'Returns Summary'!B13</f>
        <v/>
      </c>
      <c r="D19" s="130" t="n"/>
    </row>
    <row r="20" ht="15" customHeight="1" s="129">
      <c r="A20" s="130" t="n"/>
      <c r="B20" s="139" t="inlineStr">
        <is>
          <t>Year 1 Cash-on-Cash</t>
        </is>
      </c>
      <c r="C20" s="143">
        <f>'Returns Summary'!B14</f>
        <v/>
      </c>
      <c r="D20" s="130" t="n"/>
    </row>
    <row r="21" ht="15" customHeight="1" s="129">
      <c r="A21" s="130" t="n"/>
      <c r="B21" s="135" t="inlineStr">
        <is>
          <t>Year 1 DSCR</t>
        </is>
      </c>
      <c r="C21" s="144">
        <f>'Returns Summary'!B15</f>
        <v/>
      </c>
      <c r="D21" s="130" t="n"/>
    </row>
    <row r="22" ht="15" customHeight="1" s="129">
      <c r="A22" s="130" t="n"/>
      <c r="B22" s="139" t="inlineStr">
        <is>
          <t>Equity Multiple</t>
        </is>
      </c>
      <c r="C22" s="145">
        <f>'Returns Summary'!B25</f>
        <v/>
      </c>
      <c r="D22" s="130" t="n"/>
    </row>
    <row r="23" ht="15" customHeight="1" s="129">
      <c r="A23" s="130" t="n"/>
      <c r="B23" s="135" t="inlineStr">
        <is>
          <t>Hold Period</t>
        </is>
      </c>
      <c r="C23" s="146">
        <f>Assumptions!C14</f>
        <v/>
      </c>
      <c r="D23" s="130" t="n"/>
    </row>
    <row r="24" ht="15" customHeight="1" s="129">
      <c r="A24" s="130" t="n"/>
      <c r="B24" s="135" t="inlineStr">
        <is>
          <t>LP IRR</t>
        </is>
      </c>
      <c r="C24" s="142">
        <f>'Cash Waterfall'!D41</f>
        <v/>
      </c>
      <c r="D24" s="130" t="n"/>
    </row>
    <row r="25" ht="15" customHeight="1" s="129">
      <c r="A25" s="130" t="n"/>
      <c r="B25" s="135" t="inlineStr">
        <is>
          <t>Levered IRR</t>
        </is>
      </c>
      <c r="C25" s="142">
        <f>'Cash Waterfall'!D30</f>
        <v/>
      </c>
      <c r="D25" s="130" t="n"/>
    </row>
    <row r="26" ht="15" customHeight="1" s="129">
      <c r="A26" s="130" t="n"/>
      <c r="B26" s="147" t="inlineStr">
        <is>
          <t>CONFIDENTIAL</t>
        </is>
      </c>
    </row>
    <row r="27" ht="15" customHeight="1" s="129">
      <c r="A27" s="130" t="n"/>
      <c r="B27" s="148" t="inlineStr">
        <is>
          <t>Prepared by DealDesk CRE Underwriting.</t>
        </is>
      </c>
    </row>
  </sheetData>
  <mergeCells count="7">
    <mergeCell ref="B3:D3"/>
    <mergeCell ref="B5:D5"/>
    <mergeCell ref="B26:D26"/>
    <mergeCell ref="B27:D27"/>
    <mergeCell ref="B13:D13"/>
    <mergeCell ref="B6:D6"/>
    <mergeCell ref="B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3E6844"/>
    <outlinePr summaryBelow="1" summaryRight="1"/>
    <pageSetUpPr fitToPage="0"/>
  </sheetPr>
  <dimension ref="A1:H20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128" min="1" max="1"/>
    <col width="36" customWidth="1" style="128" min="2" max="2"/>
    <col width="18" customWidth="1" style="128" min="3" max="3"/>
    <col width="3" customWidth="1" style="128" min="4" max="4"/>
    <col width="36" customWidth="1" style="128" min="5" max="5"/>
    <col width="18" customWidth="1" style="128" min="6" max="6"/>
    <col width="3" customWidth="1" style="128" min="7" max="7"/>
    <col width="28" customWidth="1" style="128" min="8" max="8"/>
  </cols>
  <sheetData>
    <row r="1" ht="39.75" customHeight="1" s="129">
      <c r="A1" s="149" t="inlineStr">
        <is>
          <t>DEALDESK — UNDERWRITING ASSUMPTIONS</t>
        </is>
      </c>
    </row>
    <row r="2" ht="15" customHeight="1" s="129">
      <c r="A2" s="150" t="inlineStr">
        <is>
          <t>All blue values are editable inputs. Change any blue cell to model different scenarios.</t>
        </is>
      </c>
    </row>
    <row r="3" ht="7.5" customHeight="1" s="129">
      <c r="A3" s="151" t="n"/>
      <c r="B3" s="151" t="n"/>
      <c r="C3" s="151" t="n"/>
      <c r="D3" s="151" t="n"/>
      <c r="E3" s="130" t="n"/>
      <c r="F3" s="130" t="n"/>
      <c r="G3" s="130" t="n"/>
      <c r="H3" s="130" t="n"/>
    </row>
    <row r="4" ht="27.75" customHeight="1" s="129">
      <c r="A4" s="152" t="n"/>
      <c r="B4" s="153" t="inlineStr">
        <is>
          <t xml:space="preserve">  1. PROPERTY INFORMATION</t>
        </is>
      </c>
    </row>
    <row r="5" ht="15" customHeight="1" s="129">
      <c r="A5" s="151" t="n"/>
      <c r="B5" s="154" t="inlineStr">
        <is>
          <t>Property Name</t>
        </is>
      </c>
      <c r="C5" s="155" t="inlineStr">
        <is>
          <t>Sample Property</t>
        </is>
      </c>
      <c r="D5" s="151" t="n"/>
      <c r="E5" s="130" t="n"/>
      <c r="F5" s="130" t="n"/>
      <c r="G5" s="130" t="n"/>
      <c r="H5" s="130" t="n"/>
    </row>
    <row r="6" ht="15" customHeight="1" s="129">
      <c r="A6" s="151" t="n"/>
      <c r="B6" s="154" t="inlineStr">
        <is>
          <t>Address</t>
        </is>
      </c>
      <c r="C6" s="155" t="inlineStr">
        <is>
          <t>123 Main St, Philadelphia, PA 19103</t>
        </is>
      </c>
      <c r="D6" s="151" t="n"/>
      <c r="E6" s="130" t="n"/>
      <c r="F6" s="130" t="n"/>
      <c r="G6" s="130" t="n"/>
      <c r="H6" s="130" t="n"/>
    </row>
    <row r="7" ht="15" customHeight="1" s="129">
      <c r="A7" s="151" t="n"/>
      <c r="B7" s="154" t="inlineStr">
        <is>
          <t>Property Type</t>
        </is>
      </c>
      <c r="C7" s="155" t="inlineStr">
        <is>
          <t>Multifamily</t>
        </is>
      </c>
      <c r="D7" s="151" t="n"/>
      <c r="E7" s="130" t="n"/>
      <c r="F7" s="130" t="n"/>
      <c r="G7" s="130" t="n"/>
      <c r="H7" s="130" t="n"/>
    </row>
    <row r="8" ht="15" customHeight="1" s="129">
      <c r="A8" s="151" t="n"/>
      <c r="B8" s="154" t="inlineStr">
        <is>
          <t>Project Type</t>
        </is>
      </c>
      <c r="C8" s="155" t="inlineStr">
        <is>
          <t>Sale</t>
        </is>
      </c>
      <c r="D8" s="151" t="n"/>
      <c r="E8" s="130" t="n"/>
      <c r="F8" s="130" t="n"/>
      <c r="G8" s="130" t="n"/>
      <c r="H8" s="130" t="n"/>
    </row>
    <row r="9" ht="15" customHeight="1" s="129">
      <c r="A9" s="151" t="n"/>
      <c r="B9" s="154" t="inlineStr">
        <is>
          <t>Number of Units</t>
        </is>
      </c>
      <c r="C9" s="156" t="n">
        <v>20</v>
      </c>
      <c r="D9" s="151" t="n"/>
      <c r="E9" s="130" t="n"/>
      <c r="F9" s="130" t="n"/>
      <c r="G9" s="130" t="n"/>
      <c r="H9" s="130" t="n"/>
    </row>
    <row r="10" ht="15" customHeight="1" s="129">
      <c r="A10" s="151" t="n"/>
      <c r="B10" s="154" t="inlineStr">
        <is>
          <t>Gross Building Area (SF)</t>
        </is>
      </c>
      <c r="C10" s="156" t="n">
        <v>18000</v>
      </c>
      <c r="D10" s="151" t="n"/>
      <c r="E10" s="130" t="n"/>
      <c r="F10" s="130" t="n"/>
      <c r="G10" s="130" t="n"/>
      <c r="H10" s="130" t="n"/>
    </row>
    <row r="11" ht="15" customHeight="1" s="129">
      <c r="A11" s="151" t="n"/>
      <c r="B11" s="154" t="inlineStr">
        <is>
          <t>Lot Size (SF)</t>
        </is>
      </c>
      <c r="C11" s="156" t="n">
        <v>8500</v>
      </c>
      <c r="D11" s="151" t="n"/>
      <c r="E11" s="130" t="n"/>
      <c r="F11" s="130" t="n"/>
      <c r="G11" s="130" t="n"/>
      <c r="H11" s="130" t="n"/>
    </row>
    <row r="12" ht="15" customHeight="1" s="129">
      <c r="A12" s="151" t="n"/>
      <c r="B12" s="154" t="inlineStr">
        <is>
          <t>Year Built</t>
        </is>
      </c>
      <c r="C12" s="157" t="n">
        <v>1965</v>
      </c>
      <c r="D12" s="151" t="n"/>
      <c r="E12" s="130" t="n"/>
      <c r="F12" s="130" t="n"/>
      <c r="G12" s="130" t="n"/>
      <c r="H12" s="130" t="n"/>
    </row>
    <row r="13" ht="15" customHeight="1" s="129">
      <c r="A13" s="151" t="n"/>
      <c r="B13" s="154" t="inlineStr">
        <is>
          <t>Acquisition Date</t>
        </is>
      </c>
      <c r="C13" s="155" t="inlineStr">
        <is>
          <t>2026-01-01</t>
        </is>
      </c>
      <c r="D13" s="151" t="n"/>
      <c r="E13" s="130" t="n"/>
      <c r="F13" s="130" t="n"/>
      <c r="G13" s="130" t="n"/>
      <c r="H13" s="130" t="n"/>
    </row>
    <row r="14" ht="15" customHeight="1" s="129">
      <c r="A14" s="151" t="n"/>
      <c r="B14" s="154" t="inlineStr">
        <is>
          <t>Hold Period (Years)</t>
        </is>
      </c>
      <c r="C14" s="156" t="n">
        <v>10</v>
      </c>
      <c r="D14" s="151" t="n"/>
      <c r="E14" s="130" t="n"/>
      <c r="F14" s="130" t="n"/>
      <c r="G14" s="130" t="n"/>
      <c r="H14" s="130" t="n"/>
    </row>
    <row r="15" ht="7.5" customHeight="1" s="129">
      <c r="A15" s="151" t="n"/>
      <c r="B15" s="151" t="n"/>
      <c r="C15" s="151" t="n"/>
      <c r="D15" s="151" t="n"/>
      <c r="E15" s="130" t="n"/>
      <c r="F15" s="130" t="n"/>
      <c r="G15" s="130" t="n"/>
      <c r="H15" s="130" t="n"/>
    </row>
    <row r="16" ht="27.75" customHeight="1" s="129">
      <c r="A16" s="152" t="n"/>
      <c r="B16" s="153" t="inlineStr">
        <is>
          <t xml:space="preserve">  2. ACQUISITION</t>
        </is>
      </c>
    </row>
    <row r="17" ht="15" customHeight="1" s="129">
      <c r="A17" s="151" t="n"/>
      <c r="B17" s="154" t="inlineStr">
        <is>
          <t>Purchase Price</t>
        </is>
      </c>
      <c r="C17" s="158" t="n">
        <v>2500000</v>
      </c>
      <c r="D17" s="151" t="n"/>
      <c r="E17" s="130" t="n"/>
      <c r="F17" s="130" t="n"/>
      <c r="G17" s="130" t="n"/>
      <c r="H17" s="130" t="n"/>
    </row>
    <row r="18" ht="15" customHeight="1" s="129">
      <c r="A18" s="151" t="n"/>
      <c r="B18" s="154" t="inlineStr">
        <is>
          <t>Transfer Tax Rate — Buyer's Share Only</t>
        </is>
      </c>
      <c r="C18" s="159" t="n">
        <v>0.02139</v>
      </c>
      <c r="D18" s="151" t="n"/>
      <c r="E18" s="130" t="n"/>
      <c r="F18" s="130" t="n"/>
      <c r="G18" s="130" t="n"/>
      <c r="H18" s="130" t="n"/>
    </row>
    <row r="19" ht="15" customHeight="1" s="129">
      <c r="A19" s="151" t="n"/>
      <c r="B19" s="154" t="inlineStr">
        <is>
          <t>Transfer Tax Amount</t>
        </is>
      </c>
      <c r="C19" s="160">
        <f>C17*C18</f>
        <v/>
      </c>
      <c r="D19" s="151" t="n"/>
      <c r="E19" s="130" t="n"/>
      <c r="F19" s="130" t="n"/>
      <c r="G19" s="130" t="n"/>
      <c r="H19" s="130" t="n"/>
    </row>
    <row r="20" ht="15" customHeight="1" s="129">
      <c r="A20" s="151" t="n"/>
      <c r="B20" s="154" t="inlineStr">
        <is>
          <t>Closing Costs</t>
        </is>
      </c>
      <c r="C20" s="158" t="n">
        <v>75000</v>
      </c>
      <c r="D20" s="151" t="n"/>
      <c r="E20" s="130" t="n"/>
      <c r="F20" s="130" t="n"/>
      <c r="G20" s="130" t="n"/>
      <c r="H20" s="130" t="n"/>
    </row>
    <row r="21" ht="15" customHeight="1" s="129">
      <c r="A21" s="151" t="n"/>
      <c r="B21" s="161" t="inlineStr">
        <is>
          <t>Total Acquisition Cost</t>
        </is>
      </c>
      <c r="C21" s="162">
        <f>C17+C19+C20</f>
        <v/>
      </c>
      <c r="D21" s="151" t="n"/>
      <c r="E21" s="130" t="n"/>
      <c r="F21" s="130" t="n"/>
      <c r="G21" s="130" t="n"/>
      <c r="H21" s="130" t="n"/>
    </row>
    <row r="22" ht="15" customHeight="1" s="129">
      <c r="A22" s="151" t="n"/>
      <c r="B22" s="154" t="inlineStr">
        <is>
          <t>Price Per Unit</t>
        </is>
      </c>
      <c r="C22" s="163">
        <f>IF(C9&gt;0,C17/C9,0)</f>
        <v/>
      </c>
      <c r="D22" s="151" t="n"/>
      <c r="E22" s="130" t="n"/>
      <c r="F22" s="130" t="n"/>
      <c r="G22" s="130" t="n"/>
      <c r="H22" s="130" t="n"/>
    </row>
    <row r="23" ht="15" customHeight="1" s="129">
      <c r="A23" s="151" t="n"/>
      <c r="B23" s="154" t="inlineStr">
        <is>
          <t>Price Per SF</t>
        </is>
      </c>
      <c r="C23" s="164">
        <f>IF(C10&gt;0,C17/C10,0)</f>
        <v/>
      </c>
      <c r="D23" s="151" t="n"/>
      <c r="E23" s="130" t="n"/>
      <c r="F23" s="130" t="n"/>
      <c r="G23" s="130" t="n"/>
      <c r="H23" s="130" t="n"/>
    </row>
    <row r="24" ht="7.5" customHeight="1" s="129">
      <c r="A24" s="151" t="n"/>
      <c r="B24" s="151" t="n"/>
      <c r="C24" s="151" t="n"/>
      <c r="D24" s="151" t="n"/>
      <c r="E24" s="130" t="n"/>
      <c r="F24" s="130" t="n"/>
      <c r="G24" s="130" t="n"/>
      <c r="H24" s="130" t="n"/>
    </row>
    <row r="25" ht="27.75" customHeight="1" s="129">
      <c r="A25" s="152" t="n"/>
      <c r="B25" s="153" t="inlineStr">
        <is>
          <t xml:space="preserve">  3. SOURCES &amp; USES</t>
        </is>
      </c>
    </row>
    <row r="26" ht="15" customHeight="1" s="129">
      <c r="A26" s="151" t="n"/>
      <c r="B26" s="148" t="inlineStr">
        <is>
          <t>Enter $0 for items not applicable.</t>
        </is>
      </c>
      <c r="C26" s="151" t="n"/>
      <c r="D26" s="151" t="n"/>
      <c r="E26" s="130" t="n"/>
      <c r="F26" s="130" t="n"/>
      <c r="G26" s="130" t="n"/>
      <c r="H26" s="130" t="n"/>
    </row>
    <row r="27" ht="15" customHeight="1" s="129">
      <c r="A27" s="151" t="n"/>
      <c r="B27" s="151" t="n"/>
      <c r="C27" s="151" t="n"/>
      <c r="D27" s="151" t="n"/>
      <c r="E27" s="130" t="n"/>
      <c r="F27" s="130" t="n"/>
      <c r="G27" s="130" t="n"/>
      <c r="H27" s="130" t="n"/>
    </row>
    <row r="28" ht="21.75" customHeight="1" s="129">
      <c r="A28" s="151" t="n"/>
      <c r="B28" s="165" t="inlineStr">
        <is>
          <t xml:space="preserve">  USES — Acquisition</t>
        </is>
      </c>
      <c r="D28" s="151" t="n"/>
      <c r="E28" s="130" t="n"/>
      <c r="F28" s="130" t="n"/>
      <c r="G28" s="130" t="n"/>
      <c r="H28" s="130" t="n"/>
    </row>
    <row r="29" ht="15" customHeight="1" s="129">
      <c r="A29" s="151" t="n"/>
      <c r="B29" s="154" t="inlineStr">
        <is>
          <t xml:space="preserve">  Purchase Price</t>
        </is>
      </c>
      <c r="C29" s="160">
        <f>C17</f>
        <v/>
      </c>
      <c r="D29" s="151" t="n"/>
      <c r="E29" s="130" t="n"/>
      <c r="F29" s="130" t="n"/>
      <c r="G29" s="130" t="n"/>
      <c r="H29" s="130" t="n"/>
    </row>
    <row r="30" ht="15" customHeight="1" s="129">
      <c r="A30" s="151" t="n"/>
      <c r="B30" s="154" t="inlineStr">
        <is>
          <t xml:space="preserve">  Transfer Tax</t>
        </is>
      </c>
      <c r="C30" s="160">
        <f>C19</f>
        <v/>
      </c>
      <c r="D30" s="151" t="n"/>
      <c r="E30" s="130" t="n"/>
      <c r="F30" s="130" t="n"/>
      <c r="G30" s="130" t="n"/>
      <c r="H30" s="130" t="n"/>
    </row>
    <row r="31" ht="15" customHeight="1" s="129">
      <c r="A31" s="151" t="n"/>
      <c r="B31" s="154" t="inlineStr">
        <is>
          <t xml:space="preserve">  Tenant Buyout</t>
        </is>
      </c>
      <c r="C31" s="158" t="n">
        <v>0</v>
      </c>
      <c r="D31" s="151" t="n"/>
      <c r="E31" s="130" t="n"/>
      <c r="F31" s="130" t="n"/>
      <c r="G31" s="130" t="n"/>
      <c r="H31" s="130" t="n"/>
    </row>
    <row r="32" ht="7.5" customHeight="1" s="129">
      <c r="A32" s="151" t="n"/>
      <c r="B32" s="151" t="n"/>
      <c r="C32" s="151" t="n"/>
      <c r="D32" s="151" t="n"/>
      <c r="E32" s="130" t="n"/>
      <c r="F32" s="130" t="n"/>
      <c r="G32" s="130" t="n"/>
      <c r="H32" s="130" t="n"/>
    </row>
    <row r="33" ht="21.75" customHeight="1" s="129">
      <c r="A33" s="151" t="n"/>
      <c r="B33" s="166" t="inlineStr">
        <is>
          <t xml:space="preserve">  USES — Professional &amp; Due Diligence</t>
        </is>
      </c>
      <c r="D33" s="151" t="n"/>
      <c r="E33" s="130" t="n"/>
      <c r="F33" s="130" t="n"/>
      <c r="G33" s="130" t="n"/>
      <c r="H33" s="130" t="n"/>
    </row>
    <row r="34" ht="15" customHeight="1" s="129">
      <c r="A34" s="151" t="n"/>
      <c r="B34" s="154" t="inlineStr">
        <is>
          <t xml:space="preserve">  Legal — Closing &amp; Borrowing</t>
        </is>
      </c>
      <c r="C34" s="158" t="n">
        <v>25000</v>
      </c>
      <c r="D34" s="151" t="n"/>
      <c r="E34" s="130" t="n"/>
      <c r="F34" s="130" t="n"/>
      <c r="G34" s="130" t="n"/>
      <c r="H34" s="130" t="n"/>
    </row>
    <row r="35" ht="15" customHeight="1" s="129">
      <c r="A35" s="151" t="n"/>
      <c r="B35" s="154" t="inlineStr">
        <is>
          <t xml:space="preserve">  Title Insurance</t>
        </is>
      </c>
      <c r="C35" s="158" t="n">
        <v>8000</v>
      </c>
      <c r="D35" s="151" t="n"/>
      <c r="E35" s="130" t="n"/>
      <c r="F35" s="130" t="n"/>
      <c r="G35" s="130" t="n"/>
      <c r="H35" s="130" t="n"/>
    </row>
    <row r="36" ht="15" customHeight="1" s="129">
      <c r="A36" s="151" t="n"/>
      <c r="B36" s="154" t="inlineStr">
        <is>
          <t xml:space="preserve">  Legal — Bank</t>
        </is>
      </c>
      <c r="C36" s="158" t="n">
        <v>5000</v>
      </c>
      <c r="D36" s="151" t="n"/>
      <c r="E36" s="130" t="n"/>
      <c r="F36" s="130" t="n"/>
      <c r="G36" s="130" t="n"/>
      <c r="H36" s="130" t="n"/>
    </row>
    <row r="37" ht="15" customHeight="1" s="129">
      <c r="A37" s="151" t="n"/>
      <c r="B37" s="154" t="inlineStr">
        <is>
          <t xml:space="preserve">  Appraisal</t>
        </is>
      </c>
      <c r="C37" s="158" t="n">
        <v>5000</v>
      </c>
      <c r="D37" s="151" t="n"/>
      <c r="E37" s="130" t="n"/>
      <c r="F37" s="130" t="n"/>
      <c r="G37" s="130" t="n"/>
      <c r="H37" s="130" t="n"/>
    </row>
    <row r="38" ht="15" customHeight="1" s="129">
      <c r="A38" s="151" t="n"/>
      <c r="B38" s="154" t="inlineStr">
        <is>
          <t xml:space="preserve">  Environmental (Phase I/II)</t>
        </is>
      </c>
      <c r="C38" s="158" t="n">
        <v>6000</v>
      </c>
      <c r="D38" s="151" t="n"/>
      <c r="E38" s="130" t="n"/>
      <c r="F38" s="130" t="n"/>
      <c r="G38" s="130" t="n"/>
      <c r="H38" s="130" t="n"/>
    </row>
    <row r="39" ht="15" customHeight="1" s="129">
      <c r="A39" s="151" t="n"/>
      <c r="B39" s="154" t="inlineStr">
        <is>
          <t xml:space="preserve">  Architect</t>
        </is>
      </c>
      <c r="C39" s="158" t="n">
        <v>0</v>
      </c>
      <c r="D39" s="151" t="n"/>
      <c r="E39" s="130" t="n"/>
      <c r="F39" s="130" t="n"/>
      <c r="G39" s="130" t="n"/>
      <c r="H39" s="130" t="n"/>
    </row>
    <row r="40" ht="15" customHeight="1" s="129">
      <c r="A40" s="151" t="n"/>
      <c r="B40" s="154" t="inlineStr">
        <is>
          <t xml:space="preserve">  Structural Engineer</t>
        </is>
      </c>
      <c r="C40" s="158" t="n">
        <v>0</v>
      </c>
      <c r="D40" s="151" t="n"/>
      <c r="E40" s="130" t="n"/>
      <c r="F40" s="130" t="n"/>
      <c r="G40" s="130" t="n"/>
      <c r="H40" s="130" t="n"/>
    </row>
    <row r="41" ht="15" customHeight="1" s="129">
      <c r="A41" s="151" t="n"/>
      <c r="B41" s="154" t="inlineStr">
        <is>
          <t xml:space="preserve">  GeoTech</t>
        </is>
      </c>
      <c r="C41" s="158" t="n">
        <v>0</v>
      </c>
      <c r="D41" s="151" t="n"/>
      <c r="E41" s="130" t="n"/>
      <c r="F41" s="130" t="n"/>
      <c r="G41" s="130" t="n"/>
      <c r="H41" s="130" t="n"/>
    </row>
    <row r="42" ht="15" customHeight="1" s="129">
      <c r="A42" s="151" t="n"/>
      <c r="B42" s="154" t="inlineStr">
        <is>
          <t xml:space="preserve">  Surveyor</t>
        </is>
      </c>
      <c r="C42" s="158" t="n">
        <v>3500</v>
      </c>
      <c r="D42" s="151" t="n"/>
      <c r="E42" s="130" t="n"/>
      <c r="F42" s="130" t="n"/>
      <c r="G42" s="130" t="n"/>
      <c r="H42" s="130" t="n"/>
    </row>
    <row r="43" ht="15" customHeight="1" s="129">
      <c r="A43" s="151" t="n"/>
      <c r="B43" s="154" t="inlineStr">
        <is>
          <t xml:space="preserve">  Civil Engineer</t>
        </is>
      </c>
      <c r="C43" s="158" t="n">
        <v>0</v>
      </c>
      <c r="D43" s="151" t="n"/>
      <c r="E43" s="130" t="n"/>
      <c r="F43" s="130" t="n"/>
      <c r="G43" s="130" t="n"/>
      <c r="H43" s="130" t="n"/>
    </row>
    <row r="44" ht="15" customHeight="1" s="129">
      <c r="A44" s="151" t="n"/>
      <c r="B44" s="154" t="inlineStr">
        <is>
          <t xml:space="preserve">  MEPs</t>
        </is>
      </c>
      <c r="C44" s="158" t="n">
        <v>0</v>
      </c>
      <c r="D44" s="151" t="n"/>
      <c r="E44" s="130" t="n"/>
      <c r="F44" s="130" t="n"/>
      <c r="G44" s="130" t="n"/>
      <c r="H44" s="130" t="n"/>
    </row>
    <row r="45" ht="15" customHeight="1" s="129">
      <c r="A45" s="151" t="n"/>
      <c r="B45" s="154" t="inlineStr">
        <is>
          <t xml:space="preserve">  Legal — Zoning</t>
        </is>
      </c>
      <c r="C45" s="158" t="n">
        <v>0</v>
      </c>
      <c r="D45" s="151" t="n"/>
      <c r="E45" s="130" t="n"/>
      <c r="F45" s="130" t="n"/>
      <c r="G45" s="130" t="n"/>
      <c r="H45" s="130" t="n"/>
    </row>
    <row r="46" ht="7.5" customHeight="1" s="129">
      <c r="A46" s="151" t="n"/>
      <c r="B46" s="151" t="n"/>
      <c r="C46" s="151" t="n"/>
      <c r="D46" s="151" t="n"/>
      <c r="E46" s="130" t="n"/>
      <c r="F46" s="130" t="n"/>
      <c r="G46" s="130" t="n"/>
      <c r="H46" s="130" t="n"/>
    </row>
    <row r="47" ht="21.75" customHeight="1" s="129">
      <c r="A47" s="151" t="n"/>
      <c r="B47" s="167" t="inlineStr">
        <is>
          <t xml:space="preserve">  USES — Financing Costs</t>
        </is>
      </c>
      <c r="D47" s="151" t="n"/>
      <c r="E47" s="130" t="n"/>
      <c r="F47" s="130" t="n"/>
      <c r="G47" s="130" t="n"/>
      <c r="H47" s="130" t="n"/>
    </row>
    <row r="48" ht="15" customHeight="1" s="129">
      <c r="A48" s="151" t="n"/>
      <c r="B48" s="154" t="inlineStr">
        <is>
          <t xml:space="preserve">  Acquisition Fee</t>
        </is>
      </c>
      <c r="C48" s="158" t="n">
        <v>25000</v>
      </c>
      <c r="D48" s="151" t="n"/>
      <c r="E48" s="130" t="n"/>
      <c r="F48" s="130" t="n"/>
      <c r="G48" s="130" t="n"/>
      <c r="H48" s="130" t="n"/>
    </row>
    <row r="49" ht="15" customHeight="1" s="129">
      <c r="A49" s="151" t="n"/>
      <c r="B49" s="154" t="inlineStr">
        <is>
          <t xml:space="preserve">  Mortgage Interest (Carry)</t>
        </is>
      </c>
      <c r="C49" s="158" t="n">
        <v>0</v>
      </c>
      <c r="D49" s="151" t="n"/>
      <c r="E49" s="130" t="n"/>
      <c r="F49" s="130" t="n"/>
      <c r="G49" s="130" t="n"/>
      <c r="H49" s="130" t="n"/>
    </row>
    <row r="50" ht="15" customHeight="1" s="129">
      <c r="A50" s="151" t="n"/>
      <c r="B50" s="154" t="inlineStr">
        <is>
          <t xml:space="preserve">  Mortgage Fees / Origination</t>
        </is>
      </c>
      <c r="C50" s="160">
        <f>C71*C75</f>
        <v/>
      </c>
      <c r="D50" s="151" t="n"/>
      <c r="E50" s="130" t="n"/>
      <c r="F50" s="130" t="n"/>
      <c r="G50" s="130" t="n"/>
      <c r="H50" s="130" t="n"/>
    </row>
    <row r="51" ht="15" customHeight="1" s="129">
      <c r="A51" s="151" t="n"/>
      <c r="B51" s="154" t="inlineStr">
        <is>
          <t xml:space="preserve">  Mezzanine Interest</t>
        </is>
      </c>
      <c r="C51" s="158" t="n">
        <v>0</v>
      </c>
      <c r="D51" s="151" t="n"/>
      <c r="E51" s="130" t="n"/>
      <c r="F51" s="130" t="n"/>
      <c r="G51" s="130" t="n"/>
      <c r="H51" s="130" t="n"/>
    </row>
    <row r="52" ht="7.5" customHeight="1" s="129">
      <c r="A52" s="151" t="n"/>
      <c r="B52" s="151" t="n"/>
      <c r="C52" s="151" t="n"/>
      <c r="D52" s="151" t="n"/>
      <c r="E52" s="130" t="n"/>
      <c r="F52" s="130" t="n"/>
      <c r="G52" s="130" t="n"/>
      <c r="H52" s="130" t="n"/>
    </row>
    <row r="53" ht="21.75" customHeight="1" s="129">
      <c r="A53" s="151" t="n"/>
      <c r="B53" s="168" t="inlineStr">
        <is>
          <t xml:space="preserve">  USES — Soft Costs</t>
        </is>
      </c>
      <c r="D53" s="151" t="n"/>
      <c r="E53" s="130" t="n"/>
      <c r="F53" s="130" t="n"/>
      <c r="G53" s="130" t="n"/>
      <c r="H53" s="130" t="n"/>
    </row>
    <row r="54" ht="15" customHeight="1" s="129">
      <c r="A54" s="151" t="n"/>
      <c r="B54" s="154" t="inlineStr">
        <is>
          <t xml:space="preserve">  Working Capital</t>
        </is>
      </c>
      <c r="C54" s="158" t="n">
        <v>15000</v>
      </c>
      <c r="D54" s="151" t="n"/>
      <c r="E54" s="130" t="n"/>
      <c r="F54" s="130" t="n"/>
      <c r="G54" s="130" t="n"/>
      <c r="H54" s="130" t="n"/>
    </row>
    <row r="55" ht="15" customHeight="1" s="129">
      <c r="A55" s="151" t="n"/>
      <c r="B55" s="154" t="inlineStr">
        <is>
          <t xml:space="preserve">  Marketing</t>
        </is>
      </c>
      <c r="C55" s="158" t="n">
        <v>5000</v>
      </c>
      <c r="D55" s="151" t="n"/>
      <c r="E55" s="130" t="n"/>
      <c r="F55" s="130" t="n"/>
      <c r="G55" s="130" t="n"/>
      <c r="H55" s="130" t="n"/>
    </row>
    <row r="56" ht="15" customHeight="1" s="129">
      <c r="A56" s="151" t="n"/>
      <c r="B56" s="154" t="inlineStr">
        <is>
          <t xml:space="preserve">  Real Estate Tax (Carry)</t>
        </is>
      </c>
      <c r="C56" s="158" t="n">
        <v>0</v>
      </c>
      <c r="D56" s="151" t="n"/>
      <c r="E56" s="130" t="n"/>
      <c r="F56" s="130" t="n"/>
      <c r="G56" s="130" t="n"/>
      <c r="H56" s="130" t="n"/>
    </row>
    <row r="57" ht="15" customHeight="1" s="129">
      <c r="A57" s="151" t="n"/>
      <c r="B57" s="154" t="inlineStr">
        <is>
          <t xml:space="preserve">  Property / BR / Contractor Ins.</t>
        </is>
      </c>
      <c r="C57" s="158" t="n">
        <v>0</v>
      </c>
      <c r="D57" s="151" t="n"/>
      <c r="E57" s="130" t="n"/>
      <c r="F57" s="130" t="n"/>
      <c r="G57" s="130" t="n"/>
      <c r="H57" s="130" t="n"/>
    </row>
    <row r="58" ht="15" customHeight="1" s="129">
      <c r="A58" s="151" t="n"/>
      <c r="B58" s="154" t="inlineStr">
        <is>
          <t xml:space="preserve">  Development Fee</t>
        </is>
      </c>
      <c r="C58" s="158" t="n">
        <v>0</v>
      </c>
      <c r="D58" s="151" t="n"/>
      <c r="E58" s="130" t="n"/>
      <c r="F58" s="130" t="n"/>
      <c r="G58" s="130" t="n"/>
      <c r="H58" s="130" t="n"/>
    </row>
    <row r="59" ht="15" customHeight="1" s="129">
      <c r="A59" s="151" t="n"/>
      <c r="B59" s="154" t="inlineStr">
        <is>
          <t xml:space="preserve">  Development Equity Pref Return</t>
        </is>
      </c>
      <c r="C59" s="158" t="n">
        <v>0</v>
      </c>
      <c r="D59" s="151" t="n"/>
      <c r="E59" s="130" t="n"/>
      <c r="F59" s="130" t="n"/>
      <c r="G59" s="130" t="n"/>
      <c r="H59" s="130" t="n"/>
    </row>
    <row r="60" ht="15" customHeight="1" s="129">
      <c r="A60" s="151" t="n"/>
      <c r="B60" s="154" t="inlineStr">
        <is>
          <t xml:space="preserve">  Permits / Expediting</t>
        </is>
      </c>
      <c r="C60" s="158" t="n">
        <v>0</v>
      </c>
      <c r="D60" s="151" t="n"/>
      <c r="E60" s="130" t="n"/>
      <c r="F60" s="130" t="n"/>
      <c r="G60" s="130" t="n"/>
      <c r="H60" s="130" t="n"/>
    </row>
    <row r="61" ht="7.5" customHeight="1" s="129">
      <c r="A61" s="151" t="n"/>
      <c r="B61" s="151" t="n"/>
      <c r="C61" s="151" t="n"/>
      <c r="D61" s="151" t="n"/>
      <c r="E61" s="130" t="n"/>
      <c r="F61" s="130" t="n"/>
      <c r="G61" s="130" t="n"/>
      <c r="H61" s="130" t="n"/>
    </row>
    <row r="62" ht="21.75" customHeight="1" s="129">
      <c r="A62" s="151" t="n"/>
      <c r="B62" s="169" t="inlineStr">
        <is>
          <t xml:space="preserve">  USES — Hard Costs</t>
        </is>
      </c>
      <c r="D62" s="151" t="n"/>
      <c r="E62" s="130" t="n"/>
      <c r="F62" s="130" t="n"/>
      <c r="G62" s="130" t="n"/>
      <c r="H62" s="130" t="n"/>
    </row>
    <row r="63" ht="15" customHeight="1" s="129">
      <c r="A63" s="151" t="n"/>
      <c r="B63" s="154" t="inlineStr">
        <is>
          <t xml:space="preserve">  Stormwater Management System</t>
        </is>
      </c>
      <c r="C63" s="158" t="n">
        <v>0</v>
      </c>
      <c r="D63" s="151" t="n"/>
      <c r="E63" s="130" t="n"/>
      <c r="F63" s="130" t="n"/>
      <c r="G63" s="130" t="n"/>
      <c r="H63" s="130" t="n"/>
    </row>
    <row r="64" ht="15" customHeight="1" s="129">
      <c r="A64" s="151" t="n"/>
      <c r="B64" s="154" t="inlineStr">
        <is>
          <t xml:space="preserve">  Demolition &amp; Site Work</t>
        </is>
      </c>
      <c r="C64" s="158" t="n">
        <v>0</v>
      </c>
      <c r="D64" s="151" t="n"/>
      <c r="E64" s="130" t="n"/>
      <c r="F64" s="130" t="n"/>
      <c r="G64" s="130" t="n"/>
      <c r="H64" s="130" t="n"/>
    </row>
    <row r="65" ht="15" customHeight="1" s="129">
      <c r="A65" s="151" t="n"/>
      <c r="B65" s="154" t="inlineStr">
        <is>
          <t xml:space="preserve">  Construction — Hard Costs</t>
        </is>
      </c>
      <c r="C65" s="158" t="n">
        <v>0</v>
      </c>
      <c r="D65" s="151" t="n"/>
      <c r="E65" s="130" t="n"/>
      <c r="F65" s="130" t="n"/>
      <c r="G65" s="130" t="n"/>
      <c r="H65" s="130" t="n"/>
    </row>
    <row r="66" ht="15" customHeight="1" s="129">
      <c r="A66" s="151" t="n"/>
      <c r="B66" s="154" t="inlineStr">
        <is>
          <t xml:space="preserve">  Construction — Reserve</t>
        </is>
      </c>
      <c r="C66" s="158" t="n">
        <v>0</v>
      </c>
      <c r="D66" s="151" t="n"/>
      <c r="E66" s="130" t="n"/>
      <c r="F66" s="130" t="n"/>
      <c r="G66" s="130" t="n"/>
      <c r="H66" s="130" t="n"/>
    </row>
    <row r="67" ht="15" customHeight="1" s="129">
      <c r="A67" s="151" t="n"/>
      <c r="B67" s="154" t="inlineStr">
        <is>
          <t xml:space="preserve">  GC Profit &amp; Overhead</t>
        </is>
      </c>
      <c r="C67" s="158" t="n">
        <v>0</v>
      </c>
      <c r="D67" s="151" t="n"/>
      <c r="E67" s="130" t="n"/>
      <c r="F67" s="130" t="n"/>
      <c r="G67" s="130" t="n"/>
      <c r="H67" s="130" t="n"/>
    </row>
    <row r="68" ht="7.5" customHeight="1" s="129">
      <c r="A68" s="151" t="n"/>
      <c r="B68" s="151" t="n"/>
      <c r="C68" s="151" t="n"/>
      <c r="D68" s="151" t="n"/>
      <c r="E68" s="130" t="n"/>
      <c r="F68" s="130" t="n"/>
      <c r="G68" s="130" t="n"/>
      <c r="H68" s="130" t="n"/>
    </row>
    <row r="69" ht="27.75" customHeight="1" s="129">
      <c r="A69" s="152" t="n"/>
      <c r="B69" s="153" t="inlineStr">
        <is>
          <t xml:space="preserve">  4. INITIAL FINANCING</t>
        </is>
      </c>
    </row>
    <row r="70" ht="15" customHeight="1" s="129">
      <c r="A70" s="151" t="n"/>
      <c r="B70" s="154" t="inlineStr">
        <is>
          <t>Loan-to-Value (LTV)</t>
        </is>
      </c>
      <c r="C70" s="170" t="n">
        <v>0.7</v>
      </c>
      <c r="D70" s="151" t="n"/>
      <c r="E70" s="130" t="n"/>
      <c r="F70" s="130" t="n"/>
      <c r="G70" s="130" t="n"/>
      <c r="H70" s="130" t="n"/>
    </row>
    <row r="71" ht="15" customHeight="1" s="129">
      <c r="A71" s="151" t="n"/>
      <c r="B71" s="154" t="inlineStr">
        <is>
          <t>Initial Loan Amount</t>
        </is>
      </c>
      <c r="C71" s="160">
        <f>C17*C70</f>
        <v/>
      </c>
      <c r="D71" s="151" t="n"/>
      <c r="E71" s="130" t="n"/>
      <c r="F71" s="130" t="n"/>
      <c r="G71" s="130" t="n"/>
      <c r="H71" s="130" t="n"/>
    </row>
    <row r="72" ht="15" customHeight="1" s="129">
      <c r="A72" s="151" t="n"/>
      <c r="B72" s="154" t="inlineStr">
        <is>
          <t>Interest Rate</t>
        </is>
      </c>
      <c r="C72" s="159" t="n">
        <v>0.065</v>
      </c>
      <c r="D72" s="151" t="n"/>
      <c r="E72" s="130" t="n"/>
      <c r="F72" s="130" t="n"/>
      <c r="G72" s="130" t="n"/>
      <c r="H72" s="130" t="n"/>
    </row>
    <row r="73" ht="15" customHeight="1" s="129">
      <c r="A73" s="151" t="n"/>
      <c r="B73" s="154" t="inlineStr">
        <is>
          <t>Amortization (Years)</t>
        </is>
      </c>
      <c r="C73" s="156" t="n">
        <v>30</v>
      </c>
      <c r="D73" s="151" t="n"/>
      <c r="E73" s="130" t="n"/>
      <c r="F73" s="130" t="n"/>
      <c r="G73" s="130" t="n"/>
      <c r="H73" s="130" t="n"/>
    </row>
    <row r="74" ht="15" customHeight="1" s="129">
      <c r="A74" s="151" t="n"/>
      <c r="B74" s="154" t="inlineStr">
        <is>
          <t>Loan Term (Years)</t>
        </is>
      </c>
      <c r="C74" s="156" t="n">
        <v>10</v>
      </c>
      <c r="D74" s="151" t="n"/>
      <c r="E74" s="130" t="n"/>
      <c r="F74" s="130" t="n"/>
      <c r="G74" s="130" t="n"/>
      <c r="H74" s="130" t="n"/>
    </row>
    <row r="75" ht="15" customHeight="1" s="129">
      <c r="A75" s="151" t="n"/>
      <c r="B75" s="154" t="inlineStr">
        <is>
          <t>Origination Fee (%)</t>
        </is>
      </c>
      <c r="C75" s="170" t="n">
        <v>0.01</v>
      </c>
      <c r="D75" s="151" t="n"/>
      <c r="E75" s="130" t="n"/>
      <c r="F75" s="130" t="n"/>
      <c r="G75" s="130" t="n"/>
      <c r="H75" s="130" t="n"/>
    </row>
    <row r="76" ht="15" customHeight="1" s="129">
      <c r="A76" s="151" t="n"/>
      <c r="B76" s="154" t="inlineStr">
        <is>
          <t>Origination Fee ($)</t>
        </is>
      </c>
      <c r="C76" s="160">
        <f>C71*C75</f>
        <v/>
      </c>
      <c r="D76" s="151" t="n"/>
      <c r="E76" s="130" t="n"/>
      <c r="F76" s="130" t="n"/>
      <c r="G76" s="130" t="n"/>
      <c r="H76" s="130" t="n"/>
    </row>
    <row r="77" ht="15" customHeight="1" s="129">
      <c r="A77" s="151" t="n"/>
      <c r="B77" s="154" t="inlineStr">
        <is>
          <t>Interest-Only Period (Months)</t>
        </is>
      </c>
      <c r="C77" s="156" t="n">
        <v>0</v>
      </c>
      <c r="D77" s="151" t="n"/>
      <c r="E77" s="130" t="n"/>
      <c r="F77" s="130" t="n"/>
      <c r="G77" s="130" t="n"/>
      <c r="H77" s="130" t="n"/>
    </row>
    <row r="78" ht="15" customHeight="1" s="129">
      <c r="A78" s="151" t="n"/>
      <c r="B78" s="154" t="inlineStr">
        <is>
          <t>Monthly Payment (P&amp;I)</t>
        </is>
      </c>
      <c r="C78" s="164">
        <f>IF(C73&gt;0,PMT(C72/12,C73*12,-C71),C71*C72/12)</f>
        <v/>
      </c>
      <c r="D78" s="151" t="n"/>
      <c r="E78" s="130" t="n"/>
      <c r="F78" s="130" t="n"/>
      <c r="G78" s="130" t="n"/>
      <c r="H78" s="130" t="n"/>
    </row>
    <row r="79" ht="15" customHeight="1" s="129">
      <c r="A79" s="151" t="n"/>
      <c r="B79" s="154" t="inlineStr">
        <is>
          <t>Annual Debt Service</t>
        </is>
      </c>
      <c r="C79" s="163">
        <f>C78*12</f>
        <v/>
      </c>
      <c r="D79" s="151" t="n"/>
      <c r="E79" s="130" t="n"/>
      <c r="F79" s="130" t="n"/>
      <c r="G79" s="130" t="n"/>
      <c r="H79" s="130" t="n"/>
    </row>
    <row r="80" ht="7.5" customHeight="1" s="129">
      <c r="A80" s="151" t="n"/>
      <c r="B80" s="151" t="n"/>
      <c r="C80" s="151" t="n"/>
      <c r="D80" s="151" t="n"/>
      <c r="E80" s="130" t="n"/>
      <c r="F80" s="130" t="n"/>
      <c r="G80" s="130" t="n"/>
      <c r="H80" s="130" t="n"/>
    </row>
    <row r="81" ht="21.75" customHeight="1" s="129">
      <c r="A81" s="151" t="n"/>
      <c r="B81" s="165" t="inlineStr">
        <is>
          <t xml:space="preserve">  SOURCES</t>
        </is>
      </c>
      <c r="D81" s="151" t="n"/>
      <c r="E81" s="130" t="n"/>
      <c r="F81" s="130" t="n"/>
      <c r="G81" s="130" t="n"/>
      <c r="H81" s="130" t="n"/>
    </row>
    <row r="82" ht="15" customHeight="1" s="129">
      <c r="A82" s="151" t="n"/>
      <c r="B82" s="154" t="inlineStr">
        <is>
          <t xml:space="preserve">  Senior Debt</t>
        </is>
      </c>
      <c r="C82" s="160">
        <f>C71</f>
        <v/>
      </c>
      <c r="D82" s="151" t="n"/>
      <c r="E82" s="130" t="n"/>
      <c r="F82" s="130" t="n"/>
      <c r="G82" s="130" t="n"/>
      <c r="H82" s="130" t="n"/>
    </row>
    <row r="83" ht="15" customHeight="1" s="129">
      <c r="A83" s="151" t="n"/>
      <c r="B83" s="154" t="inlineStr">
        <is>
          <t xml:space="preserve">  Mezzanine Debt</t>
        </is>
      </c>
      <c r="C83" s="158" t="n">
        <v>0</v>
      </c>
      <c r="D83" s="151" t="n"/>
      <c r="E83" s="130" t="n"/>
      <c r="F83" s="130" t="n"/>
      <c r="G83" s="130" t="n"/>
      <c r="H83" s="130" t="n"/>
    </row>
    <row r="84" ht="15" customHeight="1" s="129">
      <c r="A84" s="151" t="n"/>
      <c r="B84" s="154" t="inlineStr">
        <is>
          <t xml:space="preserve">  GP Equity</t>
        </is>
      </c>
      <c r="C84" s="158" t="n">
        <v>0</v>
      </c>
      <c r="D84" s="151" t="n"/>
      <c r="E84" s="130" t="n"/>
      <c r="F84" s="130" t="n"/>
      <c r="G84" s="130" t="n"/>
      <c r="H84" s="130" t="n"/>
    </row>
    <row r="85" ht="15" customHeight="1" s="129">
      <c r="A85" s="151" t="n"/>
      <c r="B85" s="154" t="inlineStr">
        <is>
          <t xml:space="preserve">  LP Equity</t>
        </is>
      </c>
      <c r="C85" s="158" t="n">
        <v>0</v>
      </c>
      <c r="D85" s="151" t="n"/>
      <c r="E85" s="130" t="n"/>
      <c r="F85" s="130" t="n"/>
      <c r="G85" s="130" t="n"/>
      <c r="H85" s="130" t="n"/>
    </row>
    <row r="86" ht="15" customHeight="1" s="129">
      <c r="A86" s="151" t="n"/>
      <c r="B86" s="154" t="inlineStr">
        <is>
          <t xml:space="preserve">  Tax Credit Equity</t>
        </is>
      </c>
      <c r="C86" s="158" t="n">
        <v>0</v>
      </c>
      <c r="D86" s="151" t="n"/>
      <c r="E86" s="130" t="n"/>
      <c r="F86" s="130" t="n"/>
      <c r="G86" s="130" t="n"/>
      <c r="H86" s="130" t="n"/>
    </row>
    <row r="87" ht="15" customHeight="1" s="129">
      <c r="A87" s="151" t="n"/>
      <c r="B87" s="154" t="inlineStr">
        <is>
          <t xml:space="preserve">  Grants / Subsidies</t>
        </is>
      </c>
      <c r="C87" s="158" t="n">
        <v>0</v>
      </c>
      <c r="D87" s="151" t="n"/>
      <c r="E87" s="130" t="n"/>
      <c r="F87" s="130" t="n"/>
      <c r="G87" s="130" t="n"/>
      <c r="H87" s="130" t="n"/>
    </row>
    <row r="88" ht="7.5" customHeight="1" s="129">
      <c r="A88" s="151" t="n"/>
      <c r="B88" s="151" t="n"/>
      <c r="C88" s="151" t="n"/>
      <c r="D88" s="151" t="n"/>
      <c r="E88" s="130" t="n"/>
      <c r="F88" s="130" t="n"/>
      <c r="G88" s="130" t="n"/>
      <c r="H88" s="130" t="n"/>
    </row>
    <row r="89" ht="15" customHeight="1" s="129">
      <c r="A89" s="151" t="n"/>
      <c r="B89" s="161" t="inlineStr">
        <is>
          <t>TOTAL USES</t>
        </is>
      </c>
      <c r="C89" s="162">
        <f>SUM(C29:C31)+SUM(C34:C45)+SUM(C48:C51)+SUM(C54:C60)+SUM(C63:C67)</f>
        <v/>
      </c>
      <c r="D89" s="151" t="n"/>
      <c r="E89" s="130" t="n"/>
      <c r="F89" s="130" t="n"/>
      <c r="G89" s="130" t="n"/>
      <c r="H89" s="130" t="n"/>
    </row>
    <row r="90" ht="15" customHeight="1" s="129">
      <c r="A90" s="151" t="n"/>
      <c r="B90" s="161" t="inlineStr">
        <is>
          <t>TOTAL SOURCES</t>
        </is>
      </c>
      <c r="C90" s="162">
        <f>SUM(C82:C87)</f>
        <v/>
      </c>
      <c r="D90" s="151" t="n"/>
      <c r="E90" s="130" t="n"/>
      <c r="F90" s="130" t="n"/>
      <c r="G90" s="130" t="n"/>
      <c r="H90" s="130" t="n"/>
    </row>
    <row r="91" ht="15" customHeight="1" s="129">
      <c r="A91" s="151" t="n"/>
      <c r="B91" s="171" t="inlineStr">
        <is>
          <t>TOTAL EQUITY REQUIRED</t>
        </is>
      </c>
      <c r="C91" s="172">
        <f>C89-C82-C83</f>
        <v/>
      </c>
      <c r="D91" s="151" t="n"/>
      <c r="E91" s="130" t="n"/>
      <c r="F91" s="130" t="n"/>
      <c r="G91" s="130" t="n"/>
      <c r="H91" s="130" t="n"/>
    </row>
    <row r="92" ht="15" customHeight="1" s="129">
      <c r="A92" s="151" t="n"/>
      <c r="B92" s="173" t="inlineStr">
        <is>
          <t>Surplus / (Gap)</t>
        </is>
      </c>
      <c r="C92" s="174">
        <f>C90-C89</f>
        <v/>
      </c>
      <c r="D92" s="151" t="n"/>
      <c r="E92" s="130" t="n"/>
      <c r="F92" s="130" t="n"/>
      <c r="G92" s="130" t="n"/>
      <c r="H92" s="130" t="n"/>
    </row>
    <row r="93" ht="7.5" customHeight="1" s="129">
      <c r="A93" s="151" t="n"/>
      <c r="B93" s="151" t="n"/>
      <c r="C93" s="151" t="n"/>
      <c r="D93" s="151" t="n"/>
      <c r="E93" s="130" t="n"/>
      <c r="F93" s="130" t="n"/>
      <c r="G93" s="130" t="n"/>
      <c r="H93" s="130" t="n"/>
    </row>
    <row r="94" ht="27.75" customHeight="1" s="129">
      <c r="A94" s="152" t="n"/>
      <c r="B94" s="153" t="inlineStr">
        <is>
          <t xml:space="preserve">  5. REFINANCE 1</t>
        </is>
      </c>
    </row>
    <row r="95" ht="15" customHeight="1" s="129">
      <c r="A95" s="151" t="n"/>
      <c r="B95" s="154" t="inlineStr">
        <is>
          <t>Refi 1 — Active? (1=Yes, 0=No)</t>
        </is>
      </c>
      <c r="C95" s="156" t="n">
        <v>0</v>
      </c>
      <c r="D95" s="151" t="n"/>
      <c r="E95" s="130" t="n"/>
      <c r="F95" s="130" t="n"/>
      <c r="G95" s="130" t="n"/>
      <c r="H95" s="148" t="inlineStr">
        <is>
          <t>Set to 1 to activate</t>
        </is>
      </c>
    </row>
    <row r="96" ht="15" customHeight="1" s="129">
      <c r="A96" s="151" t="n"/>
      <c r="B96" s="154" t="inlineStr">
        <is>
          <t>Refi 1 — Timing (Year)</t>
        </is>
      </c>
      <c r="C96" s="156" t="n">
        <v>5</v>
      </c>
      <c r="D96" s="151" t="n"/>
      <c r="E96" s="130" t="n"/>
      <c r="F96" s="130" t="n"/>
      <c r="G96" s="130" t="n"/>
      <c r="H96" s="130" t="n"/>
    </row>
    <row r="97" ht="15" customHeight="1" s="129">
      <c r="A97" s="151" t="n"/>
      <c r="B97" s="154" t="inlineStr">
        <is>
          <t>Refi 1 — Appraised Value</t>
        </is>
      </c>
      <c r="C97" s="158" t="n">
        <v>3200000</v>
      </c>
      <c r="D97" s="151" t="n"/>
      <c r="E97" s="130" t="n"/>
      <c r="F97" s="130" t="n"/>
      <c r="G97" s="130" t="n"/>
      <c r="H97" s="130" t="n"/>
    </row>
    <row r="98" ht="15" customHeight="1" s="129">
      <c r="A98" s="151" t="n"/>
      <c r="B98" s="154" t="inlineStr">
        <is>
          <t>Refi 1 — LTV</t>
        </is>
      </c>
      <c r="C98" s="170" t="n">
        <v>0.7</v>
      </c>
      <c r="D98" s="151" t="n"/>
      <c r="E98" s="130" t="n"/>
      <c r="F98" s="130" t="n"/>
      <c r="G98" s="130" t="n"/>
      <c r="H98" s="130" t="n"/>
    </row>
    <row r="99" ht="15" customHeight="1" s="129">
      <c r="A99" s="151" t="n"/>
      <c r="B99" s="154" t="inlineStr">
        <is>
          <t>Refi 1 — New Loan Amount</t>
        </is>
      </c>
      <c r="C99" s="160">
        <f>C97*C98</f>
        <v/>
      </c>
      <c r="D99" s="151" t="n"/>
      <c r="E99" s="130" t="n"/>
      <c r="F99" s="130" t="n"/>
      <c r="G99" s="130" t="n"/>
      <c r="H99" s="130" t="n"/>
    </row>
    <row r="100" ht="15" customHeight="1" s="129">
      <c r="A100" s="151" t="n"/>
      <c r="B100" s="154" t="inlineStr">
        <is>
          <t>Refi 1 — Interest Rate</t>
        </is>
      </c>
      <c r="C100" s="159" t="n">
        <v>0.06</v>
      </c>
      <c r="D100" s="151" t="n"/>
      <c r="E100" s="130" t="n"/>
      <c r="F100" s="130" t="n"/>
      <c r="G100" s="130" t="n"/>
      <c r="H100" s="130" t="n"/>
    </row>
    <row r="101" ht="15" customHeight="1" s="129">
      <c r="A101" s="151" t="n"/>
      <c r="B101" s="154" t="inlineStr">
        <is>
          <t>Refi 1 — Amortization (Yrs)</t>
        </is>
      </c>
      <c r="C101" s="156" t="n">
        <v>30</v>
      </c>
      <c r="D101" s="151" t="n"/>
      <c r="E101" s="130" t="n"/>
      <c r="F101" s="130" t="n"/>
      <c r="G101" s="130" t="n"/>
      <c r="H101" s="130" t="n"/>
    </row>
    <row r="102" ht="15" customHeight="1" s="129">
      <c r="A102" s="151" t="n"/>
      <c r="B102" s="154" t="inlineStr">
        <is>
          <t>Refi 1 — Loan Term (Yrs)</t>
        </is>
      </c>
      <c r="C102" s="156" t="n">
        <v>10</v>
      </c>
      <c r="D102" s="151" t="n"/>
      <c r="E102" s="130" t="n"/>
      <c r="F102" s="130" t="n"/>
      <c r="G102" s="130" t="n"/>
      <c r="H102" s="130" t="n"/>
    </row>
    <row r="103" ht="15" customHeight="1" s="129">
      <c r="A103" s="151" t="n"/>
      <c r="B103" s="154" t="inlineStr">
        <is>
          <t>Refi 1 — Origination Fee (%)</t>
        </is>
      </c>
      <c r="C103" s="170" t="n">
        <v>0.01</v>
      </c>
      <c r="D103" s="151" t="n"/>
      <c r="E103" s="130" t="n"/>
      <c r="F103" s="130" t="n"/>
      <c r="G103" s="130" t="n"/>
      <c r="H103" s="130" t="n"/>
    </row>
    <row r="104" ht="15" customHeight="1" s="129">
      <c r="A104" s="151" t="n"/>
      <c r="B104" s="154" t="inlineStr">
        <is>
          <t>Refi 1 — Prepayment Penalty (%)</t>
        </is>
      </c>
      <c r="C104" s="170" t="n">
        <v>0.01</v>
      </c>
      <c r="D104" s="151" t="n"/>
      <c r="E104" s="130" t="n"/>
      <c r="F104" s="130" t="n"/>
      <c r="G104" s="130" t="n"/>
      <c r="H104" s="130" t="n"/>
    </row>
    <row r="105" ht="15" customHeight="1" s="129">
      <c r="A105" s="151" t="n"/>
      <c r="B105" s="154" t="inlineStr">
        <is>
          <t>Refi 1 — Closing Costs ($)</t>
        </is>
      </c>
      <c r="C105" s="158" t="n">
        <v>25000</v>
      </c>
      <c r="D105" s="151" t="n"/>
      <c r="E105" s="130" t="n"/>
      <c r="F105" s="130" t="n"/>
      <c r="G105" s="130" t="n"/>
      <c r="H105" s="130" t="n"/>
    </row>
    <row r="106" ht="7.5" customHeight="1" s="129">
      <c r="A106" s="151" t="n"/>
      <c r="B106" s="151" t="n"/>
      <c r="C106" s="151" t="n"/>
      <c r="D106" s="151" t="n"/>
      <c r="E106" s="130" t="n"/>
      <c r="F106" s="130" t="n"/>
      <c r="G106" s="130" t="n"/>
      <c r="H106" s="130" t="n"/>
    </row>
    <row r="107" ht="27.75" customHeight="1" s="129">
      <c r="A107" s="152" t="n"/>
      <c r="B107" s="153" t="inlineStr">
        <is>
          <t xml:space="preserve">  6. REFINANCE 2</t>
        </is>
      </c>
    </row>
    <row r="108" ht="15" customHeight="1" s="129">
      <c r="A108" s="151" t="n"/>
      <c r="B108" s="154" t="inlineStr">
        <is>
          <t>Refi 2 — Active? (1=Yes, 0=No)</t>
        </is>
      </c>
      <c r="C108" s="156" t="n">
        <v>0</v>
      </c>
      <c r="D108" s="151" t="n"/>
      <c r="E108" s="130" t="n"/>
      <c r="F108" s="130" t="n"/>
      <c r="G108" s="130" t="n"/>
      <c r="H108" s="148" t="inlineStr">
        <is>
          <t>Set to 1 to activate</t>
        </is>
      </c>
    </row>
    <row r="109" ht="15" customHeight="1" s="129">
      <c r="A109" s="151" t="n"/>
      <c r="B109" s="154" t="inlineStr">
        <is>
          <t>Refi 2 — Timing (Year)</t>
        </is>
      </c>
      <c r="C109" s="156" t="n">
        <v>8</v>
      </c>
      <c r="D109" s="151" t="n"/>
      <c r="E109" s="130" t="n"/>
      <c r="F109" s="130" t="n"/>
      <c r="G109" s="130" t="n"/>
      <c r="H109" s="130" t="n"/>
    </row>
    <row r="110" ht="15" customHeight="1" s="129">
      <c r="A110" s="151" t="n"/>
      <c r="B110" s="154" t="inlineStr">
        <is>
          <t>Refi 2 — Appraised Value</t>
        </is>
      </c>
      <c r="C110" s="158" t="n">
        <v>3800000</v>
      </c>
      <c r="D110" s="151" t="n"/>
      <c r="E110" s="130" t="n"/>
      <c r="F110" s="130" t="n"/>
      <c r="G110" s="130" t="n"/>
      <c r="H110" s="130" t="n"/>
    </row>
    <row r="111" ht="15" customHeight="1" s="129">
      <c r="A111" s="151" t="n"/>
      <c r="B111" s="154" t="inlineStr">
        <is>
          <t>Refi 2 — LTV</t>
        </is>
      </c>
      <c r="C111" s="170" t="n">
        <v>0.65</v>
      </c>
      <c r="D111" s="151" t="n"/>
      <c r="E111" s="130" t="n"/>
      <c r="F111" s="130" t="n"/>
      <c r="G111" s="130" t="n"/>
      <c r="H111" s="130" t="n"/>
    </row>
    <row r="112" ht="15" customHeight="1" s="129">
      <c r="A112" s="151" t="n"/>
      <c r="B112" s="154" t="inlineStr">
        <is>
          <t>Refi 2 — New Loan Amount</t>
        </is>
      </c>
      <c r="C112" s="160">
        <f>C110*C111</f>
        <v/>
      </c>
      <c r="D112" s="151" t="n"/>
      <c r="E112" s="130" t="n"/>
      <c r="F112" s="130" t="n"/>
      <c r="G112" s="130" t="n"/>
      <c r="H112" s="130" t="n"/>
    </row>
    <row r="113" ht="15" customHeight="1" s="129">
      <c r="A113" s="151" t="n"/>
      <c r="B113" s="154" t="inlineStr">
        <is>
          <t>Refi 2 — Interest Rate</t>
        </is>
      </c>
      <c r="C113" s="159" t="n">
        <v>0.055</v>
      </c>
      <c r="D113" s="151" t="n"/>
      <c r="E113" s="130" t="n"/>
      <c r="F113" s="130" t="n"/>
      <c r="G113" s="130" t="n"/>
      <c r="H113" s="130" t="n"/>
    </row>
    <row r="114" ht="15" customHeight="1" s="129">
      <c r="A114" s="151" t="n"/>
      <c r="B114" s="154" t="inlineStr">
        <is>
          <t>Refi 2 — Amortization (Yrs)</t>
        </is>
      </c>
      <c r="C114" s="156" t="n">
        <v>30</v>
      </c>
      <c r="D114" s="151" t="n"/>
      <c r="E114" s="130" t="n"/>
      <c r="F114" s="130" t="n"/>
      <c r="G114" s="130" t="n"/>
      <c r="H114" s="130" t="n"/>
    </row>
    <row r="115" ht="15" customHeight="1" s="129">
      <c r="A115" s="151" t="n"/>
      <c r="B115" s="154" t="inlineStr">
        <is>
          <t>Refi 2 — Loan Term (Yrs)</t>
        </is>
      </c>
      <c r="C115" s="156" t="n">
        <v>10</v>
      </c>
      <c r="D115" s="151" t="n"/>
      <c r="E115" s="130" t="n"/>
      <c r="F115" s="130" t="n"/>
      <c r="G115" s="130" t="n"/>
      <c r="H115" s="130" t="n"/>
    </row>
    <row r="116" ht="15" customHeight="1" s="129">
      <c r="A116" s="151" t="n"/>
      <c r="B116" s="154" t="inlineStr">
        <is>
          <t>Refi 2 — Origination Fee (%)</t>
        </is>
      </c>
      <c r="C116" s="170" t="n">
        <v>0.01</v>
      </c>
      <c r="D116" s="151" t="n"/>
      <c r="E116" s="130" t="n"/>
      <c r="F116" s="130" t="n"/>
      <c r="G116" s="130" t="n"/>
      <c r="H116" s="130" t="n"/>
    </row>
    <row r="117" ht="15" customHeight="1" s="129">
      <c r="A117" s="151" t="n"/>
      <c r="B117" s="154" t="inlineStr">
        <is>
          <t>Refi 2 — Prepayment Penalty (%)</t>
        </is>
      </c>
      <c r="C117" s="170" t="n">
        <v>0.01</v>
      </c>
      <c r="D117" s="151" t="n"/>
      <c r="E117" s="130" t="n"/>
      <c r="F117" s="130" t="n"/>
      <c r="G117" s="130" t="n"/>
      <c r="H117" s="130" t="n"/>
    </row>
    <row r="118" ht="15" customHeight="1" s="129">
      <c r="A118" s="151" t="n"/>
      <c r="B118" s="154" t="inlineStr">
        <is>
          <t>Refi 2 — Closing Costs ($)</t>
        </is>
      </c>
      <c r="C118" s="158" t="n">
        <v>25000</v>
      </c>
      <c r="D118" s="151" t="n"/>
      <c r="E118" s="130" t="n"/>
      <c r="F118" s="130" t="n"/>
      <c r="G118" s="130" t="n"/>
      <c r="H118" s="130" t="n"/>
    </row>
    <row r="119" ht="7.5" customHeight="1" s="129">
      <c r="A119" s="151" t="n"/>
      <c r="B119" s="151" t="n"/>
      <c r="C119" s="151" t="n"/>
      <c r="D119" s="151" t="n"/>
      <c r="E119" s="130" t="n"/>
      <c r="F119" s="130" t="n"/>
      <c r="G119" s="130" t="n"/>
      <c r="H119" s="130" t="n"/>
    </row>
    <row r="120" ht="27.75" customHeight="1" s="129">
      <c r="A120" s="152" t="n"/>
      <c r="B120" s="153" t="inlineStr">
        <is>
          <t xml:space="preserve">  7. REFINANCE 3</t>
        </is>
      </c>
    </row>
    <row r="121" ht="15" customHeight="1" s="129">
      <c r="A121" s="151" t="n"/>
      <c r="B121" s="154" t="inlineStr">
        <is>
          <t>Refi 3 — Active? (1=Yes, 0=No)</t>
        </is>
      </c>
      <c r="C121" s="156" t="n">
        <v>0</v>
      </c>
      <c r="D121" s="151" t="n"/>
      <c r="E121" s="130" t="n"/>
      <c r="F121" s="130" t="n"/>
      <c r="G121" s="130" t="n"/>
      <c r="H121" s="148" t="inlineStr">
        <is>
          <t>Set to 1 to activate</t>
        </is>
      </c>
    </row>
    <row r="122" ht="15" customHeight="1" s="129">
      <c r="A122" s="151" t="n"/>
      <c r="B122" s="154" t="inlineStr">
        <is>
          <t>Refi 3 — Timing (Year)</t>
        </is>
      </c>
      <c r="C122" s="156" t="n">
        <v>0</v>
      </c>
      <c r="D122" s="151" t="n"/>
      <c r="E122" s="130" t="n"/>
      <c r="F122" s="130" t="n"/>
      <c r="G122" s="130" t="n"/>
      <c r="H122" s="130" t="n"/>
    </row>
    <row r="123" ht="15" customHeight="1" s="129">
      <c r="A123" s="151" t="n"/>
      <c r="B123" s="154" t="inlineStr">
        <is>
          <t>Refi 3 — Appraised Value</t>
        </is>
      </c>
      <c r="C123" s="158" t="n">
        <v>0</v>
      </c>
      <c r="D123" s="151" t="n"/>
      <c r="E123" s="130" t="n"/>
      <c r="F123" s="130" t="n"/>
      <c r="G123" s="130" t="n"/>
      <c r="H123" s="130" t="n"/>
    </row>
    <row r="124" ht="15" customHeight="1" s="129">
      <c r="A124" s="151" t="n"/>
      <c r="B124" s="154" t="inlineStr">
        <is>
          <t>Refi 3 — LTV</t>
        </is>
      </c>
      <c r="C124" s="170" t="n">
        <v>0.65</v>
      </c>
      <c r="D124" s="151" t="n"/>
      <c r="E124" s="130" t="n"/>
      <c r="F124" s="130" t="n"/>
      <c r="G124" s="130" t="n"/>
      <c r="H124" s="130" t="n"/>
    </row>
    <row r="125" ht="15" customHeight="1" s="129">
      <c r="A125" s="151" t="n"/>
      <c r="B125" s="154" t="inlineStr">
        <is>
          <t>Refi 3 — New Loan Amount</t>
        </is>
      </c>
      <c r="C125" s="160">
        <f>C123*C124</f>
        <v/>
      </c>
      <c r="D125" s="151" t="n"/>
      <c r="E125" s="130" t="n"/>
      <c r="F125" s="130" t="n"/>
      <c r="G125" s="130" t="n"/>
      <c r="H125" s="130" t="n"/>
    </row>
    <row r="126" ht="15" customHeight="1" s="129">
      <c r="A126" s="151" t="n"/>
      <c r="B126" s="154" t="inlineStr">
        <is>
          <t>Refi 3 — Interest Rate</t>
        </is>
      </c>
      <c r="C126" s="159" t="n">
        <v>0.055</v>
      </c>
      <c r="D126" s="151" t="n"/>
      <c r="E126" s="130" t="n"/>
      <c r="F126" s="130" t="n"/>
      <c r="G126" s="130" t="n"/>
      <c r="H126" s="130" t="n"/>
    </row>
    <row r="127" ht="15" customHeight="1" s="129">
      <c r="A127" s="151" t="n"/>
      <c r="B127" s="154" t="inlineStr">
        <is>
          <t>Refi 3 — Amortization (Yrs)</t>
        </is>
      </c>
      <c r="C127" s="156" t="n">
        <v>30</v>
      </c>
      <c r="D127" s="151" t="n"/>
      <c r="E127" s="130" t="n"/>
      <c r="F127" s="130" t="n"/>
      <c r="G127" s="130" t="n"/>
      <c r="H127" s="130" t="n"/>
    </row>
    <row r="128" ht="15" customHeight="1" s="129">
      <c r="A128" s="151" t="n"/>
      <c r="B128" s="154" t="inlineStr">
        <is>
          <t>Refi 3 — Loan Term (Yrs)</t>
        </is>
      </c>
      <c r="C128" s="156" t="n">
        <v>10</v>
      </c>
      <c r="D128" s="151" t="n"/>
      <c r="E128" s="130" t="n"/>
      <c r="F128" s="130" t="n"/>
      <c r="G128" s="130" t="n"/>
      <c r="H128" s="130" t="n"/>
    </row>
    <row r="129" ht="15" customHeight="1" s="129">
      <c r="A129" s="151" t="n"/>
      <c r="B129" s="154" t="inlineStr">
        <is>
          <t>Refi 3 — Origination Fee (%)</t>
        </is>
      </c>
      <c r="C129" s="170" t="n">
        <v>0.01</v>
      </c>
      <c r="D129" s="151" t="n"/>
      <c r="E129" s="130" t="n"/>
      <c r="F129" s="130" t="n"/>
      <c r="G129" s="130" t="n"/>
      <c r="H129" s="130" t="n"/>
    </row>
    <row r="130" ht="15" customHeight="1" s="129">
      <c r="A130" s="151" t="n"/>
      <c r="B130" s="154" t="inlineStr">
        <is>
          <t>Refi 3 — Prepayment Penalty (%)</t>
        </is>
      </c>
      <c r="C130" s="170" t="n">
        <v>0</v>
      </c>
      <c r="D130" s="151" t="n"/>
      <c r="E130" s="130" t="n"/>
      <c r="F130" s="130" t="n"/>
      <c r="G130" s="130" t="n"/>
      <c r="H130" s="130" t="n"/>
    </row>
    <row r="131" ht="15" customHeight="1" s="129">
      <c r="A131" s="151" t="n"/>
      <c r="B131" s="154" t="inlineStr">
        <is>
          <t>Refi 3 — Closing Costs ($)</t>
        </is>
      </c>
      <c r="C131" s="158" t="n">
        <v>0</v>
      </c>
      <c r="D131" s="151" t="n"/>
      <c r="E131" s="130" t="n"/>
      <c r="F131" s="130" t="n"/>
      <c r="G131" s="130" t="n"/>
      <c r="H131" s="130" t="n"/>
    </row>
    <row r="132" ht="7.5" customHeight="1" s="129">
      <c r="A132" s="151" t="n"/>
      <c r="B132" s="151" t="n"/>
      <c r="C132" s="151" t="n"/>
      <c r="D132" s="151" t="n"/>
      <c r="E132" s="130" t="n"/>
      <c r="F132" s="130" t="n"/>
      <c r="G132" s="130" t="n"/>
      <c r="H132" s="130" t="n"/>
    </row>
    <row r="133" ht="27.75" customHeight="1" s="129">
      <c r="A133" s="175" t="n"/>
      <c r="B133" s="176" t="inlineStr">
        <is>
          <t xml:space="preserve">  SECTIONS 8–11 — NOT APPLICABLE FOR FOR-SALE / FLIP / LAND DEALS</t>
        </is>
      </c>
    </row>
    <row r="134" ht="52" customHeight="1" s="129">
      <c r="A134" s="175" t="n"/>
      <c r="B134" s="177" t="inlineStr">
        <is>
          <t>Sections 8–11 (Operating Income, Fixed Expenses, Variable Expenses, Below-the-Line Items) are not used in the Sale/Flip model. The Sale Analysis tab handles project cost, carry costs, and net sale proceeds — which is the correct financial model for for_sale strategy deals. For income-property modeling, use the Hold template (stabilized or value_add strategy).</t>
        </is>
      </c>
    </row>
    <row r="135" ht="15" customHeight="1" s="129">
      <c r="A135" s="175" t="n"/>
    </row>
    <row r="136" ht="15" customHeight="1" s="129">
      <c r="A136" s="175" t="n"/>
    </row>
    <row r="137" ht="15" customHeight="1" s="129">
      <c r="A137" s="175" t="n"/>
      <c r="B137" s="178" t="n"/>
      <c r="C137" s="179" t="n"/>
      <c r="D137" s="175" t="n"/>
      <c r="E137" s="175" t="n"/>
      <c r="F137" s="175" t="n"/>
      <c r="G137" s="175" t="n"/>
      <c r="H137" s="175" t="n"/>
    </row>
    <row r="138" ht="15" customHeight="1" s="129">
      <c r="A138" s="175" t="n"/>
      <c r="B138" s="178" t="n"/>
      <c r="C138" s="180" t="n"/>
      <c r="D138" s="175" t="n"/>
      <c r="E138" s="175" t="n"/>
      <c r="F138" s="175" t="n"/>
      <c r="G138" s="175" t="n"/>
      <c r="H138" s="175" t="n"/>
    </row>
    <row r="139" ht="15" customHeight="1" s="129">
      <c r="A139" s="175" t="n"/>
      <c r="B139" s="178" t="n"/>
      <c r="C139" s="180" t="n"/>
      <c r="D139" s="175" t="n"/>
      <c r="E139" s="175" t="n"/>
      <c r="F139" s="175" t="n"/>
      <c r="G139" s="175" t="n"/>
      <c r="H139" s="175" t="n"/>
    </row>
    <row r="140" ht="7.5" customHeight="1" s="129">
      <c r="A140" s="175" t="n"/>
      <c r="B140" s="175" t="n"/>
      <c r="C140" s="175" t="n"/>
      <c r="D140" s="175" t="n"/>
      <c r="E140" s="175" t="n"/>
      <c r="F140" s="175" t="n"/>
      <c r="G140" s="175" t="n"/>
      <c r="H140" s="175" t="n"/>
    </row>
    <row r="141" ht="27.75" customHeight="1" s="129">
      <c r="A141" s="175" t="n"/>
      <c r="B141" s="178" t="n"/>
      <c r="C141" s="181" t="n"/>
      <c r="D141" s="181" t="n"/>
      <c r="E141" s="181" t="n"/>
      <c r="F141" s="181" t="n"/>
      <c r="G141" s="181" t="n"/>
      <c r="H141" s="181" t="n"/>
    </row>
    <row r="142" ht="15" customHeight="1" s="129">
      <c r="A142" s="175" t="n"/>
      <c r="B142" s="178" t="n"/>
      <c r="C142" s="180" t="n"/>
      <c r="D142" s="175" t="n"/>
      <c r="E142" s="175" t="n"/>
      <c r="F142" s="175" t="n"/>
      <c r="G142" s="175" t="n"/>
      <c r="H142" s="175" t="n"/>
    </row>
    <row r="143" ht="15" customHeight="1" s="129">
      <c r="A143" s="175" t="n"/>
      <c r="B143" s="178" t="n"/>
      <c r="C143" s="180" t="n"/>
      <c r="D143" s="175" t="n"/>
      <c r="E143" s="175" t="n"/>
      <c r="F143" s="175" t="n"/>
      <c r="G143" s="175" t="n"/>
      <c r="H143" s="175" t="n"/>
    </row>
    <row r="144" ht="15" customHeight="1" s="129">
      <c r="A144" s="175" t="n"/>
      <c r="B144" s="178" t="n"/>
      <c r="C144" s="180" t="n"/>
      <c r="D144" s="175" t="n"/>
      <c r="E144" s="175" t="n"/>
      <c r="F144" s="175" t="n"/>
      <c r="G144" s="175" t="n"/>
      <c r="H144" s="175" t="n"/>
    </row>
    <row r="145" ht="15" customHeight="1" s="129">
      <c r="A145" s="175" t="n"/>
      <c r="B145" s="178" t="n"/>
      <c r="C145" s="180" t="n"/>
      <c r="D145" s="175" t="n"/>
      <c r="E145" s="175" t="n"/>
      <c r="F145" s="175" t="n"/>
      <c r="G145" s="175" t="n"/>
      <c r="H145" s="175" t="n"/>
    </row>
    <row r="146" ht="15" customHeight="1" s="129">
      <c r="A146" s="175" t="n"/>
      <c r="B146" s="178" t="n"/>
      <c r="C146" s="180" t="n"/>
      <c r="D146" s="175" t="n"/>
      <c r="E146" s="175" t="n"/>
      <c r="F146" s="175" t="n"/>
      <c r="G146" s="175" t="n"/>
      <c r="H146" s="175" t="n"/>
    </row>
    <row r="147" ht="15" customHeight="1" s="129">
      <c r="A147" s="175" t="n"/>
      <c r="B147" s="178" t="n"/>
      <c r="C147" s="180" t="n"/>
      <c r="D147" s="175" t="n"/>
      <c r="E147" s="175" t="n"/>
      <c r="F147" s="175" t="n"/>
      <c r="G147" s="175" t="n"/>
      <c r="H147" s="175" t="n"/>
    </row>
    <row r="148" ht="15" customHeight="1" s="129">
      <c r="A148" s="175" t="n"/>
      <c r="B148" s="178" t="n"/>
      <c r="C148" s="180" t="n"/>
      <c r="D148" s="175" t="n"/>
      <c r="E148" s="175" t="n"/>
      <c r="F148" s="175" t="n"/>
      <c r="G148" s="175" t="n"/>
      <c r="H148" s="175" t="n"/>
    </row>
    <row r="149" ht="15" customHeight="1" s="129">
      <c r="A149" s="175" t="n"/>
      <c r="B149" s="178" t="n"/>
      <c r="C149" s="182" t="n"/>
      <c r="D149" s="175" t="n"/>
      <c r="E149" s="175" t="n"/>
      <c r="F149" s="175" t="n"/>
      <c r="G149" s="175" t="n"/>
      <c r="H149" s="175" t="n"/>
    </row>
    <row r="150" ht="7.5" customHeight="1" s="129">
      <c r="A150" s="175" t="n"/>
      <c r="B150" s="175" t="n"/>
      <c r="C150" s="175" t="n"/>
      <c r="D150" s="175" t="n"/>
      <c r="E150" s="175" t="n"/>
      <c r="F150" s="175" t="n"/>
      <c r="G150" s="175" t="n"/>
      <c r="H150" s="175" t="n"/>
    </row>
    <row r="151" ht="27.75" customHeight="1" s="129">
      <c r="A151" s="175" t="n"/>
      <c r="B151" s="178" t="n"/>
      <c r="C151" s="181" t="n"/>
      <c r="D151" s="181" t="n"/>
      <c r="E151" s="181" t="n"/>
      <c r="F151" s="181" t="n"/>
      <c r="G151" s="181" t="n"/>
      <c r="H151" s="181" t="n"/>
    </row>
    <row r="152" ht="15" customHeight="1" s="129">
      <c r="A152" s="175" t="n"/>
      <c r="B152" s="178" t="n"/>
      <c r="C152" s="179" t="n"/>
      <c r="D152" s="175" t="n"/>
      <c r="E152" s="175" t="n"/>
      <c r="F152" s="175" t="n"/>
      <c r="G152" s="175" t="n"/>
      <c r="H152" s="175" t="n"/>
    </row>
    <row r="153" ht="15" customHeight="1" s="129">
      <c r="A153" s="175" t="n"/>
      <c r="B153" s="178" t="n"/>
      <c r="C153" s="180" t="n"/>
      <c r="D153" s="175" t="n"/>
      <c r="E153" s="175" t="n"/>
      <c r="F153" s="175" t="n"/>
      <c r="G153" s="175" t="n"/>
      <c r="H153" s="175" t="n"/>
    </row>
    <row r="154" ht="15" customHeight="1" s="129">
      <c r="A154" s="175" t="n"/>
      <c r="B154" s="178" t="n"/>
      <c r="C154" s="180" t="n"/>
      <c r="D154" s="175" t="n"/>
      <c r="E154" s="175" t="n"/>
      <c r="F154" s="175" t="n"/>
      <c r="G154" s="175" t="n"/>
      <c r="H154" s="175" t="n"/>
    </row>
    <row r="155" ht="15" customHeight="1" s="129">
      <c r="A155" s="175" t="n"/>
      <c r="B155" s="178" t="n"/>
      <c r="C155" s="180" t="n"/>
      <c r="D155" s="175" t="n"/>
      <c r="E155" s="175" t="n"/>
      <c r="F155" s="175" t="n"/>
      <c r="G155" s="175" t="n"/>
      <c r="H155" s="175" t="n"/>
    </row>
    <row r="156" ht="15" customHeight="1" s="129">
      <c r="A156" s="175" t="n"/>
      <c r="B156" s="178" t="n"/>
      <c r="C156" s="180" t="n"/>
      <c r="D156" s="175" t="n"/>
      <c r="E156" s="175" t="n"/>
      <c r="F156" s="175" t="n"/>
      <c r="G156" s="175" t="n"/>
      <c r="H156" s="175" t="n"/>
    </row>
    <row r="157" ht="15" customHeight="1" s="129">
      <c r="A157" s="175" t="n"/>
      <c r="B157" s="178" t="n"/>
      <c r="C157" s="180" t="n"/>
      <c r="D157" s="175" t="n"/>
      <c r="E157" s="175" t="n"/>
      <c r="F157" s="175" t="n"/>
      <c r="G157" s="175" t="n"/>
      <c r="H157" s="175" t="n"/>
    </row>
    <row r="158" ht="15" customHeight="1" s="129">
      <c r="A158" s="175" t="n"/>
      <c r="B158" s="178" t="n"/>
      <c r="C158" s="180" t="n"/>
      <c r="D158" s="175" t="n"/>
      <c r="E158" s="175" t="n"/>
      <c r="F158" s="175" t="n"/>
      <c r="G158" s="175" t="n"/>
      <c r="H158" s="175" t="n"/>
    </row>
    <row r="159" ht="15" customHeight="1" s="129">
      <c r="A159" s="175" t="n"/>
      <c r="B159" s="178" t="n"/>
      <c r="C159" s="180" t="n"/>
      <c r="D159" s="175" t="n"/>
      <c r="E159" s="175" t="n"/>
      <c r="F159" s="175" t="n"/>
      <c r="G159" s="175" t="n"/>
      <c r="H159" s="175" t="n"/>
    </row>
    <row r="160" ht="15" customHeight="1" s="129">
      <c r="A160" s="175" t="n"/>
      <c r="B160" s="178" t="n"/>
      <c r="C160" s="180" t="n"/>
      <c r="D160" s="175" t="n"/>
      <c r="E160" s="175" t="n"/>
      <c r="F160" s="175" t="n"/>
      <c r="G160" s="175" t="n"/>
      <c r="H160" s="175" t="n"/>
    </row>
    <row r="161" ht="15" customHeight="1" s="129">
      <c r="A161" s="175" t="n"/>
      <c r="B161" s="178" t="n"/>
      <c r="C161" s="180" t="n"/>
      <c r="D161" s="175" t="n"/>
      <c r="E161" s="175" t="n"/>
      <c r="F161" s="175" t="n"/>
      <c r="G161" s="175" t="n"/>
      <c r="H161" s="175" t="n"/>
    </row>
    <row r="162" ht="15" customHeight="1" s="129">
      <c r="A162" s="175" t="n"/>
      <c r="B162" s="178" t="n"/>
      <c r="C162" s="180" t="n"/>
      <c r="D162" s="175" t="n"/>
      <c r="E162" s="175" t="n"/>
      <c r="F162" s="175" t="n"/>
      <c r="G162" s="175" t="n"/>
      <c r="H162" s="175" t="n"/>
    </row>
    <row r="163" ht="15" customHeight="1" s="129">
      <c r="A163" s="175" t="n"/>
      <c r="B163" s="178" t="n"/>
      <c r="C163" s="182" t="n"/>
      <c r="D163" s="175" t="n"/>
      <c r="E163" s="175" t="n"/>
      <c r="F163" s="175" t="n"/>
      <c r="G163" s="175" t="n"/>
      <c r="H163" s="175" t="n"/>
    </row>
    <row r="164" ht="7.5" customHeight="1" s="129">
      <c r="A164" s="175" t="n"/>
      <c r="B164" s="175" t="n"/>
      <c r="C164" s="175" t="n"/>
      <c r="D164" s="175" t="n"/>
      <c r="E164" s="175" t="n"/>
      <c r="F164" s="175" t="n"/>
      <c r="G164" s="175" t="n"/>
      <c r="H164" s="175" t="n"/>
    </row>
    <row r="165" ht="27.75" customHeight="1" s="129">
      <c r="A165" s="175" t="n"/>
      <c r="B165" s="178" t="n"/>
      <c r="C165" s="181" t="n"/>
      <c r="D165" s="181" t="n"/>
      <c r="E165" s="181" t="n"/>
      <c r="F165" s="181" t="n"/>
      <c r="G165" s="181" t="n"/>
      <c r="H165" s="181" t="n"/>
    </row>
    <row r="166" ht="15" customHeight="1" s="129">
      <c r="A166" s="175" t="n"/>
      <c r="B166" s="178" t="n"/>
      <c r="C166" s="180" t="n"/>
      <c r="D166" s="175" t="n"/>
      <c r="E166" s="175" t="n"/>
      <c r="F166" s="175" t="n"/>
      <c r="G166" s="175" t="n"/>
      <c r="H166" s="175" t="n"/>
    </row>
    <row r="167" ht="15" customHeight="1" s="129">
      <c r="A167" s="175" t="n"/>
      <c r="B167" s="178" t="n"/>
      <c r="C167" s="180" t="n"/>
      <c r="D167" s="175" t="n"/>
      <c r="E167" s="175" t="n"/>
      <c r="F167" s="175" t="n"/>
      <c r="G167" s="175" t="n"/>
      <c r="H167" s="175" t="n"/>
    </row>
    <row r="168" ht="15" customHeight="1" s="129">
      <c r="A168" s="175" t="n"/>
      <c r="B168" s="178" t="n"/>
      <c r="C168" s="180" t="n"/>
      <c r="D168" s="175" t="n"/>
      <c r="E168" s="175" t="n"/>
      <c r="F168" s="175" t="n"/>
      <c r="G168" s="175" t="n"/>
      <c r="H168" s="175" t="n"/>
    </row>
    <row r="169" ht="7.5" customHeight="1" s="129">
      <c r="A169" s="175" t="n"/>
      <c r="B169" s="175" t="n"/>
      <c r="C169" s="175" t="n"/>
      <c r="D169" s="175" t="n"/>
      <c r="E169" s="175" t="n"/>
      <c r="F169" s="175" t="n"/>
      <c r="G169" s="175" t="n"/>
      <c r="H169" s="175" t="n"/>
    </row>
    <row r="170" ht="27.75" customHeight="1" s="129">
      <c r="A170" s="152" t="n"/>
      <c r="B170" s="153" t="inlineStr">
        <is>
          <t xml:space="preserve">  12. EXIT ASSUMPTIONS</t>
        </is>
      </c>
    </row>
    <row r="171" ht="15" customHeight="1" s="129">
      <c r="A171" s="151" t="n"/>
      <c r="B171" s="154" t="inlineStr">
        <is>
          <t>Exit Cap Rate</t>
        </is>
      </c>
      <c r="C171" s="159" t="n">
        <v>0.07000000000000001</v>
      </c>
      <c r="D171" s="151" t="n"/>
      <c r="E171" s="130" t="n"/>
      <c r="F171" s="130" t="n"/>
      <c r="G171" s="130" t="n"/>
      <c r="H171" s="130" t="n"/>
    </row>
    <row r="172" ht="15" customHeight="1" s="129">
      <c r="A172" s="151" t="n"/>
      <c r="B172" s="154" t="inlineStr">
        <is>
          <t>Disposition Costs (% of Sale)</t>
        </is>
      </c>
      <c r="C172" s="170" t="n">
        <v>0.02</v>
      </c>
      <c r="D172" s="151" t="n"/>
      <c r="E172" s="130" t="n"/>
      <c r="F172" s="130" t="n"/>
      <c r="G172" s="130" t="n"/>
      <c r="H172" s="130" t="n"/>
    </row>
    <row r="173" ht="7.5" customHeight="1" s="129">
      <c r="A173" s="151" t="n"/>
      <c r="B173" s="151" t="n"/>
      <c r="C173" s="151" t="n"/>
      <c r="D173" s="151" t="n"/>
      <c r="E173" s="130" t="n"/>
      <c r="F173" s="130" t="n"/>
      <c r="G173" s="130" t="n"/>
      <c r="H173" s="130" t="n"/>
    </row>
    <row r="174" ht="27.75" customHeight="1" s="129">
      <c r="A174" s="152" t="n"/>
      <c r="B174" s="153" t="inlineStr">
        <is>
          <t xml:space="preserve">  13. WATERFALL / PARTNERSHIP STRUCTURE</t>
        </is>
      </c>
    </row>
    <row r="175" ht="15" customHeight="1" s="129">
      <c r="A175" s="151" t="n"/>
      <c r="B175" s="154" t="inlineStr">
        <is>
          <t>GP Equity Contribution (%)</t>
        </is>
      </c>
      <c r="C175" s="170" t="n">
        <v>0</v>
      </c>
      <c r="D175" s="151" t="n"/>
      <c r="E175" s="130" t="n"/>
      <c r="F175" s="130" t="n"/>
      <c r="G175" s="130" t="n"/>
      <c r="H175" s="148" t="inlineStr">
        <is>
          <t>0% = no GP co-invest</t>
        </is>
      </c>
    </row>
    <row r="176" ht="15" customHeight="1" s="129">
      <c r="A176" s="151" t="n"/>
      <c r="B176" s="154" t="inlineStr">
        <is>
          <t>LP Equity Contribution (%)</t>
        </is>
      </c>
      <c r="C176" s="183">
        <f>1-C175</f>
        <v/>
      </c>
      <c r="D176" s="151" t="n"/>
      <c r="E176" s="130" t="n"/>
      <c r="F176" s="130" t="n"/>
      <c r="G176" s="130" t="n"/>
      <c r="H176" s="130" t="n"/>
    </row>
    <row r="177" ht="15" customHeight="1" s="129">
      <c r="A177" s="151" t="n"/>
      <c r="B177" s="154" t="inlineStr">
        <is>
          <t>Waterfall Type (1=Full, 0=Simple)</t>
        </is>
      </c>
      <c r="C177" s="156" t="n">
        <v>1</v>
      </c>
      <c r="D177" s="151" t="n"/>
      <c r="E177" s="130" t="n"/>
      <c r="F177" s="130" t="n"/>
      <c r="G177" s="130" t="n"/>
      <c r="H177" s="148" t="inlineStr">
        <is>
          <t>1 = tiered promote</t>
        </is>
      </c>
    </row>
    <row r="178" ht="15" customHeight="1" s="129">
      <c r="A178" s="151" t="n"/>
      <c r="B178" s="154" t="inlineStr">
        <is>
          <t>Simple Split — LP %</t>
        </is>
      </c>
      <c r="C178" s="170" t="n">
        <v>0.8</v>
      </c>
      <c r="D178" s="151" t="n"/>
      <c r="E178" s="130" t="n"/>
      <c r="F178" s="130" t="n"/>
      <c r="G178" s="130" t="n"/>
      <c r="H178" s="148" t="inlineStr">
        <is>
          <t>Only used if Type = 0</t>
        </is>
      </c>
    </row>
    <row r="179" ht="15" customHeight="1" s="129">
      <c r="A179" s="151" t="n"/>
      <c r="B179" s="154" t="inlineStr">
        <is>
          <t>Simple Split — GP %</t>
        </is>
      </c>
      <c r="C179" s="170" t="n">
        <v>0.2</v>
      </c>
      <c r="D179" s="151" t="n"/>
      <c r="E179" s="130" t="n"/>
      <c r="F179" s="130" t="n"/>
      <c r="G179" s="130" t="n"/>
      <c r="H179" s="130" t="n"/>
    </row>
    <row r="180" ht="7.5" customHeight="1" s="129">
      <c r="A180" s="151" t="n"/>
      <c r="B180" s="151" t="n"/>
      <c r="C180" s="151" t="n"/>
      <c r="D180" s="151" t="n"/>
      <c r="E180" s="130" t="n"/>
      <c r="F180" s="130" t="n"/>
      <c r="G180" s="130" t="n"/>
      <c r="H180" s="130" t="n"/>
    </row>
    <row r="181" ht="21.75" customHeight="1" s="129">
      <c r="A181" s="151" t="n"/>
      <c r="B181" s="165" t="inlineStr">
        <is>
          <t xml:space="preserve">  FULL WATERFALL — TIER STRUCTURE</t>
        </is>
      </c>
      <c r="D181" s="151" t="n"/>
      <c r="E181" s="130" t="n"/>
      <c r="F181" s="130" t="n"/>
      <c r="G181" s="130" t="n"/>
      <c r="H181" s="130" t="n"/>
    </row>
    <row r="182" ht="15" customHeight="1" s="129">
      <c r="A182" s="151" t="n"/>
      <c r="B182" s="154" t="inlineStr">
        <is>
          <t xml:space="preserve">  Tier 1: Preferred Return (Hurdle)</t>
        </is>
      </c>
      <c r="C182" s="170" t="n">
        <v>0.08</v>
      </c>
      <c r="D182" s="151" t="n"/>
      <c r="E182" s="130" t="n"/>
      <c r="F182" s="130" t="n"/>
      <c r="G182" s="130" t="n"/>
      <c r="H182" s="148" t="inlineStr">
        <is>
          <t>LP 100% / GP 0%</t>
        </is>
      </c>
    </row>
    <row r="183" ht="15" customHeight="1" s="129">
      <c r="A183" s="151" t="n"/>
      <c r="B183" s="154" t="inlineStr">
        <is>
          <t xml:space="preserve">  Tier 2: IRR Hurdle</t>
        </is>
      </c>
      <c r="C183" s="170" t="n">
        <v>0.12</v>
      </c>
      <c r="D183" s="151" t="n"/>
      <c r="E183" s="130" t="n"/>
      <c r="F183" s="130" t="n"/>
      <c r="G183" s="130" t="n"/>
      <c r="H183" s="130" t="n"/>
    </row>
    <row r="184" ht="15" customHeight="1" s="129">
      <c r="A184" s="151" t="n"/>
      <c r="B184" s="154" t="inlineStr">
        <is>
          <t xml:space="preserve">  Tier 2: LP Share</t>
        </is>
      </c>
      <c r="C184" s="170" t="n">
        <v>0.7</v>
      </c>
      <c r="D184" s="151" t="n"/>
      <c r="E184" s="130" t="n"/>
      <c r="F184" s="130" t="n"/>
      <c r="G184" s="130" t="n"/>
      <c r="H184" s="148" t="inlineStr">
        <is>
          <t>GP gets 30%</t>
        </is>
      </c>
    </row>
    <row r="185" ht="15" customHeight="1" s="129">
      <c r="A185" s="151" t="n"/>
      <c r="B185" s="154" t="inlineStr">
        <is>
          <t xml:space="preserve">  Tier 3: IRR Hurdle</t>
        </is>
      </c>
      <c r="C185" s="170" t="n">
        <v>0.15</v>
      </c>
      <c r="D185" s="151" t="n"/>
      <c r="E185" s="130" t="n"/>
      <c r="F185" s="130" t="n"/>
      <c r="G185" s="130" t="n"/>
      <c r="H185" s="130" t="n"/>
    </row>
    <row r="186" ht="15" customHeight="1" s="129">
      <c r="A186" s="151" t="n"/>
      <c r="B186" s="154" t="inlineStr">
        <is>
          <t xml:space="preserve">  Tier 3: LP Share</t>
        </is>
      </c>
      <c r="C186" s="170" t="n">
        <v>0.6</v>
      </c>
      <c r="D186" s="151" t="n"/>
      <c r="E186" s="130" t="n"/>
      <c r="F186" s="130" t="n"/>
      <c r="G186" s="130" t="n"/>
      <c r="H186" s="148" t="inlineStr">
        <is>
          <t>GP gets 40%</t>
        </is>
      </c>
    </row>
    <row r="187" ht="15" customHeight="1" s="129">
      <c r="A187" s="151" t="n"/>
      <c r="B187" s="154" t="inlineStr">
        <is>
          <t xml:space="preserve">  Tier 4: IRR Hurdle</t>
        </is>
      </c>
      <c r="C187" s="170" t="n">
        <v>0.18</v>
      </c>
      <c r="D187" s="151" t="n"/>
      <c r="E187" s="130" t="n"/>
      <c r="F187" s="130" t="n"/>
      <c r="G187" s="130" t="n"/>
      <c r="H187" s="130" t="n"/>
    </row>
    <row r="188" ht="15" customHeight="1" s="129">
      <c r="A188" s="151" t="n"/>
      <c r="B188" s="154" t="inlineStr">
        <is>
          <t xml:space="preserve">  Tier 4: LP Share</t>
        </is>
      </c>
      <c r="C188" s="170" t="n">
        <v>0.3</v>
      </c>
      <c r="D188" s="151" t="n"/>
      <c r="E188" s="130" t="n"/>
      <c r="F188" s="130" t="n"/>
      <c r="G188" s="130" t="n"/>
      <c r="H188" s="148" t="inlineStr">
        <is>
          <t>GP gets 70%</t>
        </is>
      </c>
    </row>
    <row r="189" ht="15" customHeight="1" s="129">
      <c r="A189" s="151" t="n"/>
      <c r="B189" s="154" t="inlineStr">
        <is>
          <t xml:space="preserve">  Tier 5: IRR Hurdle</t>
        </is>
      </c>
      <c r="C189" s="170" t="n">
        <v>0.24</v>
      </c>
      <c r="D189" s="151" t="n"/>
      <c r="E189" s="130" t="n"/>
      <c r="F189" s="130" t="n"/>
      <c r="G189" s="130" t="n"/>
      <c r="H189" s="130" t="n"/>
    </row>
    <row r="190" ht="15" customHeight="1" s="129">
      <c r="A190" s="151" t="n"/>
      <c r="B190" s="154" t="inlineStr">
        <is>
          <t xml:space="preserve">  Tier 5: LP Share</t>
        </is>
      </c>
      <c r="C190" s="170" t="n">
        <v>0.2</v>
      </c>
      <c r="D190" s="151" t="n"/>
      <c r="E190" s="130" t="n"/>
      <c r="F190" s="130" t="n"/>
      <c r="G190" s="130" t="n"/>
      <c r="H190" s="148" t="inlineStr">
        <is>
          <t>GP gets 80%</t>
        </is>
      </c>
    </row>
    <row r="191" ht="15" customHeight="1" s="129">
      <c r="A191" s="151" t="n"/>
      <c r="B191" s="154" t="inlineStr">
        <is>
          <t xml:space="preserve">  Tier 6 (above Tier 5): LP Share</t>
        </is>
      </c>
      <c r="C191" s="170" t="n">
        <v>0.1</v>
      </c>
      <c r="D191" s="151" t="n"/>
      <c r="E191" s="130" t="n"/>
      <c r="F191" s="130" t="n"/>
      <c r="G191" s="130" t="n"/>
      <c r="H191" s="148" t="inlineStr">
        <is>
          <t>GP gets 90%</t>
        </is>
      </c>
    </row>
    <row r="192" ht="7.5" customHeight="1" s="129">
      <c r="A192" s="151" t="n"/>
      <c r="B192" s="151" t="n"/>
      <c r="C192" s="151" t="n"/>
      <c r="D192" s="151" t="n"/>
      <c r="E192" s="130" t="n"/>
      <c r="F192" s="130" t="n"/>
      <c r="G192" s="130" t="n"/>
      <c r="H192" s="130" t="n"/>
    </row>
    <row r="193" ht="27.75" customHeight="1" s="129">
      <c r="A193" s="152" t="n"/>
      <c r="B193" s="153" t="inlineStr">
        <is>
          <t xml:space="preserve">  14. EQUITY MULTIPLE HURDLES (if EM method used)</t>
        </is>
      </c>
    </row>
    <row r="194" ht="15" customHeight="1" s="129">
      <c r="A194" s="151" t="n"/>
      <c r="B194" s="154" t="inlineStr">
        <is>
          <t xml:space="preserve">  Tier 1 EM Hurdle</t>
        </is>
      </c>
      <c r="C194" s="184" t="n">
        <v>2</v>
      </c>
      <c r="D194" s="151" t="n"/>
      <c r="E194" s="130" t="n"/>
      <c r="F194" s="130" t="n"/>
      <c r="G194" s="130" t="n"/>
      <c r="H194" s="130" t="n"/>
    </row>
    <row r="195" ht="15" customHeight="1" s="129">
      <c r="A195" s="151" t="n"/>
      <c r="B195" s="154" t="inlineStr">
        <is>
          <t xml:space="preserve">  Tier 2 EM Hurdle</t>
        </is>
      </c>
      <c r="C195" s="184" t="n">
        <v>2.5</v>
      </c>
      <c r="D195" s="151" t="n"/>
      <c r="E195" s="130" t="n"/>
      <c r="F195" s="130" t="n"/>
      <c r="G195" s="130" t="n"/>
      <c r="H195" s="130" t="n"/>
    </row>
    <row r="196" ht="15" customHeight="1" s="129">
      <c r="A196" s="151" t="n"/>
      <c r="B196" s="154" t="inlineStr">
        <is>
          <t xml:space="preserve">  Tier 3 EM Hurdle</t>
        </is>
      </c>
      <c r="C196" s="184" t="n">
        <v>3</v>
      </c>
      <c r="D196" s="151" t="n"/>
      <c r="E196" s="130" t="n"/>
      <c r="F196" s="130" t="n"/>
      <c r="G196" s="130" t="n"/>
      <c r="H196" s="130" t="n"/>
    </row>
    <row r="197" ht="7.5" customHeight="1" s="129">
      <c r="A197" s="151" t="n"/>
      <c r="B197" s="151" t="n"/>
      <c r="C197" s="151" t="n"/>
      <c r="D197" s="151" t="n"/>
      <c r="E197" s="130" t="n"/>
      <c r="F197" s="130" t="n"/>
      <c r="G197" s="130" t="n"/>
      <c r="H197" s="130" t="n"/>
    </row>
    <row r="198" ht="27.75" customHeight="1" s="129">
      <c r="A198" s="152" t="n"/>
      <c r="B198" s="153" t="inlineStr">
        <is>
          <t xml:space="preserve">  15. SENSITIVITY ANALYSIS RANGES</t>
        </is>
      </c>
    </row>
    <row r="199" ht="15" customHeight="1" s="129">
      <c r="A199" s="151" t="n"/>
      <c r="B199" s="148" t="inlineStr">
        <is>
          <t>Define the axes of the sensitivity matrix.</t>
        </is>
      </c>
      <c r="C199" s="151" t="n"/>
      <c r="D199" s="151" t="n"/>
      <c r="E199" s="130" t="n"/>
      <c r="F199" s="130" t="n"/>
      <c r="G199" s="130" t="n"/>
      <c r="H199" s="130" t="n"/>
    </row>
    <row r="200" ht="15" customHeight="1" s="129">
      <c r="A200" s="151" t="n"/>
      <c r="B200" s="154" t="inlineStr">
        <is>
          <t>Rent Growth — Low</t>
        </is>
      </c>
      <c r="C200" s="170" t="n">
        <v>0</v>
      </c>
      <c r="D200" s="151" t="n"/>
      <c r="E200" s="130" t="n"/>
      <c r="F200" s="130" t="n"/>
      <c r="G200" s="130" t="n"/>
      <c r="H200" s="130" t="n"/>
    </row>
    <row r="201" ht="15" customHeight="1" s="129">
      <c r="A201" s="151" t="n"/>
      <c r="B201" s="154" t="inlineStr">
        <is>
          <t>Rent Growth — High</t>
        </is>
      </c>
      <c r="C201" s="170" t="n">
        <v>0.05</v>
      </c>
      <c r="D201" s="151" t="n"/>
      <c r="E201" s="130" t="n"/>
      <c r="F201" s="130" t="n"/>
      <c r="G201" s="130" t="n"/>
      <c r="H201" s="130" t="n"/>
    </row>
    <row r="202" ht="15" customHeight="1" s="129">
      <c r="A202" s="151" t="n"/>
      <c r="B202" s="154" t="inlineStr">
        <is>
          <t>Rent Growth — Step</t>
        </is>
      </c>
      <c r="C202" s="170" t="n">
        <v>0.01</v>
      </c>
      <c r="D202" s="151" t="n"/>
      <c r="E202" s="130" t="n"/>
      <c r="F202" s="130" t="n"/>
      <c r="G202" s="130" t="n"/>
      <c r="H202" s="130" t="n"/>
    </row>
    <row r="203" ht="15" customHeight="1" s="129">
      <c r="A203" s="151" t="n"/>
      <c r="B203" s="154" t="inlineStr">
        <is>
          <t>Exit Cap — Low</t>
        </is>
      </c>
      <c r="C203" s="159" t="n">
        <v>0.055</v>
      </c>
      <c r="D203" s="151" t="n"/>
      <c r="E203" s="130" t="n"/>
      <c r="F203" s="130" t="n"/>
      <c r="G203" s="130" t="n"/>
      <c r="H203" s="130" t="n"/>
    </row>
    <row r="204" ht="15" customHeight="1" s="129">
      <c r="A204" s="151" t="n"/>
      <c r="B204" s="154" t="inlineStr">
        <is>
          <t>Exit Cap — High</t>
        </is>
      </c>
      <c r="C204" s="159" t="n">
        <v>0.08500000000000001</v>
      </c>
      <c r="D204" s="151" t="n"/>
      <c r="E204" s="130" t="n"/>
      <c r="F204" s="130" t="n"/>
      <c r="G204" s="130" t="n"/>
      <c r="H204" s="130" t="n"/>
    </row>
    <row r="205" ht="15" customHeight="1" s="129">
      <c r="A205" s="151" t="n"/>
      <c r="B205" s="154" t="inlineStr">
        <is>
          <t>Exit Cap — Step</t>
        </is>
      </c>
      <c r="C205" s="159" t="n">
        <v>0.005</v>
      </c>
      <c r="D205" s="151" t="n"/>
      <c r="E205" s="130" t="n"/>
      <c r="F205" s="130" t="n"/>
      <c r="G205" s="130" t="n"/>
      <c r="H205" s="130" t="n"/>
    </row>
  </sheetData>
  <mergeCells count="21">
    <mergeCell ref="B47:C47"/>
    <mergeCell ref="B62:C62"/>
    <mergeCell ref="B81:C81"/>
    <mergeCell ref="B133:H133"/>
    <mergeCell ref="A1:H1"/>
    <mergeCell ref="B198:H198"/>
    <mergeCell ref="B94:H94"/>
    <mergeCell ref="B4:H4"/>
    <mergeCell ref="B16:H16"/>
    <mergeCell ref="B181:C181"/>
    <mergeCell ref="B25:H25"/>
    <mergeCell ref="B53:C53"/>
    <mergeCell ref="B193:H193"/>
    <mergeCell ref="A2:H2"/>
    <mergeCell ref="B28:C28"/>
    <mergeCell ref="B134:H136"/>
    <mergeCell ref="B120:H120"/>
    <mergeCell ref="B107:H107"/>
    <mergeCell ref="B33:C33"/>
    <mergeCell ref="B69:H69"/>
    <mergeCell ref="B174:H17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3E6844"/>
    <outlinePr summaryBelow="1" summaryRight="1"/>
    <pageSetUpPr fitToPage="0"/>
  </sheetPr>
  <dimension ref="A1:C6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2" customWidth="1" style="128" min="1" max="1"/>
    <col width="20" customWidth="1" style="128" min="2" max="2"/>
    <col width="18" customWidth="1" style="128" min="3" max="3"/>
  </cols>
  <sheetData>
    <row r="1" ht="19.5" customHeight="1" s="129">
      <c r="A1" s="185" t="inlineStr">
        <is>
          <t>SOURCES &amp; USES</t>
        </is>
      </c>
    </row>
    <row r="2" ht="15" customHeight="1" s="129">
      <c r="A2" s="148" t="inlineStr">
        <is>
          <t>All values reference Assumptions tab. No hardcoded numbers.</t>
        </is>
      </c>
    </row>
    <row r="3" ht="15" customHeight="1" s="129">
      <c r="A3" s="130" t="n"/>
      <c r="B3" s="130" t="n"/>
      <c r="C3" s="130" t="n"/>
    </row>
    <row r="4" ht="15" customHeight="1" s="129">
      <c r="A4" s="186" t="inlineStr">
        <is>
          <t>Line Item</t>
        </is>
      </c>
      <c r="B4" s="186" t="inlineStr">
        <is>
          <t>Amount</t>
        </is>
      </c>
      <c r="C4" s="186" t="inlineStr">
        <is>
          <t>% of Total</t>
        </is>
      </c>
    </row>
    <row r="5" ht="15" customHeight="1" s="129">
      <c r="A5" s="187" t="inlineStr">
        <is>
          <t>Acquisition Costs</t>
        </is>
      </c>
      <c r="B5" s="188" t="n"/>
      <c r="C5" s="188" t="n"/>
    </row>
    <row r="6" ht="15" customHeight="1" s="129">
      <c r="A6" s="135" t="inlineStr">
        <is>
          <t xml:space="preserve">  Purchase Price</t>
        </is>
      </c>
      <c r="B6" s="189">
        <f>Assumptions!C17</f>
        <v/>
      </c>
      <c r="C6" s="183">
        <f>IF(B51&lt;&gt;0,B6/B51,0)</f>
        <v/>
      </c>
    </row>
    <row r="7" ht="15" customHeight="1" s="129">
      <c r="A7" s="135" t="inlineStr">
        <is>
          <t xml:space="preserve">  Transfer Tax</t>
        </is>
      </c>
      <c r="B7" s="189">
        <f>Assumptions!C19</f>
        <v/>
      </c>
      <c r="C7" s="183">
        <f>IF(B51&lt;&gt;0,B7/B51,0)</f>
        <v/>
      </c>
    </row>
    <row r="8" ht="15" customHeight="1" s="129">
      <c r="A8" s="135" t="inlineStr">
        <is>
          <t xml:space="preserve">  Tenant Buyout</t>
        </is>
      </c>
      <c r="B8" s="189">
        <f>Assumptions!C31</f>
        <v/>
      </c>
      <c r="C8" s="183">
        <f>IF(B51&lt;&gt;0,B8/B51,0)</f>
        <v/>
      </c>
    </row>
    <row r="9" ht="15" customHeight="1" s="129">
      <c r="A9" s="190" t="inlineStr">
        <is>
          <t xml:space="preserve">  Subtotal — Acquisition Costs</t>
        </is>
      </c>
      <c r="B9" s="162">
        <f>SUM(B6:B8)</f>
        <v/>
      </c>
      <c r="C9" s="191">
        <f>IF(B51&lt;&gt;0,B9/B51,0)</f>
        <v/>
      </c>
    </row>
    <row r="10" ht="15" customHeight="1" s="129">
      <c r="A10" s="130" t="n"/>
      <c r="B10" s="130" t="n"/>
      <c r="C10" s="130" t="n"/>
    </row>
    <row r="11" ht="15" customHeight="1" s="129">
      <c r="A11" s="192" t="inlineStr">
        <is>
          <t>Professional &amp; Due Diligence</t>
        </is>
      </c>
      <c r="B11" s="188" t="n"/>
      <c r="C11" s="188" t="n"/>
    </row>
    <row r="12" ht="15" customHeight="1" s="129">
      <c r="A12" s="135" t="inlineStr">
        <is>
          <t xml:space="preserve">  Legal — Closing &amp; Borrowing</t>
        </is>
      </c>
      <c r="B12" s="189">
        <f>Assumptions!C34</f>
        <v/>
      </c>
      <c r="C12" s="183">
        <f>IF(B51&lt;&gt;0,B12/B51,0)</f>
        <v/>
      </c>
    </row>
    <row r="13" ht="15" customHeight="1" s="129">
      <c r="A13" s="135" t="inlineStr">
        <is>
          <t xml:space="preserve">  Title Insurance</t>
        </is>
      </c>
      <c r="B13" s="189">
        <f>Assumptions!C35</f>
        <v/>
      </c>
      <c r="C13" s="183">
        <f>IF(B51&lt;&gt;0,B13/B51,0)</f>
        <v/>
      </c>
    </row>
    <row r="14" ht="15" customHeight="1" s="129">
      <c r="A14" s="135" t="inlineStr">
        <is>
          <t xml:space="preserve">  Legal — Bank</t>
        </is>
      </c>
      <c r="B14" s="189">
        <f>Assumptions!C36</f>
        <v/>
      </c>
      <c r="C14" s="183">
        <f>IF(B51&lt;&gt;0,B14/B51,0)</f>
        <v/>
      </c>
    </row>
    <row r="15" ht="15" customHeight="1" s="129">
      <c r="A15" s="135" t="inlineStr">
        <is>
          <t xml:space="preserve">  Appraisal</t>
        </is>
      </c>
      <c r="B15" s="189">
        <f>Assumptions!C37</f>
        <v/>
      </c>
      <c r="C15" s="183">
        <f>IF(B51&lt;&gt;0,B15/B51,0)</f>
        <v/>
      </c>
    </row>
    <row r="16" ht="15" customHeight="1" s="129">
      <c r="A16" s="135" t="inlineStr">
        <is>
          <t xml:space="preserve">  Environmental (Phase I/II)</t>
        </is>
      </c>
      <c r="B16" s="189">
        <f>Assumptions!C38</f>
        <v/>
      </c>
      <c r="C16" s="183">
        <f>IF(B51&lt;&gt;0,B16/B51,0)</f>
        <v/>
      </c>
    </row>
    <row r="17" ht="15" customHeight="1" s="129">
      <c r="A17" s="135" t="inlineStr">
        <is>
          <t xml:space="preserve">  Architect</t>
        </is>
      </c>
      <c r="B17" s="189">
        <f>Assumptions!C39</f>
        <v/>
      </c>
      <c r="C17" s="183">
        <f>IF(B51&lt;&gt;0,B17/B51,0)</f>
        <v/>
      </c>
    </row>
    <row r="18" ht="15" customHeight="1" s="129">
      <c r="A18" s="135" t="inlineStr">
        <is>
          <t xml:space="preserve">  Structural Engineer</t>
        </is>
      </c>
      <c r="B18" s="189">
        <f>Assumptions!C40</f>
        <v/>
      </c>
      <c r="C18" s="183">
        <f>IF(B51&lt;&gt;0,B18/B51,0)</f>
        <v/>
      </c>
    </row>
    <row r="19" ht="15" customHeight="1" s="129">
      <c r="A19" s="135" t="inlineStr">
        <is>
          <t xml:space="preserve">  GeoTech</t>
        </is>
      </c>
      <c r="B19" s="189">
        <f>Assumptions!C41</f>
        <v/>
      </c>
      <c r="C19" s="183">
        <f>IF(B51&lt;&gt;0,B19/B51,0)</f>
        <v/>
      </c>
    </row>
    <row r="20" ht="15" customHeight="1" s="129">
      <c r="A20" s="135" t="inlineStr">
        <is>
          <t xml:space="preserve">  Surveyor</t>
        </is>
      </c>
      <c r="B20" s="189">
        <f>Assumptions!C42</f>
        <v/>
      </c>
      <c r="C20" s="183">
        <f>IF(B51&lt;&gt;0,B20/B51,0)</f>
        <v/>
      </c>
    </row>
    <row r="21" ht="15" customHeight="1" s="129">
      <c r="A21" s="135" t="inlineStr">
        <is>
          <t xml:space="preserve">  Civil Engineer</t>
        </is>
      </c>
      <c r="B21" s="189">
        <f>Assumptions!C43</f>
        <v/>
      </c>
      <c r="C21" s="183">
        <f>IF(B51&lt;&gt;0,B21/B51,0)</f>
        <v/>
      </c>
    </row>
    <row r="22" ht="15" customHeight="1" s="129">
      <c r="A22" s="135" t="inlineStr">
        <is>
          <t xml:space="preserve">  MEPs</t>
        </is>
      </c>
      <c r="B22" s="189">
        <f>Assumptions!C44</f>
        <v/>
      </c>
      <c r="C22" s="183">
        <f>IF(B51&lt;&gt;0,B22/B51,0)</f>
        <v/>
      </c>
    </row>
    <row r="23" ht="15" customHeight="1" s="129">
      <c r="A23" s="135" t="inlineStr">
        <is>
          <t xml:space="preserve">  Legal — Zoning</t>
        </is>
      </c>
      <c r="B23" s="189">
        <f>Assumptions!C45</f>
        <v/>
      </c>
      <c r="C23" s="183">
        <f>IF(B51&lt;&gt;0,B23/B51,0)</f>
        <v/>
      </c>
    </row>
    <row r="24" ht="15" customHeight="1" s="129">
      <c r="A24" s="193" t="inlineStr">
        <is>
          <t xml:space="preserve">  Subtotal — Professional &amp; Due Diligence</t>
        </is>
      </c>
      <c r="B24" s="162">
        <f>SUM(B12:B23)</f>
        <v/>
      </c>
      <c r="C24" s="191">
        <f>IF(B51&lt;&gt;0,B24/B51,0)</f>
        <v/>
      </c>
    </row>
    <row r="25" ht="15" customHeight="1" s="129">
      <c r="A25" s="130" t="n"/>
      <c r="B25" s="130" t="n"/>
      <c r="C25" s="130" t="n"/>
    </row>
    <row r="26" ht="15" customHeight="1" s="129">
      <c r="A26" s="194" t="inlineStr">
        <is>
          <t>Financing Costs</t>
        </is>
      </c>
      <c r="B26" s="188" t="n"/>
      <c r="C26" s="188" t="n"/>
    </row>
    <row r="27" ht="15" customHeight="1" s="129">
      <c r="A27" s="135" t="inlineStr">
        <is>
          <t xml:space="preserve">  Acquisition Fee</t>
        </is>
      </c>
      <c r="B27" s="189">
        <f>Assumptions!C48</f>
        <v/>
      </c>
      <c r="C27" s="183">
        <f>IF(B51&lt;&gt;0,B27/B51,0)</f>
        <v/>
      </c>
    </row>
    <row r="28" ht="15" customHeight="1" s="129">
      <c r="A28" s="135" t="inlineStr">
        <is>
          <t xml:space="preserve">  Mortgage Interest (Carry)</t>
        </is>
      </c>
      <c r="B28" s="189">
        <f>Assumptions!C49</f>
        <v/>
      </c>
      <c r="C28" s="183">
        <f>IF(B51&lt;&gt;0,B28/B51,0)</f>
        <v/>
      </c>
    </row>
    <row r="29" ht="15" customHeight="1" s="129">
      <c r="A29" s="135" t="inlineStr">
        <is>
          <t xml:space="preserve">  Mortgage Fees / Origination</t>
        </is>
      </c>
      <c r="B29" s="189">
        <f>Assumptions!C50</f>
        <v/>
      </c>
      <c r="C29" s="183">
        <f>IF(B51&lt;&gt;0,B29/B51,0)</f>
        <v/>
      </c>
    </row>
    <row r="30" ht="15" customHeight="1" s="129">
      <c r="A30" s="135" t="inlineStr">
        <is>
          <t xml:space="preserve">  Mezzanine Interest</t>
        </is>
      </c>
      <c r="B30" s="189">
        <f>Assumptions!C51</f>
        <v/>
      </c>
      <c r="C30" s="183">
        <f>IF(B51&lt;&gt;0,B30/B51,0)</f>
        <v/>
      </c>
    </row>
    <row r="31" ht="15" customHeight="1" s="129">
      <c r="A31" s="195" t="inlineStr">
        <is>
          <t xml:space="preserve">  Subtotal — Financing Costs</t>
        </is>
      </c>
      <c r="B31" s="162">
        <f>SUM(B27:B30)</f>
        <v/>
      </c>
      <c r="C31" s="191">
        <f>IF(B51&lt;&gt;0,B31/B51,0)</f>
        <v/>
      </c>
    </row>
    <row r="32" ht="15" customHeight="1" s="129">
      <c r="A32" s="130" t="n"/>
      <c r="B32" s="130" t="n"/>
      <c r="C32" s="130" t="n"/>
    </row>
    <row r="33" ht="15" customHeight="1" s="129">
      <c r="A33" s="196" t="inlineStr">
        <is>
          <t>Soft Costs</t>
        </is>
      </c>
      <c r="B33" s="188" t="n"/>
      <c r="C33" s="188" t="n"/>
    </row>
    <row r="34" ht="15" customHeight="1" s="129">
      <c r="A34" s="135" t="inlineStr">
        <is>
          <t xml:space="preserve">  Working Capital</t>
        </is>
      </c>
      <c r="B34" s="189">
        <f>Assumptions!C54</f>
        <v/>
      </c>
      <c r="C34" s="183">
        <f>IF(B51&lt;&gt;0,B34/B51,0)</f>
        <v/>
      </c>
    </row>
    <row r="35" ht="15" customHeight="1" s="129">
      <c r="A35" s="135" t="inlineStr">
        <is>
          <t xml:space="preserve">  Marketing</t>
        </is>
      </c>
      <c r="B35" s="189">
        <f>Assumptions!C55</f>
        <v/>
      </c>
      <c r="C35" s="183">
        <f>IF(B51&lt;&gt;0,B35/B51,0)</f>
        <v/>
      </c>
    </row>
    <row r="36" ht="15" customHeight="1" s="129">
      <c r="A36" s="135" t="inlineStr">
        <is>
          <t xml:space="preserve">  RE Tax (Carry)</t>
        </is>
      </c>
      <c r="B36" s="189">
        <f>Assumptions!C56</f>
        <v/>
      </c>
      <c r="C36" s="183">
        <f>IF(B51&lt;&gt;0,B36/B51,0)</f>
        <v/>
      </c>
    </row>
    <row r="37" ht="15" customHeight="1" s="129">
      <c r="A37" s="135" t="inlineStr">
        <is>
          <t xml:space="preserve">  Prop / BR / Contr Insurance</t>
        </is>
      </c>
      <c r="B37" s="189">
        <f>Assumptions!C57</f>
        <v/>
      </c>
      <c r="C37" s="183">
        <f>IF(B51&lt;&gt;0,B37/B51,0)</f>
        <v/>
      </c>
    </row>
    <row r="38" ht="15" customHeight="1" s="129">
      <c r="A38" s="135" t="inlineStr">
        <is>
          <t xml:space="preserve">  Development Fee</t>
        </is>
      </c>
      <c r="B38" s="189">
        <f>Assumptions!C58</f>
        <v/>
      </c>
      <c r="C38" s="183">
        <f>IF(B51&lt;&gt;0,B38/B51,0)</f>
        <v/>
      </c>
    </row>
    <row r="39" ht="15" customHeight="1" s="129">
      <c r="A39" s="135" t="inlineStr">
        <is>
          <t xml:space="preserve">  Dev Equity Pref Return</t>
        </is>
      </c>
      <c r="B39" s="189">
        <f>Assumptions!C59</f>
        <v/>
      </c>
      <c r="C39" s="183">
        <f>IF(B51&lt;&gt;0,B39/B51,0)</f>
        <v/>
      </c>
    </row>
    <row r="40" ht="15" customHeight="1" s="129">
      <c r="A40" s="135" t="inlineStr">
        <is>
          <t xml:space="preserve">  Permits / Expediting</t>
        </is>
      </c>
      <c r="B40" s="189">
        <f>Assumptions!C60</f>
        <v/>
      </c>
      <c r="C40" s="183">
        <f>IF(B51&lt;&gt;0,B40/B51,0)</f>
        <v/>
      </c>
    </row>
    <row r="41" ht="15" customHeight="1" s="129">
      <c r="A41" s="197" t="inlineStr">
        <is>
          <t xml:space="preserve">  Subtotal — Soft Costs</t>
        </is>
      </c>
      <c r="B41" s="162">
        <f>SUM(B34:B40)</f>
        <v/>
      </c>
      <c r="C41" s="191">
        <f>IF(B51&lt;&gt;0,B41/B51,0)</f>
        <v/>
      </c>
    </row>
    <row r="42" ht="15" customHeight="1" s="129">
      <c r="A42" s="130" t="n"/>
      <c r="B42" s="130" t="n"/>
      <c r="C42" s="130" t="n"/>
    </row>
    <row r="43" ht="15" customHeight="1" s="129">
      <c r="A43" s="198" t="inlineStr">
        <is>
          <t>Hard Costs</t>
        </is>
      </c>
      <c r="B43" s="188" t="n"/>
      <c r="C43" s="188" t="n"/>
    </row>
    <row r="44" ht="15" customHeight="1" s="129">
      <c r="A44" s="135" t="inlineStr">
        <is>
          <t xml:space="preserve">  Stormwater Mgmt</t>
        </is>
      </c>
      <c r="B44" s="189">
        <f>Assumptions!C63</f>
        <v/>
      </c>
      <c r="C44" s="183">
        <f>IF(B51&lt;&gt;0,B44/B51,0)</f>
        <v/>
      </c>
    </row>
    <row r="45" ht="15" customHeight="1" s="129">
      <c r="A45" s="135" t="inlineStr">
        <is>
          <t xml:space="preserve">  Demolition &amp; Site Work</t>
        </is>
      </c>
      <c r="B45" s="189">
        <f>Assumptions!C64</f>
        <v/>
      </c>
      <c r="C45" s="183">
        <f>IF(B51&lt;&gt;0,B45/B51,0)</f>
        <v/>
      </c>
    </row>
    <row r="46" ht="15" customHeight="1" s="129">
      <c r="A46" s="135" t="inlineStr">
        <is>
          <t xml:space="preserve">  Construction — Hard Costs</t>
        </is>
      </c>
      <c r="B46" s="189">
        <f>Assumptions!C65</f>
        <v/>
      </c>
      <c r="C46" s="183">
        <f>IF(B51&lt;&gt;0,B46/B51,0)</f>
        <v/>
      </c>
    </row>
    <row r="47" ht="15" customHeight="1" s="129">
      <c r="A47" s="135" t="inlineStr">
        <is>
          <t xml:space="preserve">  Construction — Reserve</t>
        </is>
      </c>
      <c r="B47" s="189">
        <f>Assumptions!C66</f>
        <v/>
      </c>
      <c r="C47" s="183">
        <f>IF(B51&lt;&gt;0,B47/B51,0)</f>
        <v/>
      </c>
    </row>
    <row r="48" ht="15" customHeight="1" s="129">
      <c r="A48" s="135" t="inlineStr">
        <is>
          <t xml:space="preserve">  GC Profit &amp; Overhead</t>
        </is>
      </c>
      <c r="B48" s="189">
        <f>Assumptions!C67</f>
        <v/>
      </c>
      <c r="C48" s="183">
        <f>IF(B51&lt;&gt;0,B48/B51,0)</f>
        <v/>
      </c>
    </row>
    <row r="49" ht="15" customHeight="1" s="129">
      <c r="A49" s="199" t="inlineStr">
        <is>
          <t xml:space="preserve">  Subtotal — Hard Costs</t>
        </is>
      </c>
      <c r="B49" s="162">
        <f>SUM(B44:B48)</f>
        <v/>
      </c>
      <c r="C49" s="191">
        <f>IF(B51&lt;&gt;0,B49/B51,0)</f>
        <v/>
      </c>
    </row>
    <row r="50" ht="15" customHeight="1" s="129">
      <c r="A50" s="130" t="n"/>
      <c r="B50" s="130" t="n"/>
      <c r="C50" s="130" t="n"/>
    </row>
    <row r="51" ht="15" customHeight="1" s="129">
      <c r="A51" s="200" t="inlineStr">
        <is>
          <t>TOTAL USES</t>
        </is>
      </c>
      <c r="B51" s="201">
        <f>B9+B24+B31+B41+B49</f>
        <v/>
      </c>
      <c r="C51" s="202" t="n"/>
    </row>
    <row r="52" ht="15" customHeight="1" s="129">
      <c r="A52" s="130" t="n"/>
      <c r="B52" s="130" t="n"/>
      <c r="C52" s="130" t="n"/>
    </row>
    <row r="53" ht="15" customHeight="1" s="129">
      <c r="A53" s="138" t="inlineStr">
        <is>
          <t>Sources</t>
        </is>
      </c>
    </row>
    <row r="54" ht="15" customHeight="1" s="129">
      <c r="A54" s="135" t="inlineStr">
        <is>
          <t xml:space="preserve">  Senior Debt</t>
        </is>
      </c>
      <c r="B54" s="189">
        <f>Assumptions!C82</f>
        <v/>
      </c>
      <c r="C54" s="130" t="n"/>
    </row>
    <row r="55" ht="15" customHeight="1" s="129">
      <c r="A55" s="135" t="inlineStr">
        <is>
          <t xml:space="preserve">  Mezzanine Debt</t>
        </is>
      </c>
      <c r="B55" s="189">
        <f>Assumptions!C83</f>
        <v/>
      </c>
      <c r="C55" s="130" t="n"/>
    </row>
    <row r="56" ht="15" customHeight="1" s="129">
      <c r="A56" s="135" t="inlineStr">
        <is>
          <t xml:space="preserve">  GP Equity</t>
        </is>
      </c>
      <c r="B56" s="189">
        <f>Assumptions!C84</f>
        <v/>
      </c>
      <c r="C56" s="130" t="n"/>
    </row>
    <row r="57" ht="15" customHeight="1" s="129">
      <c r="A57" s="135" t="inlineStr">
        <is>
          <t xml:space="preserve">  LP Equity</t>
        </is>
      </c>
      <c r="B57" s="189">
        <f>Assumptions!C85</f>
        <v/>
      </c>
      <c r="C57" s="130" t="n"/>
    </row>
    <row r="58" ht="15" customHeight="1" s="129">
      <c r="A58" s="135" t="inlineStr">
        <is>
          <t xml:space="preserve">  Tax Credit Equity</t>
        </is>
      </c>
      <c r="B58" s="189">
        <f>Assumptions!C86</f>
        <v/>
      </c>
      <c r="C58" s="130" t="n"/>
    </row>
    <row r="59" ht="15" customHeight="1" s="129">
      <c r="A59" s="135" t="inlineStr">
        <is>
          <t xml:space="preserve">  Grants / Subsidies</t>
        </is>
      </c>
      <c r="B59" s="189">
        <f>Assumptions!C87</f>
        <v/>
      </c>
      <c r="C59" s="130" t="n"/>
    </row>
    <row r="60" ht="15" customHeight="1" s="129">
      <c r="A60" s="203" t="inlineStr">
        <is>
          <t>TOTAL SOURCES</t>
        </is>
      </c>
      <c r="B60" s="204">
        <f>SUM(B54:B59)</f>
        <v/>
      </c>
      <c r="C60" s="205" t="n"/>
    </row>
    <row r="61" ht="15" customHeight="1" s="129">
      <c r="A61" s="130" t="n"/>
      <c r="B61" s="130" t="n"/>
      <c r="C61" s="130" t="n"/>
    </row>
    <row r="62" ht="15" customHeight="1" s="129">
      <c r="A62" s="206" t="inlineStr">
        <is>
          <t>SURPLUS / (GAP)</t>
        </is>
      </c>
      <c r="B62" s="174">
        <f>B60-B51</f>
        <v/>
      </c>
      <c r="C62" s="130" t="n"/>
    </row>
  </sheetData>
  <mergeCells count="3">
    <mergeCell ref="A1:C1"/>
    <mergeCell ref="A2:C2"/>
    <mergeCell ref="A53:C5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tabColor rgb="FF9B4D4D"/>
    <outlinePr summaryBelow="1" summaryRight="1"/>
    <pageSetUpPr fitToPage="0"/>
  </sheetPr>
  <dimension ref="A1:F5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128" min="1" max="1"/>
    <col width="30" customWidth="1" style="128" min="2" max="2"/>
    <col width="16" customWidth="1" style="128" min="3" max="5"/>
  </cols>
  <sheetData>
    <row r="1" ht="36" customHeight="1" s="129">
      <c r="A1" s="207" t="inlineStr">
        <is>
          <t>SALE ANALYSIS</t>
        </is>
      </c>
      <c r="F1" s="130" t="n"/>
    </row>
    <row r="2" ht="15" customHeight="1" s="129">
      <c r="A2" s="208" t="inlineStr">
        <is>
          <t>Total project cost vs. net sale proceeds. Covers flips, build-to-sell, and land sales.</t>
        </is>
      </c>
      <c r="F2" s="130" t="n"/>
    </row>
    <row r="3" ht="15" customHeight="1" s="129">
      <c r="A3" s="130" t="n"/>
      <c r="B3" s="130" t="n"/>
      <c r="C3" s="130" t="n"/>
      <c r="D3" s="130" t="n"/>
      <c r="E3" s="130" t="n"/>
      <c r="F3" s="130" t="n"/>
    </row>
    <row r="4" ht="25.5" customHeight="1" s="129">
      <c r="A4" s="153" t="inlineStr">
        <is>
          <t xml:space="preserve">  TOTAL PROJECT COST</t>
        </is>
      </c>
      <c r="F4" s="130" t="n"/>
    </row>
    <row r="5" ht="15" customHeight="1" s="129">
      <c r="A5" s="130" t="n"/>
      <c r="B5" s="209" t="inlineStr">
        <is>
          <t>Purchase Price</t>
        </is>
      </c>
      <c r="C5" s="210">
        <f>Assumptions!$C$17</f>
        <v/>
      </c>
      <c r="D5" s="130" t="n"/>
      <c r="E5" s="130" t="n"/>
      <c r="F5" s="130" t="n"/>
    </row>
    <row r="6" ht="15" customHeight="1" s="129">
      <c r="A6" s="188" t="n"/>
      <c r="B6" s="211" t="inlineStr">
        <is>
          <t>Transfer Tax &amp; Closing</t>
        </is>
      </c>
      <c r="C6" s="212">
        <f>Assumptions!$C$19+Assumptions!$C$20</f>
        <v/>
      </c>
      <c r="D6" s="188" t="n"/>
      <c r="E6" s="188" t="n"/>
      <c r="F6" s="130" t="n"/>
    </row>
    <row r="7" ht="15" customHeight="1" s="129">
      <c r="A7" s="130" t="n"/>
      <c r="B7" s="209" t="inlineStr">
        <is>
          <t>Professional &amp; DD Costs</t>
        </is>
      </c>
      <c r="C7" s="210">
        <f>SUM(Assumptions!$C$34:$C$45)</f>
        <v/>
      </c>
      <c r="D7" s="130" t="n"/>
      <c r="E7" s="130" t="n"/>
      <c r="F7" s="130" t="n"/>
    </row>
    <row r="8" ht="15" customHeight="1" s="129">
      <c r="A8" s="188" t="n"/>
      <c r="B8" s="211" t="inlineStr">
        <is>
          <t>Financing Costs</t>
        </is>
      </c>
      <c r="C8" s="212">
        <f>SUM(Assumptions!$C$48:$C$51)</f>
        <v/>
      </c>
      <c r="D8" s="188" t="n"/>
      <c r="E8" s="188" t="n"/>
      <c r="F8" s="130" t="n"/>
    </row>
    <row r="9" ht="15" customHeight="1" s="129">
      <c r="A9" s="130" t="n"/>
      <c r="B9" s="209" t="inlineStr">
        <is>
          <t>Soft Costs</t>
        </is>
      </c>
      <c r="C9" s="210">
        <f>SUM(Assumptions!$C$54:$C$60)</f>
        <v/>
      </c>
      <c r="D9" s="130" t="n"/>
      <c r="E9" s="130" t="n"/>
      <c r="F9" s="130" t="n"/>
    </row>
    <row r="10" ht="15" customHeight="1" s="129">
      <c r="A10" s="188" t="n"/>
      <c r="B10" s="211" t="inlineStr">
        <is>
          <t>Hard Costs (Construction/Reno)</t>
        </is>
      </c>
      <c r="C10" s="212">
        <f>SUM(Assumptions!$C$63:$C$67)</f>
        <v/>
      </c>
      <c r="D10" s="188" t="n"/>
      <c r="E10" s="188" t="n"/>
      <c r="F10" s="130" t="n"/>
    </row>
    <row r="11" ht="15" customHeight="1" s="129">
      <c r="A11" s="130" t="n"/>
      <c r="B11" s="130" t="n"/>
      <c r="C11" s="130" t="n"/>
      <c r="D11" s="130" t="n"/>
      <c r="E11" s="130" t="n"/>
      <c r="F11" s="130" t="n"/>
    </row>
    <row r="12" ht="15" customHeight="1" s="129">
      <c r="A12" s="200" t="n"/>
      <c r="B12" s="213" t="inlineStr">
        <is>
          <t>TOTAL PROJECT COST</t>
        </is>
      </c>
      <c r="C12" s="201">
        <f>SUM(C5:C10)</f>
        <v/>
      </c>
      <c r="D12" s="200" t="n"/>
      <c r="E12" s="200" t="n"/>
      <c r="F12" s="130" t="n"/>
    </row>
    <row r="13" ht="15" customHeight="1" s="129">
      <c r="A13" s="130" t="n"/>
      <c r="B13" s="130" t="n"/>
      <c r="C13" s="130" t="n"/>
      <c r="D13" s="130" t="n"/>
      <c r="E13" s="130" t="n"/>
      <c r="F13" s="130" t="n"/>
    </row>
    <row r="14" ht="25.5" customHeight="1" s="129">
      <c r="A14" s="153" t="inlineStr">
        <is>
          <t xml:space="preserve">  CARRY COSTS &amp; TIMELINE</t>
        </is>
      </c>
      <c r="F14" s="130" t="n"/>
    </row>
    <row r="15" ht="15" customHeight="1" s="129">
      <c r="A15" s="130" t="n"/>
      <c r="B15" s="135" t="inlineStr">
        <is>
          <t>Construction/Reno Period (Months)</t>
        </is>
      </c>
      <c r="C15" s="214" t="n">
        <v>0</v>
      </c>
      <c r="D15" s="130" t="n"/>
      <c r="E15" s="130" t="n"/>
      <c r="F15" s="130" t="n"/>
    </row>
    <row r="16" ht="15" customHeight="1" s="129">
      <c r="A16" s="130" t="n"/>
      <c r="B16" s="135" t="inlineStr">
        <is>
          <t>Marketing / Sale Period (Months)</t>
        </is>
      </c>
      <c r="C16" s="214" t="n">
        <v>0</v>
      </c>
      <c r="D16" s="130" t="n"/>
      <c r="E16" s="130" t="n"/>
      <c r="F16" s="130" t="n"/>
    </row>
    <row r="17" ht="15" customHeight="1" s="129">
      <c r="A17" s="130" t="n"/>
      <c r="B17" s="215" t="inlineStr">
        <is>
          <t>Total Hold Period (Months)</t>
        </is>
      </c>
      <c r="C17" s="216">
        <f>C15+C16</f>
        <v/>
      </c>
      <c r="D17" s="130" t="n"/>
      <c r="E17" s="130" t="n"/>
      <c r="F17" s="130" t="n"/>
    </row>
    <row r="18" ht="15" customHeight="1" s="129">
      <c r="A18" s="130" t="n"/>
      <c r="B18" s="130" t="n"/>
      <c r="C18" s="186" t="inlineStr">
        <is>
          <t>Amount</t>
        </is>
      </c>
      <c r="D18" s="186" t="inlineStr">
        <is>
          <t>Basis</t>
        </is>
      </c>
      <c r="E18" s="186" t="inlineStr">
        <is>
          <t>Total Cost</t>
        </is>
      </c>
      <c r="F18" s="130" t="n"/>
    </row>
    <row r="19" ht="15" customHeight="1" s="129">
      <c r="A19" s="130" t="n"/>
      <c r="B19" s="209" t="inlineStr">
        <is>
          <t xml:space="preserve">  Loan Interest Carry</t>
        </is>
      </c>
      <c r="C19" s="217" t="n">
        <v>0</v>
      </c>
      <c r="D19" s="218" t="inlineStr">
        <is>
          <t>Monthly</t>
        </is>
      </c>
      <c r="E19" s="210">
        <f>C19*C17</f>
        <v/>
      </c>
      <c r="F19" s="130" t="n"/>
    </row>
    <row r="20" ht="15" customHeight="1" s="129">
      <c r="A20" s="188" t="n"/>
      <c r="B20" s="211" t="inlineStr">
        <is>
          <t xml:space="preserve">  Real Estate Taxes</t>
        </is>
      </c>
      <c r="C20" s="219" t="n">
        <v>0</v>
      </c>
      <c r="D20" s="220" t="inlineStr">
        <is>
          <t>Monthly</t>
        </is>
      </c>
      <c r="E20" s="212">
        <f>C20*C17</f>
        <v/>
      </c>
      <c r="F20" s="130" t="n"/>
    </row>
    <row r="21" ht="15" customHeight="1" s="129">
      <c r="A21" s="130" t="n"/>
      <c r="B21" s="209" t="inlineStr">
        <is>
          <t xml:space="preserve">  Insurance</t>
        </is>
      </c>
      <c r="C21" s="217" t="n">
        <v>0</v>
      </c>
      <c r="D21" s="218" t="inlineStr">
        <is>
          <t>Monthly</t>
        </is>
      </c>
      <c r="E21" s="210">
        <f>C21*C17</f>
        <v/>
      </c>
      <c r="F21" s="130" t="n"/>
    </row>
    <row r="22" ht="15" customHeight="1" s="129">
      <c r="A22" s="188" t="n"/>
      <c r="B22" s="211" t="inlineStr">
        <is>
          <t xml:space="preserve">  Utilities</t>
        </is>
      </c>
      <c r="C22" s="219" t="n">
        <v>0</v>
      </c>
      <c r="D22" s="220" t="inlineStr">
        <is>
          <t>Monthly</t>
        </is>
      </c>
      <c r="E22" s="212">
        <f>C22*C17</f>
        <v/>
      </c>
      <c r="F22" s="130" t="n"/>
    </row>
    <row r="23" ht="15" customHeight="1" s="129">
      <c r="A23" s="130" t="n"/>
      <c r="B23" s="209" t="inlineStr">
        <is>
          <t xml:space="preserve">  Property Maintenance</t>
        </is>
      </c>
      <c r="C23" s="217" t="n">
        <v>0</v>
      </c>
      <c r="D23" s="218" t="inlineStr">
        <is>
          <t>Monthly</t>
        </is>
      </c>
      <c r="E23" s="210">
        <f>C23*C17</f>
        <v/>
      </c>
      <c r="F23" s="130" t="n"/>
    </row>
    <row r="24" ht="15" customHeight="1" s="129">
      <c r="A24" s="188" t="n"/>
      <c r="B24" s="211" t="inlineStr">
        <is>
          <t xml:space="preserve">  HOA / Condo Fees</t>
        </is>
      </c>
      <c r="C24" s="219" t="n">
        <v>0</v>
      </c>
      <c r="D24" s="220" t="inlineStr">
        <is>
          <t>Monthly</t>
        </is>
      </c>
      <c r="E24" s="212">
        <f>C24*C17</f>
        <v/>
      </c>
      <c r="F24" s="130" t="n"/>
    </row>
    <row r="25" ht="15" customHeight="1" s="129">
      <c r="A25" s="130" t="n"/>
      <c r="B25" s="209" t="inlineStr">
        <is>
          <t xml:space="preserve">  Marketing / Advertising</t>
        </is>
      </c>
      <c r="C25" s="217" t="n">
        <v>0</v>
      </c>
      <c r="D25" s="218" t="inlineStr">
        <is>
          <t>Total</t>
        </is>
      </c>
      <c r="E25" s="210">
        <f>C25</f>
        <v/>
      </c>
      <c r="F25" s="130" t="n"/>
    </row>
    <row r="26" ht="15" customHeight="1" s="129">
      <c r="A26" s="188" t="n"/>
      <c r="B26" s="211" t="inlineStr">
        <is>
          <t xml:space="preserve">  Staging / Showing Costs</t>
        </is>
      </c>
      <c r="C26" s="219" t="n">
        <v>0</v>
      </c>
      <c r="D26" s="220" t="inlineStr">
        <is>
          <t>Total</t>
        </is>
      </c>
      <c r="E26" s="212">
        <f>C26</f>
        <v/>
      </c>
      <c r="F26" s="130" t="n"/>
    </row>
    <row r="27" ht="15" customHeight="1" s="129">
      <c r="A27" s="130" t="n"/>
      <c r="B27" s="130" t="n"/>
      <c r="C27" s="130" t="n"/>
      <c r="D27" s="130" t="n"/>
      <c r="E27" s="130" t="n"/>
      <c r="F27" s="130" t="n"/>
    </row>
    <row r="28" ht="15" customHeight="1" s="129">
      <c r="A28" s="221" t="n"/>
      <c r="B28" s="222" t="inlineStr">
        <is>
          <t xml:space="preserve">  TOTAL CARRY COSTS</t>
        </is>
      </c>
      <c r="C28" s="221" t="n"/>
      <c r="D28" s="221" t="n"/>
      <c r="E28" s="223">
        <f>SUM(E19:E26)</f>
        <v/>
      </c>
      <c r="F28" s="130" t="n"/>
    </row>
    <row r="29" ht="15" customHeight="1" s="129">
      <c r="A29" s="130" t="n"/>
      <c r="B29" s="130" t="n"/>
      <c r="C29" s="130" t="n"/>
      <c r="D29" s="130" t="n"/>
      <c r="E29" s="130" t="n"/>
      <c r="F29" s="130" t="n"/>
    </row>
    <row r="30" ht="15" customHeight="1" s="129">
      <c r="A30" s="224" t="n"/>
      <c r="B30" s="225" t="inlineStr">
        <is>
          <t>ALL-IN BASIS (Project Cost + Carry)</t>
        </is>
      </c>
      <c r="C30" s="224" t="n"/>
      <c r="D30" s="224" t="n"/>
      <c r="E30" s="226">
        <f>C12+E28</f>
        <v/>
      </c>
      <c r="F30" s="130" t="n"/>
    </row>
    <row r="31" ht="15" customHeight="1" s="129">
      <c r="A31" s="130" t="n"/>
      <c r="B31" s="130" t="n"/>
      <c r="C31" s="130" t="n"/>
      <c r="D31" s="130" t="n"/>
      <c r="E31" s="130" t="n"/>
      <c r="F31" s="130" t="n"/>
    </row>
    <row r="32" ht="25.5" customHeight="1" s="129">
      <c r="A32" s="153" t="inlineStr">
        <is>
          <t xml:space="preserve">  SALE PROCEEDS</t>
        </is>
      </c>
      <c r="F32" s="130" t="n"/>
    </row>
    <row r="33" ht="15" customHeight="1" s="129">
      <c r="A33" s="130" t="n"/>
      <c r="B33" s="135" t="inlineStr">
        <is>
          <t>Gross Sale Price (ARV)</t>
        </is>
      </c>
      <c r="C33" s="227" t="n">
        <v>0</v>
      </c>
      <c r="D33" s="130" t="n"/>
      <c r="E33" s="130" t="n"/>
      <c r="F33" s="130" t="n"/>
    </row>
    <row r="34" ht="15" customHeight="1" s="129">
      <c r="A34" s="130" t="n"/>
      <c r="B34" s="135" t="inlineStr">
        <is>
          <t>Less: Broker Commission (%)</t>
        </is>
      </c>
      <c r="C34" s="228" t="n">
        <v>0.05</v>
      </c>
      <c r="D34" s="130" t="n"/>
      <c r="E34" s="130" t="n"/>
      <c r="F34" s="130" t="n"/>
    </row>
    <row r="35" ht="15" customHeight="1" s="129">
      <c r="A35" s="130" t="n"/>
      <c r="B35" s="135" t="inlineStr">
        <is>
          <t>Less: Commission Amount</t>
        </is>
      </c>
      <c r="C35" s="163">
        <f>-C33*C34</f>
        <v/>
      </c>
      <c r="D35" s="130" t="n"/>
      <c r="E35" s="130" t="n"/>
      <c r="F35" s="130" t="n"/>
    </row>
    <row r="36" ht="15" customHeight="1" s="129">
      <c r="A36" s="130" t="n"/>
      <c r="B36" s="135" t="inlineStr">
        <is>
          <t>Less: Transfer Tax</t>
        </is>
      </c>
      <c r="C36" s="163">
        <f>-C33*Assumptions!$C$18</f>
        <v/>
      </c>
      <c r="D36" s="130" t="n"/>
      <c r="E36" s="130" t="n"/>
      <c r="F36" s="130" t="n"/>
    </row>
    <row r="37" ht="15" customHeight="1" s="129">
      <c r="A37" s="130" t="n"/>
      <c r="B37" s="135" t="inlineStr">
        <is>
          <t>Less: Other Closing Costs</t>
        </is>
      </c>
      <c r="C37" s="227" t="n">
        <v>0</v>
      </c>
      <c r="D37" s="130" t="n"/>
      <c r="E37" s="130" t="n"/>
      <c r="F37" s="130" t="n"/>
    </row>
    <row r="38" ht="15" customHeight="1" s="129">
      <c r="A38" s="130" t="n"/>
      <c r="B38" s="135" t="inlineStr">
        <is>
          <t>Less: Loan Payoff</t>
        </is>
      </c>
      <c r="C38" s="163">
        <f>-Assumptions!$C$71</f>
        <v/>
      </c>
      <c r="D38" s="130" t="n"/>
      <c r="E38" s="130" t="n"/>
      <c r="F38" s="130" t="n"/>
    </row>
    <row r="39" ht="15" customHeight="1" s="129">
      <c r="A39" s="130" t="n"/>
      <c r="B39" s="130" t="n"/>
      <c r="C39" s="130" t="n"/>
      <c r="D39" s="130" t="n"/>
      <c r="E39" s="130" t="n"/>
      <c r="F39" s="130" t="n"/>
    </row>
    <row r="40" ht="15" customHeight="1" s="129">
      <c r="A40" s="229" t="n"/>
      <c r="B40" s="230" t="inlineStr">
        <is>
          <t>NET SALE PROCEEDS</t>
        </is>
      </c>
      <c r="C40" s="231">
        <f>C33+C35+C36+C37+C38</f>
        <v/>
      </c>
      <c r="D40" s="229" t="n"/>
      <c r="E40" s="229" t="n"/>
      <c r="F40" s="130" t="n"/>
    </row>
    <row r="41" ht="15" customHeight="1" s="129">
      <c r="A41" s="130" t="n"/>
      <c r="B41" s="130" t="n"/>
      <c r="C41" s="130" t="n"/>
      <c r="D41" s="130" t="n"/>
      <c r="E41" s="130" t="n"/>
      <c r="F41" s="130" t="n"/>
    </row>
    <row r="42" ht="25.5" customHeight="1" s="129">
      <c r="A42" s="153" t="inlineStr">
        <is>
          <t xml:space="preserve">  PROFIT &amp; RETURNS</t>
        </is>
      </c>
      <c r="F42" s="130" t="n"/>
    </row>
    <row r="43" ht="15" customHeight="1" s="129">
      <c r="A43" s="130" t="n"/>
      <c r="B43" s="135" t="inlineStr">
        <is>
          <t>Net Sale Proceeds</t>
        </is>
      </c>
      <c r="C43" s="163">
        <f>C40</f>
        <v/>
      </c>
      <c r="D43" s="130" t="n"/>
      <c r="E43" s="130" t="n"/>
      <c r="F43" s="130" t="n"/>
    </row>
    <row r="44" ht="15" customHeight="1" s="129">
      <c r="A44" s="130" t="n"/>
      <c r="B44" s="135" t="inlineStr">
        <is>
          <t>Less: Total Equity Invested</t>
        </is>
      </c>
      <c r="C44" s="163">
        <f>-Assumptions!$C$91</f>
        <v/>
      </c>
      <c r="D44" s="130" t="n"/>
      <c r="E44" s="130" t="n"/>
      <c r="F44" s="130" t="n"/>
    </row>
    <row r="45" ht="15" customHeight="1" s="129">
      <c r="A45" s="130" t="n"/>
      <c r="B45" s="130" t="n"/>
      <c r="C45" s="130" t="n"/>
      <c r="D45" s="130" t="n"/>
      <c r="E45" s="130" t="n"/>
      <c r="F45" s="130" t="n"/>
    </row>
    <row r="46" ht="15" customHeight="1" s="129">
      <c r="A46" s="200" t="n"/>
      <c r="B46" s="213" t="inlineStr">
        <is>
          <t>NET PROFIT</t>
        </is>
      </c>
      <c r="C46" s="201">
        <f>C40+C44</f>
        <v/>
      </c>
      <c r="D46" s="200" t="n"/>
      <c r="E46" s="200" t="n"/>
      <c r="F46" s="130" t="n"/>
    </row>
    <row r="47" ht="15" customHeight="1" s="129">
      <c r="A47" s="130" t="n"/>
      <c r="B47" s="130" t="n"/>
      <c r="C47" s="130" t="n"/>
      <c r="D47" s="130" t="n"/>
      <c r="E47" s="130" t="n"/>
      <c r="F47" s="130" t="n"/>
    </row>
    <row r="48" ht="15" customHeight="1" s="129">
      <c r="A48" s="130" t="n"/>
      <c r="B48" s="232" t="inlineStr">
        <is>
          <t>Profit Margin (% of Sale)</t>
        </is>
      </c>
      <c r="C48" s="233">
        <f>IF(C33&gt;0,C46/C33,0)</f>
        <v/>
      </c>
      <c r="D48" s="130" t="n"/>
      <c r="E48" s="130" t="n"/>
      <c r="F48" s="130" t="n"/>
    </row>
    <row r="49" ht="15" customHeight="1" s="129">
      <c r="A49" s="130" t="n"/>
      <c r="B49" s="232" t="inlineStr">
        <is>
          <t>Return on Equity</t>
        </is>
      </c>
      <c r="C49" s="233">
        <f>IF(Assumptions!$C$91&gt;0,C46/Assumptions!$C$91,0)</f>
        <v/>
      </c>
      <c r="D49" s="130" t="n"/>
      <c r="E49" s="130" t="n"/>
      <c r="F49" s="130" t="n"/>
    </row>
    <row r="50" ht="15" customHeight="1" s="129">
      <c r="A50" s="130" t="n"/>
      <c r="B50" s="232" t="inlineStr">
        <is>
          <t>Return on Cost</t>
        </is>
      </c>
      <c r="C50" s="233">
        <f>IF(E30&gt;0,(C33-E30)/E30,0)</f>
        <v/>
      </c>
      <c r="D50" s="130" t="n"/>
      <c r="E50" s="130" t="n"/>
      <c r="F50" s="130" t="n"/>
    </row>
    <row r="51" ht="15" customHeight="1" s="129">
      <c r="A51" s="130" t="n"/>
      <c r="B51" s="232" t="inlineStr">
        <is>
          <t>Equity Multiple</t>
        </is>
      </c>
      <c r="C51" s="234">
        <f>IF(Assumptions!$C$91&gt;0,C40/Assumptions!$C$91,0)</f>
        <v/>
      </c>
      <c r="D51" s="130" t="n"/>
      <c r="E51" s="130" t="n"/>
      <c r="F51" s="130" t="n"/>
    </row>
    <row r="52" ht="15" customHeight="1" s="129">
      <c r="A52" s="130" t="n"/>
      <c r="B52" s="232" t="inlineStr">
        <is>
          <t>Hold Period (Months)</t>
        </is>
      </c>
      <c r="C52" s="235">
        <f>C17</f>
        <v/>
      </c>
      <c r="D52" s="130" t="n"/>
      <c r="E52" s="130" t="n"/>
      <c r="F52" s="130" t="n"/>
    </row>
    <row r="53" ht="15" customHeight="1" s="129">
      <c r="A53" s="130" t="n"/>
      <c r="B53" s="232" t="inlineStr">
        <is>
          <t>Annualized ROE</t>
        </is>
      </c>
      <c r="C53" s="233">
        <f>IF(AND(Assumptions!$C$91&gt;0,C17&gt;0),(C46/Assumptions!$C$91)/(C17/12),0)</f>
        <v/>
      </c>
      <c r="D53" s="130" t="n"/>
      <c r="E53" s="130" t="n"/>
      <c r="F53" s="130" t="n"/>
    </row>
    <row r="54" ht="15" customHeight="1" s="129">
      <c r="A54" s="130" t="n"/>
      <c r="B54" s="130" t="n"/>
      <c r="C54" s="130" t="n"/>
      <c r="D54" s="130" t="n"/>
      <c r="E54" s="130" t="n"/>
      <c r="F54" s="130" t="n"/>
    </row>
    <row r="55" ht="15" customHeight="1" s="129">
      <c r="A55" s="130" t="n"/>
      <c r="B55" s="130" t="n"/>
      <c r="C55" s="130" t="n"/>
      <c r="D55" s="130" t="n"/>
      <c r="E55" s="130" t="n"/>
      <c r="F55" s="130" t="n"/>
    </row>
    <row r="56" ht="15" customHeight="1" s="129">
      <c r="A56" s="130" t="n"/>
      <c r="B56" s="130" t="n"/>
      <c r="C56" s="130" t="n"/>
      <c r="D56" s="130" t="n"/>
      <c r="E56" s="130" t="n"/>
      <c r="F56" s="130" t="n"/>
    </row>
    <row r="57" ht="15" customHeight="1" s="129">
      <c r="A57" s="130" t="n"/>
      <c r="B57" s="130" t="n"/>
      <c r="C57" s="130" t="n"/>
      <c r="D57" s="130" t="n"/>
      <c r="E57" s="130" t="n"/>
      <c r="F57" s="130" t="n"/>
    </row>
    <row r="58" ht="15" customHeight="1" s="129">
      <c r="A58" s="130" t="n"/>
      <c r="B58" s="130" t="n"/>
      <c r="C58" s="130" t="n"/>
      <c r="D58" s="130" t="n"/>
      <c r="E58" s="130" t="n"/>
      <c r="F58" s="130" t="n"/>
    </row>
    <row r="59" ht="15" customHeight="1" s="129">
      <c r="A59" s="130" t="n"/>
      <c r="B59" s="130" t="n"/>
      <c r="C59" s="130" t="n"/>
      <c r="D59" s="130" t="n"/>
      <c r="E59" s="130" t="n"/>
      <c r="F59" s="130" t="n"/>
    </row>
  </sheetData>
  <mergeCells count="6">
    <mergeCell ref="A4:E4"/>
    <mergeCell ref="A2:E2"/>
    <mergeCell ref="A42:E42"/>
    <mergeCell ref="A1:E1"/>
    <mergeCell ref="A32:E32"/>
    <mergeCell ref="A14:E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2A2820"/>
    <outlinePr summaryBelow="1" summaryRight="1"/>
    <pageSetUpPr fitToPage="0"/>
  </sheetPr>
  <dimension ref="A1:C6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128" min="1" max="1"/>
    <col width="36" customWidth="1" style="128" min="2" max="2"/>
    <col width="18" customWidth="1" style="128" min="3" max="3"/>
  </cols>
  <sheetData>
    <row r="1" ht="36" customHeight="1" s="129">
      <c r="A1" s="207" t="inlineStr">
        <is>
          <t>CASH WATERFALL — SALE</t>
        </is>
      </c>
    </row>
    <row r="2" ht="15" customHeight="1" s="129">
      <c r="A2" s="208" t="inlineStr">
        <is>
          <t>Single capital event: money in at close, money out at sale.</t>
        </is>
      </c>
    </row>
    <row r="3" ht="15" customHeight="1" s="129">
      <c r="A3" s="130" t="n"/>
      <c r="B3" s="130" t="n"/>
      <c r="C3" s="130" t="n"/>
    </row>
    <row r="4" ht="25.5" customHeight="1" s="129">
      <c r="A4" s="153" t="inlineStr">
        <is>
          <t xml:space="preserve">  PARTNERSHIP STRUCTURE</t>
        </is>
      </c>
    </row>
    <row r="5" ht="15" customHeight="1" s="129">
      <c r="A5" s="130" t="n"/>
      <c r="B5" s="186" t="n"/>
      <c r="C5" s="186" t="inlineStr">
        <is>
          <t>Amount</t>
        </is>
      </c>
    </row>
    <row r="6" ht="15" customHeight="1" s="129">
      <c r="A6" s="130" t="n"/>
      <c r="B6" s="236" t="inlineStr">
        <is>
          <t>GP Equity Contribution (%)</t>
        </is>
      </c>
      <c r="C6" s="237">
        <f>Assumptions!$C$175</f>
        <v/>
      </c>
    </row>
    <row r="7" ht="15" customHeight="1" s="129">
      <c r="A7" s="130" t="n"/>
      <c r="B7" s="236" t="inlineStr">
        <is>
          <t>LP Equity Contribution (%)</t>
        </is>
      </c>
      <c r="C7" s="237">
        <f>Assumptions!$C$176</f>
        <v/>
      </c>
    </row>
    <row r="8" ht="15" customHeight="1" s="129">
      <c r="A8" s="130" t="n"/>
      <c r="B8" s="236" t="inlineStr">
        <is>
          <t>Total Equity Required</t>
        </is>
      </c>
      <c r="C8" s="210">
        <f>Assumptions!$C$91</f>
        <v/>
      </c>
    </row>
    <row r="9" ht="15" customHeight="1" s="129">
      <c r="A9" s="130" t="n"/>
      <c r="B9" s="236" t="inlineStr">
        <is>
          <t>GP Equity ($)</t>
        </is>
      </c>
      <c r="C9" s="210">
        <f>C6*C8</f>
        <v/>
      </c>
    </row>
    <row r="10" ht="15" customHeight="1" s="129">
      <c r="A10" s="130" t="n"/>
      <c r="B10" s="236" t="inlineStr">
        <is>
          <t>LP Equity ($)</t>
        </is>
      </c>
      <c r="C10" s="210">
        <f>C7*C8</f>
        <v/>
      </c>
    </row>
    <row r="11" ht="15" customHeight="1" s="129">
      <c r="A11" s="130" t="n"/>
      <c r="B11" s="130" t="n"/>
      <c r="C11" s="130" t="n"/>
    </row>
    <row r="12" ht="25.5" customHeight="1" s="129">
      <c r="A12" s="153" t="inlineStr">
        <is>
          <t xml:space="preserve">  MONEY IN — EQUITY INVESTED</t>
        </is>
      </c>
    </row>
    <row r="13" ht="15" customHeight="1" s="129">
      <c r="A13" s="130" t="n"/>
      <c r="B13" s="186" t="n"/>
      <c r="C13" s="186" t="inlineStr">
        <is>
          <t>Amount</t>
        </is>
      </c>
    </row>
    <row r="14" ht="15" customHeight="1" s="129">
      <c r="A14" s="130" t="n"/>
      <c r="B14" s="238" t="inlineStr">
        <is>
          <t>Total Equity Invested</t>
        </is>
      </c>
      <c r="C14" s="210">
        <f>C8</f>
        <v/>
      </c>
    </row>
    <row r="15" ht="15" customHeight="1" s="129">
      <c r="A15" s="130" t="n"/>
      <c r="B15" s="130" t="n"/>
      <c r="C15" s="130" t="n"/>
    </row>
    <row r="16" ht="25.5" customHeight="1" s="129">
      <c r="A16" s="153" t="inlineStr">
        <is>
          <t xml:space="preserve">  MONEY OUT — NET SALE PROCEEDS</t>
        </is>
      </c>
    </row>
    <row r="17" ht="15" customHeight="1" s="129">
      <c r="A17" s="130" t="n"/>
      <c r="B17" s="186" t="n"/>
      <c r="C17" s="186" t="inlineStr">
        <is>
          <t>Amount</t>
        </is>
      </c>
    </row>
    <row r="18" ht="15" customHeight="1" s="129">
      <c r="A18" s="130" t="n"/>
      <c r="B18" s="236" t="inlineStr">
        <is>
          <t xml:space="preserve">  Gross Sale Price (ARV)</t>
        </is>
      </c>
      <c r="C18" s="210">
        <f>'Sale Analysis'!C33</f>
        <v/>
      </c>
    </row>
    <row r="19" ht="15" customHeight="1" s="129">
      <c r="A19" s="130" t="n"/>
      <c r="B19" s="236" t="inlineStr">
        <is>
          <t xml:space="preserve">  Less: Broker Commission</t>
        </is>
      </c>
      <c r="C19" s="210">
        <f>'Sale Analysis'!C35</f>
        <v/>
      </c>
    </row>
    <row r="20" ht="15" customHeight="1" s="129">
      <c r="A20" s="130" t="n"/>
      <c r="B20" s="236" t="inlineStr">
        <is>
          <t xml:space="preserve">  Less: Transfer Tax</t>
        </is>
      </c>
      <c r="C20" s="210">
        <f>'Sale Analysis'!C36</f>
        <v/>
      </c>
    </row>
    <row r="21" ht="15" customHeight="1" s="129">
      <c r="A21" s="130" t="n"/>
      <c r="B21" s="236" t="inlineStr">
        <is>
          <t xml:space="preserve">  Less: Other Closing Costs</t>
        </is>
      </c>
      <c r="C21" s="210">
        <f>'Sale Analysis'!C37</f>
        <v/>
      </c>
    </row>
    <row r="22" ht="15" customHeight="1" s="129">
      <c r="A22" s="130" t="n"/>
      <c r="B22" s="236" t="inlineStr">
        <is>
          <t xml:space="preserve">  Less: Loan Payoff</t>
        </is>
      </c>
      <c r="C22" s="210">
        <f>'Sale Analysis'!C38</f>
        <v/>
      </c>
    </row>
    <row r="23" ht="15" customHeight="1" s="129">
      <c r="A23" s="130" t="n"/>
      <c r="B23" s="130" t="n"/>
      <c r="C23" s="130" t="n"/>
    </row>
    <row r="24" ht="15" customHeight="1" s="129">
      <c r="A24" s="229" t="n"/>
      <c r="B24" s="230" t="inlineStr">
        <is>
          <t>NET SALE PROCEEDS</t>
        </is>
      </c>
      <c r="C24" s="231">
        <f>'Sale Analysis'!C40</f>
        <v/>
      </c>
    </row>
    <row r="25" ht="15" customHeight="1" s="129">
      <c r="A25" s="130" t="n"/>
      <c r="B25" s="130" t="n"/>
      <c r="C25" s="130" t="n"/>
    </row>
    <row r="26" ht="25.5" customHeight="1" s="129">
      <c r="A26" s="153" t="inlineStr">
        <is>
          <t xml:space="preserve">  PROJECT TIMELINE</t>
        </is>
      </c>
    </row>
    <row r="27" ht="15" customHeight="1" s="129">
      <c r="A27" s="130" t="n"/>
      <c r="B27" s="186" t="n"/>
      <c r="C27" s="186" t="inlineStr">
        <is>
          <t>Months</t>
        </is>
      </c>
    </row>
    <row r="28" ht="15" customHeight="1" s="129">
      <c r="A28" s="130" t="n"/>
      <c r="B28" s="236" t="inlineStr">
        <is>
          <t>Construction / Renovation Period</t>
        </is>
      </c>
      <c r="C28" s="239">
        <f>'Sale Analysis'!C15</f>
        <v/>
      </c>
    </row>
    <row r="29" ht="15" customHeight="1" s="129">
      <c r="A29" s="130" t="n"/>
      <c r="B29" s="236" t="inlineStr">
        <is>
          <t>Marketing / Sale Period</t>
        </is>
      </c>
      <c r="C29" s="239">
        <f>'Sale Analysis'!C16</f>
        <v/>
      </c>
    </row>
    <row r="30" ht="15" customHeight="1" s="129">
      <c r="A30" s="130" t="n"/>
      <c r="B30" s="238" t="inlineStr">
        <is>
          <t>Total Hold Period (Months)</t>
        </is>
      </c>
      <c r="C30" s="235">
        <f>'Sale Analysis'!C17</f>
        <v/>
      </c>
    </row>
    <row r="31" ht="15" customHeight="1" s="129">
      <c r="A31" s="130" t="n"/>
      <c r="B31" s="238" t="inlineStr">
        <is>
          <t>Hold Period (Years)</t>
        </is>
      </c>
      <c r="C31" s="240">
        <f>C30/12</f>
        <v/>
      </c>
    </row>
    <row r="32" ht="15" customHeight="1" s="129">
      <c r="A32" s="130" t="n"/>
      <c r="B32" s="130" t="n"/>
      <c r="C32" s="130" t="n"/>
    </row>
    <row r="33" ht="25.5" customHeight="1" s="129">
      <c r="A33" s="153" t="inlineStr">
        <is>
          <t xml:space="preserve">  PROJECT-LEVEL RETURNS</t>
        </is>
      </c>
    </row>
    <row r="34" ht="15" customHeight="1" s="129">
      <c r="A34" s="130" t="n"/>
      <c r="B34" s="186" t="n"/>
      <c r="C34" s="186" t="inlineStr">
        <is>
          <t>Value</t>
        </is>
      </c>
    </row>
    <row r="35" ht="15" customHeight="1" s="129">
      <c r="A35" s="130" t="n"/>
      <c r="B35" s="238" t="inlineStr">
        <is>
          <t>Net Profit</t>
        </is>
      </c>
      <c r="C35" s="241">
        <f>C24-C14</f>
        <v/>
      </c>
    </row>
    <row r="36" ht="15" customHeight="1" s="129">
      <c r="A36" s="130" t="n"/>
      <c r="B36" s="238" t="inlineStr">
        <is>
          <t>Equity Multiple</t>
        </is>
      </c>
      <c r="C36" s="234">
        <f>IF(C14&gt;0,C24/C14,0)</f>
        <v/>
      </c>
    </row>
    <row r="37" ht="15" customHeight="1" s="129">
      <c r="A37" s="130" t="n"/>
      <c r="B37" s="238" t="inlineStr">
        <is>
          <t>Total Return on Equity</t>
        </is>
      </c>
      <c r="C37" s="233">
        <f>IF(C14&gt;0,C35/C14,0)</f>
        <v/>
      </c>
    </row>
    <row r="38" ht="15" customHeight="1" s="129">
      <c r="A38" s="130" t="n"/>
      <c r="B38" s="238" t="inlineStr">
        <is>
          <t>Annualized ROE</t>
        </is>
      </c>
      <c r="C38" s="233">
        <f>IF(AND(C14&gt;0,C31&gt;0),(1+C37)^(1/C31)-1,0)</f>
        <v/>
      </c>
    </row>
    <row r="39" ht="15" customHeight="1" s="129">
      <c r="A39" s="130" t="n"/>
      <c r="B39" s="238" t="inlineStr">
        <is>
          <t>Project IRR (Annualized)</t>
        </is>
      </c>
      <c r="C39" s="233">
        <f>IF(AND(C14&gt;0,C30&gt;0,C24&gt;0),IFERROR((1+RATE(C30,0,-C14,C24))^12-1,"N/A"),"N/A")</f>
        <v/>
      </c>
    </row>
    <row r="40" ht="15" customHeight="1" s="129">
      <c r="A40" s="130" t="n"/>
      <c r="B40" s="130" t="n"/>
      <c r="C40" s="130" t="n"/>
    </row>
    <row r="41" ht="25.5" customHeight="1" s="129">
      <c r="A41" s="153" t="inlineStr">
        <is>
          <t xml:space="preserve">  LP / GP DISTRIBUTION</t>
        </is>
      </c>
    </row>
    <row r="42" ht="15" customHeight="1" s="129">
      <c r="A42" s="130" t="n"/>
      <c r="B42" s="186" t="n"/>
      <c r="C42" s="186" t="inlineStr">
        <is>
          <t>Amount</t>
        </is>
      </c>
    </row>
    <row r="43" ht="15" customHeight="1" s="129">
      <c r="A43" s="130" t="n"/>
      <c r="B43" s="236" t="inlineStr">
        <is>
          <t>LP Share of Proceeds</t>
        </is>
      </c>
      <c r="C43" s="210">
        <f>IF(C24&gt;0,C10+MAX(0,C35)*Assumptions!$C$178,MAX(C24*C7,0))</f>
        <v/>
      </c>
    </row>
    <row r="44" ht="15" customHeight="1" s="129">
      <c r="A44" s="130" t="n"/>
      <c r="B44" s="236" t="inlineStr">
        <is>
          <t>GP Share of Proceeds</t>
        </is>
      </c>
      <c r="C44" s="210">
        <f>C24-C43</f>
        <v/>
      </c>
    </row>
    <row r="45" ht="15" customHeight="1" s="129">
      <c r="A45" s="130" t="n"/>
      <c r="B45" s="130" t="n"/>
      <c r="C45" s="130" t="n"/>
    </row>
    <row r="46" ht="15" customHeight="1" s="129">
      <c r="A46" s="242" t="n"/>
      <c r="B46" s="243" t="inlineStr">
        <is>
          <t>LP RETURNS</t>
        </is>
      </c>
      <c r="C46" s="242" t="n"/>
    </row>
    <row r="47" ht="15" customHeight="1" s="129">
      <c r="A47" s="130" t="n"/>
      <c r="B47" s="236" t="inlineStr">
        <is>
          <t>LP Equity Invested</t>
        </is>
      </c>
      <c r="C47" s="241">
        <f>C10</f>
        <v/>
      </c>
    </row>
    <row r="48" ht="15" customHeight="1" s="129">
      <c r="A48" s="130" t="n"/>
      <c r="B48" s="236" t="inlineStr">
        <is>
          <t>LP Total Distributions</t>
        </is>
      </c>
      <c r="C48" s="241">
        <f>C43</f>
        <v/>
      </c>
    </row>
    <row r="49" ht="15" customHeight="1" s="129">
      <c r="A49" s="130" t="n"/>
      <c r="B49" s="236" t="inlineStr">
        <is>
          <t>LP Profit</t>
        </is>
      </c>
      <c r="C49" s="241">
        <f>C43-C10</f>
        <v/>
      </c>
    </row>
    <row r="50" ht="15" customHeight="1" s="129">
      <c r="A50" s="130" t="n"/>
      <c r="B50" s="236" t="inlineStr">
        <is>
          <t>LP Equity Multiple</t>
        </is>
      </c>
      <c r="C50" s="234">
        <f>IF(C10&gt;0,C43/C10,0)</f>
        <v/>
      </c>
    </row>
    <row r="51" ht="15" customHeight="1" s="129">
      <c r="A51" s="130" t="n"/>
      <c r="B51" s="236" t="inlineStr">
        <is>
          <t>LP Annualized ROE</t>
        </is>
      </c>
      <c r="C51" s="233">
        <f>IF(AND(C10&gt;0,C31&gt;0),(1+(C43-C10)/C10)^(1/C31)-1,0)</f>
        <v/>
      </c>
    </row>
    <row r="52" ht="15" customHeight="1" s="129">
      <c r="A52" s="130" t="n"/>
      <c r="B52" s="236" t="inlineStr">
        <is>
          <t>LP IRR</t>
        </is>
      </c>
      <c r="C52" s="233">
        <f>IF(AND(C10&gt;0,C30&gt;0,C43&gt;0),IFERROR((1+RATE(C30,0,-C10,C43))^12-1,"N/A"),"N/A")</f>
        <v/>
      </c>
    </row>
    <row r="53" ht="15" customHeight="1" s="129">
      <c r="A53" s="130" t="n"/>
      <c r="B53" s="130" t="n"/>
      <c r="C53" s="130" t="n"/>
    </row>
    <row r="54" ht="15" customHeight="1" s="129">
      <c r="A54" s="242" t="n"/>
      <c r="B54" s="243" t="inlineStr">
        <is>
          <t>GP RETURNS</t>
        </is>
      </c>
      <c r="C54" s="242" t="n"/>
    </row>
    <row r="55" ht="15" customHeight="1" s="129">
      <c r="A55" s="130" t="n"/>
      <c r="B55" s="236" t="inlineStr">
        <is>
          <t>GP Equity Invested</t>
        </is>
      </c>
      <c r="C55" s="241">
        <f>C9</f>
        <v/>
      </c>
    </row>
    <row r="56" ht="15" customHeight="1" s="129">
      <c r="A56" s="130" t="n"/>
      <c r="B56" s="236" t="inlineStr">
        <is>
          <t>GP Total Distributions</t>
        </is>
      </c>
      <c r="C56" s="241">
        <f>C44</f>
        <v/>
      </c>
    </row>
    <row r="57" ht="15" customHeight="1" s="129">
      <c r="A57" s="130" t="n"/>
      <c r="B57" s="236" t="inlineStr">
        <is>
          <t>GP Profit</t>
        </is>
      </c>
      <c r="C57" s="241">
        <f>C44-C9</f>
        <v/>
      </c>
    </row>
    <row r="58" ht="15" customHeight="1" s="129">
      <c r="A58" s="130" t="n"/>
      <c r="B58" s="236" t="inlineStr">
        <is>
          <t>GP Equity Multiple</t>
        </is>
      </c>
      <c r="C58" s="234">
        <f>IF(C9&gt;0,C44/C9,0)</f>
        <v/>
      </c>
    </row>
    <row r="59" ht="15" customHeight="1" s="129">
      <c r="A59" s="130" t="n"/>
      <c r="B59" s="236" t="inlineStr">
        <is>
          <t>GP Annualized ROE</t>
        </is>
      </c>
      <c r="C59" s="233">
        <f>IF(AND(C9&gt;0,C31&gt;0),(1+(C44-C9)/C9)^(1/C31)-1,0)</f>
        <v/>
      </c>
    </row>
    <row r="60" ht="15" customHeight="1" s="129">
      <c r="A60" s="130" t="n"/>
      <c r="B60" s="130" t="n"/>
      <c r="C60" s="130" t="n"/>
    </row>
    <row r="61" ht="15" customHeight="1" s="129">
      <c r="A61" s="130" t="n"/>
      <c r="B61" s="130" t="n"/>
      <c r="C61" s="130" t="n"/>
    </row>
    <row r="62" ht="15" customHeight="1" s="129">
      <c r="A62" s="200" t="n"/>
      <c r="B62" s="213" t="inlineStr">
        <is>
          <t>VERIFICATION: LP + GP = Net Proceeds</t>
        </is>
      </c>
      <c r="C62" s="201">
        <f>C43+C44-C24</f>
        <v/>
      </c>
    </row>
    <row r="63" ht="15" customHeight="1" s="129">
      <c r="A63" s="130" t="n"/>
      <c r="B63" s="148" t="inlineStr">
        <is>
          <t>(Should equal $0)</t>
        </is>
      </c>
      <c r="C63" s="130" t="n"/>
    </row>
    <row r="64" ht="15" customHeight="1" s="129">
      <c r="A64" s="130" t="n"/>
      <c r="B64" s="130" t="n"/>
      <c r="C64" s="130" t="n"/>
    </row>
    <row r="65" ht="15" customHeight="1" s="129">
      <c r="A65" s="130" t="n"/>
      <c r="B65" s="130" t="n"/>
      <c r="C65" s="130" t="n"/>
    </row>
    <row r="66" ht="15" customHeight="1" s="129">
      <c r="A66" s="130" t="n"/>
      <c r="B66" s="130" t="n"/>
      <c r="C66" s="130" t="n"/>
    </row>
    <row r="67" ht="15" customHeight="1" s="129">
      <c r="A67" s="130" t="n"/>
      <c r="B67" s="130" t="n"/>
      <c r="C67" s="130" t="n"/>
    </row>
  </sheetData>
  <mergeCells count="8">
    <mergeCell ref="A41:C41"/>
    <mergeCell ref="A33:C33"/>
    <mergeCell ref="A1:C1"/>
    <mergeCell ref="A2:C2"/>
    <mergeCell ref="A12:C12"/>
    <mergeCell ref="A4:C4"/>
    <mergeCell ref="A26:C26"/>
    <mergeCell ref="A16:C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3E6844"/>
    <outlinePr summaryBelow="1" summaryRight="1"/>
    <pageSetUpPr fitToPage="0"/>
  </sheetPr>
  <dimension ref="A1:B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28" min="1" max="1"/>
    <col width="22" customWidth="1" style="128" min="2" max="2"/>
  </cols>
  <sheetData>
    <row r="1" ht="19.5" customHeight="1" s="129">
      <c r="A1" s="185" t="inlineStr">
        <is>
          <t>RETURNS SUMMARY</t>
        </is>
      </c>
    </row>
    <row r="2" ht="15" customHeight="1" s="129">
      <c r="A2" s="148" t="inlineStr">
        <is>
          <t>All values reference other tabs. No hardcoded numbers.</t>
        </is>
      </c>
    </row>
    <row r="3" ht="15" customHeight="1" s="129">
      <c r="A3" s="130" t="n"/>
      <c r="B3" s="130" t="n"/>
    </row>
    <row r="4" ht="15" customHeight="1" s="129">
      <c r="A4" s="138" t="inlineStr">
        <is>
          <t>Investment Overview</t>
        </is>
      </c>
    </row>
    <row r="5" ht="15" customHeight="1" s="129">
      <c r="A5" s="135" t="inlineStr">
        <is>
          <t>Property</t>
        </is>
      </c>
      <c r="B5" s="244">
        <f>Assumptions!C5</f>
        <v/>
      </c>
    </row>
    <row r="6" ht="15" customHeight="1" s="129">
      <c r="A6" s="135" t="inlineStr">
        <is>
          <t>Purchase Price</t>
        </is>
      </c>
      <c r="B6" s="189">
        <f>Assumptions!C17</f>
        <v/>
      </c>
    </row>
    <row r="7" ht="15" customHeight="1" s="129">
      <c r="A7" s="135" t="inlineStr">
        <is>
          <t>Total Project Cost</t>
        </is>
      </c>
      <c r="B7" s="189">
        <f>Assumptions!C89</f>
        <v/>
      </c>
    </row>
    <row r="8" ht="15" customHeight="1" s="129">
      <c r="A8" s="135" t="inlineStr">
        <is>
          <t>Total Equity</t>
        </is>
      </c>
      <c r="B8" s="189">
        <f>Assumptions!C91</f>
        <v/>
      </c>
    </row>
    <row r="9" ht="15" customHeight="1" s="129">
      <c r="A9" s="135" t="inlineStr">
        <is>
          <t>Hold Period</t>
        </is>
      </c>
      <c r="B9" s="245">
        <f>Assumptions!C14</f>
        <v/>
      </c>
    </row>
    <row r="10" ht="15" customHeight="1" s="129">
      <c r="A10" s="130" t="n"/>
      <c r="B10" s="130" t="n"/>
    </row>
    <row r="11" ht="15" customHeight="1" s="129">
      <c r="A11" s="138" t="inlineStr">
        <is>
          <t>Return Metrics</t>
        </is>
      </c>
    </row>
    <row r="12" ht="15" customHeight="1" s="129">
      <c r="A12" s="135" t="inlineStr">
        <is>
          <t>Year 1 NOI</t>
        </is>
      </c>
      <c r="B12" s="189" t="n">
        <v>0</v>
      </c>
    </row>
    <row r="13" ht="15" customHeight="1" s="129">
      <c r="A13" s="135" t="inlineStr">
        <is>
          <t>Going-In Cap Rate</t>
        </is>
      </c>
      <c r="B13" s="246">
        <f>IF(Assumptions!C17&gt;0,B12/Assumptions!C17,0)</f>
        <v/>
      </c>
    </row>
    <row r="14" ht="15" customHeight="1" s="129">
      <c r="A14" s="135" t="inlineStr">
        <is>
          <t>Year 1 Cash-on-Cash</t>
        </is>
      </c>
      <c r="B14" s="247" t="n">
        <v>0</v>
      </c>
    </row>
    <row r="15" ht="15" customHeight="1" s="129">
      <c r="A15" s="135" t="inlineStr">
        <is>
          <t>Year 1 DSCR</t>
        </is>
      </c>
      <c r="B15" s="144" t="n">
        <v>0</v>
      </c>
    </row>
    <row r="16" ht="15" customHeight="1" s="129">
      <c r="A16" s="135" t="inlineStr">
        <is>
          <t>Exit Cap Rate</t>
        </is>
      </c>
      <c r="B16" s="248">
        <f>Assumptions!C171</f>
        <v/>
      </c>
    </row>
    <row r="17" ht="15" customHeight="1" s="129">
      <c r="A17" s="135" t="inlineStr">
        <is>
          <t>Gross Sale Price</t>
        </is>
      </c>
      <c r="B17" s="189">
        <f>'Sale Analysis'!C33</f>
        <v/>
      </c>
    </row>
    <row r="18" ht="15" customHeight="1" s="129">
      <c r="A18" s="130" t="n"/>
      <c r="B18" s="130" t="n"/>
    </row>
    <row r="19" ht="15" customHeight="1" s="129">
      <c r="A19" s="138" t="inlineStr">
        <is>
          <t>Equity Multiple &amp; Distributions</t>
        </is>
      </c>
    </row>
    <row r="20" ht="15" customHeight="1" s="129">
      <c r="A20" s="135" t="inlineStr">
        <is>
          <t>Total Operating CF</t>
        </is>
      </c>
      <c r="B20" s="189" t="n">
        <v>0</v>
      </c>
    </row>
    <row r="21" ht="15" customHeight="1" s="129">
      <c r="A21" s="135" t="inlineStr">
        <is>
          <t>Total Refi Proceeds</t>
        </is>
      </c>
      <c r="B21" s="189" t="n">
        <v>0</v>
      </c>
    </row>
    <row r="22" ht="15" customHeight="1" s="129">
      <c r="A22" s="135" t="inlineStr">
        <is>
          <t>Net Exit Proceeds</t>
        </is>
      </c>
      <c r="B22" s="189">
        <f>'Cash Waterfall'!C24</f>
        <v/>
      </c>
    </row>
    <row r="23" ht="15" customHeight="1" s="129">
      <c r="A23" s="249" t="inlineStr">
        <is>
          <t>Total Distributions</t>
        </is>
      </c>
      <c r="B23" s="162">
        <f>B20+B21+B22</f>
        <v/>
      </c>
    </row>
    <row r="24" ht="15" customHeight="1" s="129">
      <c r="A24" s="130" t="n"/>
      <c r="B24" s="130" t="n"/>
    </row>
    <row r="25" ht="17.25" customHeight="1" s="129">
      <c r="A25" s="250" t="inlineStr">
        <is>
          <t>EQUITY MULTIPLE</t>
        </is>
      </c>
      <c r="B25" s="251">
        <f>'Cash Waterfall'!C36</f>
        <v/>
      </c>
    </row>
    <row r="26" ht="15" customHeight="1" s="129">
      <c r="A26" s="130" t="n"/>
      <c r="B26" s="130" t="n"/>
    </row>
    <row r="27" ht="15" customHeight="1" s="129">
      <c r="A27" s="230" t="inlineStr">
        <is>
          <t>LP IRR (from Waterfall)</t>
        </is>
      </c>
      <c r="B27" s="252" t="n">
        <v>0</v>
      </c>
    </row>
    <row r="28" ht="15" customHeight="1" s="129">
      <c r="A28" s="230" t="inlineStr">
        <is>
          <t>LP Equity Multiple</t>
        </is>
      </c>
      <c r="B28" s="253" t="n">
        <v>0</v>
      </c>
    </row>
    <row r="29" ht="15" customHeight="1" s="129">
      <c r="A29" s="230" t="inlineStr">
        <is>
          <t>GP IRR</t>
        </is>
      </c>
      <c r="B29" s="252" t="n">
        <v>0</v>
      </c>
    </row>
    <row r="30" ht="15" customHeight="1" s="129">
      <c r="A30" s="230" t="inlineStr">
        <is>
          <t>GP Equity Multiple</t>
        </is>
      </c>
      <c r="B30" s="253" t="n">
        <v>0</v>
      </c>
    </row>
    <row r="31" ht="15" customHeight="1" s="129">
      <c r="A31" s="230" t="inlineStr">
        <is>
          <t>Levered IRR (Property)</t>
        </is>
      </c>
      <c r="B31" s="252">
        <f>'Cash Waterfall'!C39</f>
        <v/>
      </c>
    </row>
  </sheetData>
  <mergeCells count="5">
    <mergeCell ref="A4:B4"/>
    <mergeCell ref="A2:B2"/>
    <mergeCell ref="A19:B19"/>
    <mergeCell ref="A11:B11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3E6844"/>
    <outlinePr summaryBelow="1" summaryRight="1"/>
    <pageSetUpPr fitToPage="0"/>
  </sheetPr>
  <dimension ref="A1:R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128" min="1" max="1"/>
    <col width="16" customWidth="1" style="128" min="2" max="2"/>
    <col width="14" customWidth="1" style="128" min="3" max="9"/>
    <col width="3" customWidth="1" style="128" min="10" max="10"/>
    <col width="16" customWidth="1" style="128" min="11" max="11"/>
    <col width="14" customWidth="1" style="128" min="12" max="18"/>
  </cols>
  <sheetData>
    <row r="1" ht="36" customHeight="1" s="129">
      <c r="A1" s="207" t="inlineStr">
        <is>
          <t>SENSITIVITY ANALYSIS</t>
        </is>
      </c>
    </row>
    <row r="2" ht="15" customHeight="1" s="129">
      <c r="A2" s="208" t="inlineStr">
        <is>
          <t>How key returns change across different scenarios. Rent Growth (columns) × Exit Cap Rate (rows).</t>
        </is>
      </c>
    </row>
    <row r="3" ht="15" customHeight="1" s="129">
      <c r="A3" s="130" t="n"/>
      <c r="B3" s="130" t="n"/>
      <c r="C3" s="130" t="n"/>
      <c r="D3" s="130" t="n"/>
      <c r="E3" s="130" t="n"/>
      <c r="F3" s="130" t="n"/>
      <c r="G3" s="130" t="n"/>
      <c r="H3" s="130" t="n"/>
      <c r="I3" s="130" t="n"/>
      <c r="J3" s="130" t="n"/>
      <c r="K3" s="130" t="n"/>
      <c r="L3" s="130" t="n"/>
      <c r="M3" s="130" t="n"/>
      <c r="N3" s="130" t="n"/>
      <c r="O3" s="130" t="n"/>
      <c r="P3" s="130" t="n"/>
      <c r="Q3" s="130" t="n"/>
      <c r="R3" s="130" t="n"/>
    </row>
    <row r="4" ht="15" customHeight="1" s="129">
      <c r="A4" s="130" t="n"/>
      <c r="B4" s="254" t="inlineStr">
        <is>
          <t>LEVERED IRR</t>
        </is>
      </c>
      <c r="I4" s="130" t="n"/>
      <c r="J4" s="130" t="n"/>
      <c r="K4" s="254" t="inlineStr">
        <is>
          <t>EQUITY MULTIPLE</t>
        </is>
      </c>
      <c r="R4" s="130" t="n"/>
    </row>
    <row r="5" ht="15" customHeight="1" s="129">
      <c r="A5" s="130" t="n"/>
      <c r="B5" s="148" t="inlineStr">
        <is>
          <t>Project-level IRR under different rent growth and exit cap assumptions</t>
        </is>
      </c>
      <c r="C5" s="130" t="n"/>
      <c r="D5" s="130" t="n"/>
      <c r="E5" s="130" t="n"/>
      <c r="F5" s="130" t="n"/>
      <c r="G5" s="130" t="n"/>
      <c r="H5" s="130" t="n"/>
      <c r="I5" s="130" t="n"/>
      <c r="J5" s="130" t="n"/>
      <c r="K5" s="148" t="inlineStr">
        <is>
          <t>Project-level equity multiple under different scenarios</t>
        </is>
      </c>
      <c r="L5" s="130" t="n"/>
      <c r="M5" s="130" t="n"/>
      <c r="N5" s="130" t="n"/>
      <c r="O5" s="130" t="n"/>
      <c r="P5" s="130" t="n"/>
      <c r="Q5" s="130" t="n"/>
      <c r="R5" s="130" t="n"/>
    </row>
    <row r="6" ht="15" customHeight="1" s="129">
      <c r="A6" s="130" t="n"/>
      <c r="B6" s="186" t="inlineStr">
        <is>
          <t>Exit Cap ↓  Rent Growth →</t>
        </is>
      </c>
      <c r="C6" s="255">
        <f>Assumptions!$C$200+0*Assumptions!$C$202</f>
        <v/>
      </c>
      <c r="D6" s="255">
        <f>Assumptions!$C$200+1*Assumptions!$C$202</f>
        <v/>
      </c>
      <c r="E6" s="255">
        <f>Assumptions!$C$200+2*Assumptions!$C$202</f>
        <v/>
      </c>
      <c r="F6" s="255">
        <f>Assumptions!$C$200+3*Assumptions!$C$202</f>
        <v/>
      </c>
      <c r="G6" s="255">
        <f>Assumptions!$C$200+4*Assumptions!$C$202</f>
        <v/>
      </c>
      <c r="H6" s="255">
        <f>Assumptions!$C$200+5*Assumptions!$C$202</f>
        <v/>
      </c>
      <c r="I6" s="130" t="n"/>
      <c r="J6" s="130" t="n"/>
      <c r="K6" s="186" t="inlineStr">
        <is>
          <t>Exit Cap ↓  Rent Growth →</t>
        </is>
      </c>
      <c r="L6" s="255">
        <f>Assumptions!$C$200+0*Assumptions!$C$202</f>
        <v/>
      </c>
      <c r="M6" s="255">
        <f>Assumptions!$C$200+1*Assumptions!$C$202</f>
        <v/>
      </c>
      <c r="N6" s="255">
        <f>Assumptions!$C$200+2*Assumptions!$C$202</f>
        <v/>
      </c>
      <c r="O6" s="255">
        <f>Assumptions!$C$200+3*Assumptions!$C$202</f>
        <v/>
      </c>
      <c r="P6" s="255">
        <f>Assumptions!$C$200+4*Assumptions!$C$202</f>
        <v/>
      </c>
      <c r="Q6" s="255">
        <f>Assumptions!$C$200+5*Assumptions!$C$202</f>
        <v/>
      </c>
      <c r="R6" s="130" t="n"/>
    </row>
    <row r="7" ht="15" customHeight="1" s="129">
      <c r="A7" s="130" t="n"/>
      <c r="B7" s="256">
        <f>Assumptions!$C$203+0*Assumptions!$C$205</f>
        <v/>
      </c>
      <c r="C7" s="257" t="inlineStr">
        <is>
          <t>—</t>
        </is>
      </c>
      <c r="D7" s="257" t="inlineStr">
        <is>
          <t>—</t>
        </is>
      </c>
      <c r="E7" s="257" t="inlineStr">
        <is>
          <t>—</t>
        </is>
      </c>
      <c r="F7" s="257" t="inlineStr">
        <is>
          <t>—</t>
        </is>
      </c>
      <c r="G7" s="257" t="inlineStr">
        <is>
          <t>—</t>
        </is>
      </c>
      <c r="H7" s="257" t="inlineStr">
        <is>
          <t>—</t>
        </is>
      </c>
      <c r="I7" s="130" t="n"/>
      <c r="J7" s="130" t="n"/>
      <c r="K7" s="256">
        <f>Assumptions!$C$203+0*Assumptions!$C$205</f>
        <v/>
      </c>
      <c r="L7" s="258" t="inlineStr">
        <is>
          <t>—</t>
        </is>
      </c>
      <c r="M7" s="258" t="inlineStr">
        <is>
          <t>—</t>
        </is>
      </c>
      <c r="N7" s="258" t="inlineStr">
        <is>
          <t>—</t>
        </is>
      </c>
      <c r="O7" s="258" t="inlineStr">
        <is>
          <t>—</t>
        </is>
      </c>
      <c r="P7" s="258" t="inlineStr">
        <is>
          <t>—</t>
        </is>
      </c>
      <c r="Q7" s="258" t="inlineStr">
        <is>
          <t>—</t>
        </is>
      </c>
      <c r="R7" s="130" t="n"/>
    </row>
    <row r="8" ht="15" customHeight="1" s="129">
      <c r="A8" s="130" t="n"/>
      <c r="B8" s="256">
        <f>Assumptions!$C$203+1*Assumptions!$C$205</f>
        <v/>
      </c>
      <c r="C8" s="257" t="inlineStr">
        <is>
          <t>—</t>
        </is>
      </c>
      <c r="D8" s="257" t="inlineStr">
        <is>
          <t>—</t>
        </is>
      </c>
      <c r="E8" s="257" t="inlineStr">
        <is>
          <t>—</t>
        </is>
      </c>
      <c r="F8" s="257" t="inlineStr">
        <is>
          <t>—</t>
        </is>
      </c>
      <c r="G8" s="257" t="inlineStr">
        <is>
          <t>—</t>
        </is>
      </c>
      <c r="H8" s="257" t="inlineStr">
        <is>
          <t>—</t>
        </is>
      </c>
      <c r="I8" s="130" t="n"/>
      <c r="J8" s="130" t="n"/>
      <c r="K8" s="256">
        <f>Assumptions!$C$203+1*Assumptions!$C$205</f>
        <v/>
      </c>
      <c r="L8" s="258" t="inlineStr">
        <is>
          <t>—</t>
        </is>
      </c>
      <c r="M8" s="258" t="inlineStr">
        <is>
          <t>—</t>
        </is>
      </c>
      <c r="N8" s="258" t="inlineStr">
        <is>
          <t>—</t>
        </is>
      </c>
      <c r="O8" s="258" t="inlineStr">
        <is>
          <t>—</t>
        </is>
      </c>
      <c r="P8" s="258" t="inlineStr">
        <is>
          <t>—</t>
        </is>
      </c>
      <c r="Q8" s="258" t="inlineStr">
        <is>
          <t>—</t>
        </is>
      </c>
      <c r="R8" s="130" t="n"/>
    </row>
    <row r="9" ht="15" customHeight="1" s="129">
      <c r="A9" s="130" t="n"/>
      <c r="B9" s="256">
        <f>Assumptions!$C$203+2*Assumptions!$C$205</f>
        <v/>
      </c>
      <c r="C9" s="257" t="inlineStr">
        <is>
          <t>—</t>
        </is>
      </c>
      <c r="D9" s="257" t="inlineStr">
        <is>
          <t>—</t>
        </is>
      </c>
      <c r="E9" s="257" t="inlineStr">
        <is>
          <t>—</t>
        </is>
      </c>
      <c r="F9" s="257" t="inlineStr">
        <is>
          <t>—</t>
        </is>
      </c>
      <c r="G9" s="257" t="inlineStr">
        <is>
          <t>—</t>
        </is>
      </c>
      <c r="H9" s="257" t="inlineStr">
        <is>
          <t>—</t>
        </is>
      </c>
      <c r="I9" s="130" t="n"/>
      <c r="J9" s="130" t="n"/>
      <c r="K9" s="256">
        <f>Assumptions!$C$203+2*Assumptions!$C$205</f>
        <v/>
      </c>
      <c r="L9" s="258" t="inlineStr">
        <is>
          <t>—</t>
        </is>
      </c>
      <c r="M9" s="258" t="inlineStr">
        <is>
          <t>—</t>
        </is>
      </c>
      <c r="N9" s="258" t="inlineStr">
        <is>
          <t>—</t>
        </is>
      </c>
      <c r="O9" s="258" t="inlineStr">
        <is>
          <t>—</t>
        </is>
      </c>
      <c r="P9" s="258" t="inlineStr">
        <is>
          <t>—</t>
        </is>
      </c>
      <c r="Q9" s="258" t="inlineStr">
        <is>
          <t>—</t>
        </is>
      </c>
      <c r="R9" s="130" t="n"/>
    </row>
    <row r="10" ht="15" customHeight="1" s="129">
      <c r="A10" s="130" t="n"/>
      <c r="B10" s="256">
        <f>Assumptions!$C$203+3*Assumptions!$C$205</f>
        <v/>
      </c>
      <c r="C10" s="257" t="inlineStr">
        <is>
          <t>—</t>
        </is>
      </c>
      <c r="D10" s="257" t="inlineStr">
        <is>
          <t>—</t>
        </is>
      </c>
      <c r="E10" s="257" t="inlineStr">
        <is>
          <t>—</t>
        </is>
      </c>
      <c r="F10" s="257" t="inlineStr">
        <is>
          <t>—</t>
        </is>
      </c>
      <c r="G10" s="257" t="inlineStr">
        <is>
          <t>—</t>
        </is>
      </c>
      <c r="H10" s="257" t="inlineStr">
        <is>
          <t>—</t>
        </is>
      </c>
      <c r="I10" s="130" t="n"/>
      <c r="J10" s="130" t="n"/>
      <c r="K10" s="256">
        <f>Assumptions!$C$203+3*Assumptions!$C$205</f>
        <v/>
      </c>
      <c r="L10" s="258" t="inlineStr">
        <is>
          <t>—</t>
        </is>
      </c>
      <c r="M10" s="258" t="inlineStr">
        <is>
          <t>—</t>
        </is>
      </c>
      <c r="N10" s="258" t="inlineStr">
        <is>
          <t>—</t>
        </is>
      </c>
      <c r="O10" s="258" t="inlineStr">
        <is>
          <t>—</t>
        </is>
      </c>
      <c r="P10" s="258" t="inlineStr">
        <is>
          <t>—</t>
        </is>
      </c>
      <c r="Q10" s="258" t="inlineStr">
        <is>
          <t>—</t>
        </is>
      </c>
      <c r="R10" s="130" t="n"/>
    </row>
    <row r="11" ht="15" customHeight="1" s="129">
      <c r="A11" s="130" t="n"/>
      <c r="B11" s="256">
        <f>Assumptions!$C$203+4*Assumptions!$C$205</f>
        <v/>
      </c>
      <c r="C11" s="257" t="inlineStr">
        <is>
          <t>—</t>
        </is>
      </c>
      <c r="D11" s="257" t="inlineStr">
        <is>
          <t>—</t>
        </is>
      </c>
      <c r="E11" s="257" t="inlineStr">
        <is>
          <t>—</t>
        </is>
      </c>
      <c r="F11" s="257" t="inlineStr">
        <is>
          <t>—</t>
        </is>
      </c>
      <c r="G11" s="257" t="inlineStr">
        <is>
          <t>—</t>
        </is>
      </c>
      <c r="H11" s="257" t="inlineStr">
        <is>
          <t>—</t>
        </is>
      </c>
      <c r="I11" s="130" t="n"/>
      <c r="J11" s="130" t="n"/>
      <c r="K11" s="256">
        <f>Assumptions!$C$203+4*Assumptions!$C$205</f>
        <v/>
      </c>
      <c r="L11" s="258" t="inlineStr">
        <is>
          <t>—</t>
        </is>
      </c>
      <c r="M11" s="258" t="inlineStr">
        <is>
          <t>—</t>
        </is>
      </c>
      <c r="N11" s="258" t="inlineStr">
        <is>
          <t>—</t>
        </is>
      </c>
      <c r="O11" s="258" t="inlineStr">
        <is>
          <t>—</t>
        </is>
      </c>
      <c r="P11" s="258" t="inlineStr">
        <is>
          <t>—</t>
        </is>
      </c>
      <c r="Q11" s="258" t="inlineStr">
        <is>
          <t>—</t>
        </is>
      </c>
      <c r="R11" s="130" t="n"/>
    </row>
    <row r="12" ht="15" customHeight="1" s="129">
      <c r="A12" s="130" t="n"/>
      <c r="B12" s="256">
        <f>Assumptions!$C$203+5*Assumptions!$C$205</f>
        <v/>
      </c>
      <c r="C12" s="257" t="inlineStr">
        <is>
          <t>—</t>
        </is>
      </c>
      <c r="D12" s="257" t="inlineStr">
        <is>
          <t>—</t>
        </is>
      </c>
      <c r="E12" s="257" t="inlineStr">
        <is>
          <t>—</t>
        </is>
      </c>
      <c r="F12" s="257" t="inlineStr">
        <is>
          <t>—</t>
        </is>
      </c>
      <c r="G12" s="257" t="inlineStr">
        <is>
          <t>—</t>
        </is>
      </c>
      <c r="H12" s="257" t="inlineStr">
        <is>
          <t>—</t>
        </is>
      </c>
      <c r="I12" s="130" t="n"/>
      <c r="J12" s="130" t="n"/>
      <c r="K12" s="256">
        <f>Assumptions!$C$203+5*Assumptions!$C$205</f>
        <v/>
      </c>
      <c r="L12" s="258" t="inlineStr">
        <is>
          <t>—</t>
        </is>
      </c>
      <c r="M12" s="258" t="inlineStr">
        <is>
          <t>—</t>
        </is>
      </c>
      <c r="N12" s="258" t="inlineStr">
        <is>
          <t>—</t>
        </is>
      </c>
      <c r="O12" s="258" t="inlineStr">
        <is>
          <t>—</t>
        </is>
      </c>
      <c r="P12" s="258" t="inlineStr">
        <is>
          <t>—</t>
        </is>
      </c>
      <c r="Q12" s="258" t="inlineStr">
        <is>
          <t>—</t>
        </is>
      </c>
      <c r="R12" s="130" t="n"/>
    </row>
    <row r="13" ht="15" customHeight="1" s="129">
      <c r="A13" s="130" t="n"/>
      <c r="B13" s="256">
        <f>Assumptions!$C$203+6*Assumptions!$C$205</f>
        <v/>
      </c>
      <c r="C13" s="257" t="inlineStr">
        <is>
          <t>—</t>
        </is>
      </c>
      <c r="D13" s="257" t="inlineStr">
        <is>
          <t>—</t>
        </is>
      </c>
      <c r="E13" s="257" t="inlineStr">
        <is>
          <t>—</t>
        </is>
      </c>
      <c r="F13" s="257" t="inlineStr">
        <is>
          <t>—</t>
        </is>
      </c>
      <c r="G13" s="257" t="inlineStr">
        <is>
          <t>—</t>
        </is>
      </c>
      <c r="H13" s="257" t="inlineStr">
        <is>
          <t>—</t>
        </is>
      </c>
      <c r="I13" s="130" t="n"/>
      <c r="J13" s="130" t="n"/>
      <c r="K13" s="256">
        <f>Assumptions!$C$203+6*Assumptions!$C$205</f>
        <v/>
      </c>
      <c r="L13" s="258" t="inlineStr">
        <is>
          <t>—</t>
        </is>
      </c>
      <c r="M13" s="258" t="inlineStr">
        <is>
          <t>—</t>
        </is>
      </c>
      <c r="N13" s="258" t="inlineStr">
        <is>
          <t>—</t>
        </is>
      </c>
      <c r="O13" s="258" t="inlineStr">
        <is>
          <t>—</t>
        </is>
      </c>
      <c r="P13" s="258" t="inlineStr">
        <is>
          <t>—</t>
        </is>
      </c>
      <c r="Q13" s="258" t="inlineStr">
        <is>
          <t>—</t>
        </is>
      </c>
      <c r="R13" s="130" t="n"/>
    </row>
    <row r="14" ht="15" customHeight="1" s="129">
      <c r="A14" s="130" t="n"/>
      <c r="B14" s="130" t="n"/>
      <c r="C14" s="130" t="n"/>
      <c r="D14" s="130" t="n"/>
      <c r="E14" s="130" t="n"/>
      <c r="F14" s="130" t="n"/>
      <c r="G14" s="130" t="n"/>
      <c r="H14" s="130" t="n"/>
      <c r="I14" s="130" t="n"/>
      <c r="J14" s="130" t="n"/>
      <c r="K14" s="130" t="n"/>
      <c r="L14" s="130" t="n"/>
      <c r="M14" s="130" t="n"/>
      <c r="N14" s="130" t="n"/>
      <c r="O14" s="130" t="n"/>
      <c r="P14" s="130" t="n"/>
      <c r="Q14" s="130" t="n"/>
      <c r="R14" s="130" t="n"/>
    </row>
    <row r="15" ht="15" customHeight="1" s="129">
      <c r="A15" s="130" t="n"/>
      <c r="B15" s="148" t="inlineStr">
        <is>
          <t>Values calculated by Python underwriting script (requires iterative IRR calculation).</t>
        </is>
      </c>
      <c r="C15" s="130" t="n"/>
      <c r="D15" s="130" t="n"/>
      <c r="E15" s="130" t="n"/>
      <c r="F15" s="130" t="n"/>
      <c r="G15" s="130" t="n"/>
      <c r="H15" s="130" t="n"/>
      <c r="I15" s="130" t="n"/>
      <c r="J15" s="130" t="n"/>
      <c r="K15" s="148" t="inlineStr">
        <is>
          <t>Values calculated by Python underwriting script.</t>
        </is>
      </c>
      <c r="L15" s="130" t="n"/>
      <c r="M15" s="130" t="n"/>
      <c r="N15" s="130" t="n"/>
      <c r="O15" s="130" t="n"/>
      <c r="P15" s="130" t="n"/>
      <c r="Q15" s="130" t="n"/>
      <c r="R15" s="130" t="n"/>
    </row>
    <row r="16" ht="25.5" customHeight="1" s="129">
      <c r="A16" s="153" t="inlineStr">
        <is>
          <t xml:space="preserve">  OPERATING METRICS SENSITIVITY</t>
        </is>
      </c>
    </row>
    <row r="17" ht="15" customHeight="1" s="129">
      <c r="A17" s="130" t="n"/>
      <c r="B17" s="130" t="n"/>
      <c r="C17" s="130" t="n"/>
      <c r="D17" s="130" t="n"/>
      <c r="E17" s="130" t="n"/>
      <c r="F17" s="130" t="n"/>
      <c r="G17" s="130" t="n"/>
      <c r="H17" s="130" t="n"/>
      <c r="I17" s="130" t="n"/>
      <c r="J17" s="130" t="n"/>
      <c r="K17" s="130" t="n"/>
      <c r="L17" s="130" t="n"/>
      <c r="M17" s="130" t="n"/>
      <c r="N17" s="130" t="n"/>
      <c r="O17" s="130" t="n"/>
      <c r="P17" s="130" t="n"/>
      <c r="Q17" s="130" t="n"/>
      <c r="R17" s="130" t="n"/>
    </row>
    <row r="18" ht="15" customHeight="1" s="129">
      <c r="A18" s="130" t="n"/>
      <c r="B18" s="254" t="inlineStr">
        <is>
          <t>YEAR 1 NOI</t>
        </is>
      </c>
      <c r="I18" s="130" t="n"/>
      <c r="J18" s="130" t="n"/>
      <c r="K18" s="254" t="inlineStr">
        <is>
          <t>YEAR 1 CASH-ON-CASH RETURN</t>
        </is>
      </c>
      <c r="R18" s="130" t="n"/>
    </row>
    <row r="19" ht="15" customHeight="1" s="129">
      <c r="A19" s="130" t="n"/>
      <c r="B19" s="148" t="inlineStr">
        <is>
          <t>Vacancy Rate (columns) × Expense Growth (rows)</t>
        </is>
      </c>
      <c r="C19" s="130" t="n"/>
      <c r="D19" s="130" t="n"/>
      <c r="E19" s="130" t="n"/>
      <c r="F19" s="130" t="n"/>
      <c r="G19" s="130" t="n"/>
      <c r="H19" s="130" t="n"/>
      <c r="I19" s="130" t="n"/>
      <c r="J19" s="130" t="n"/>
      <c r="K19" s="148" t="inlineStr">
        <is>
          <t>Purchase Price (columns) × LTV (rows)</t>
        </is>
      </c>
      <c r="L19" s="130" t="n"/>
      <c r="M19" s="130" t="n"/>
      <c r="N19" s="130" t="n"/>
      <c r="O19" s="130" t="n"/>
      <c r="P19" s="130" t="n"/>
      <c r="Q19" s="130" t="n"/>
      <c r="R19" s="130" t="n"/>
    </row>
    <row r="20" ht="15" customHeight="1" s="129">
      <c r="A20" s="130" t="n"/>
      <c r="B20" s="186" t="inlineStr">
        <is>
          <t>Exp Growth ↓  Vacancy →</t>
        </is>
      </c>
      <c r="C20" s="255" t="n">
        <v>0.05</v>
      </c>
      <c r="D20" s="255" t="n">
        <v>0.075</v>
      </c>
      <c r="E20" s="255" t="n">
        <v>0.1</v>
      </c>
      <c r="F20" s="255" t="n">
        <v>0.125</v>
      </c>
      <c r="G20" s="255" t="n">
        <v>0.15</v>
      </c>
      <c r="H20" s="255" t="n">
        <v>0.2</v>
      </c>
      <c r="I20" s="130" t="n"/>
      <c r="J20" s="130" t="n"/>
      <c r="K20" s="186" t="inlineStr">
        <is>
          <t>LTV ↓  Price →</t>
        </is>
      </c>
      <c r="L20" s="259">
        <f>Assumptions!$C$17*(1+-0.15)</f>
        <v/>
      </c>
      <c r="M20" s="259">
        <f>Assumptions!$C$17*(1+-0.1)</f>
        <v/>
      </c>
      <c r="N20" s="259">
        <f>Assumptions!$C$17*(1+-0.05)</f>
        <v/>
      </c>
      <c r="O20" s="259">
        <f>Assumptions!$C$17</f>
        <v/>
      </c>
      <c r="P20" s="259">
        <f>Assumptions!$C$17*(1+0.05)</f>
        <v/>
      </c>
      <c r="Q20" s="259">
        <f>Assumptions!$C$17*(1+0.1)</f>
        <v/>
      </c>
      <c r="R20" s="130" t="n"/>
    </row>
    <row r="21" ht="15" customHeight="1" s="129">
      <c r="A21" s="130" t="n"/>
      <c r="B21" s="260" t="n">
        <v>0.01</v>
      </c>
      <c r="C21" s="261" t="inlineStr">
        <is>
          <t>—</t>
        </is>
      </c>
      <c r="D21" s="261" t="inlineStr">
        <is>
          <t>—</t>
        </is>
      </c>
      <c r="E21" s="261" t="inlineStr">
        <is>
          <t>—</t>
        </is>
      </c>
      <c r="F21" s="261" t="inlineStr">
        <is>
          <t>—</t>
        </is>
      </c>
      <c r="G21" s="261" t="inlineStr">
        <is>
          <t>—</t>
        </is>
      </c>
      <c r="H21" s="261" t="inlineStr">
        <is>
          <t>—</t>
        </is>
      </c>
      <c r="I21" s="130" t="n"/>
      <c r="J21" s="130" t="n"/>
      <c r="K21" s="260" t="n">
        <v>0.6</v>
      </c>
      <c r="L21" s="262" t="inlineStr">
        <is>
          <t>—</t>
        </is>
      </c>
      <c r="M21" s="262" t="inlineStr">
        <is>
          <t>—</t>
        </is>
      </c>
      <c r="N21" s="262" t="inlineStr">
        <is>
          <t>—</t>
        </is>
      </c>
      <c r="O21" s="262" t="inlineStr">
        <is>
          <t>—</t>
        </is>
      </c>
      <c r="P21" s="262" t="inlineStr">
        <is>
          <t>—</t>
        </is>
      </c>
      <c r="Q21" s="262" t="inlineStr">
        <is>
          <t>—</t>
        </is>
      </c>
      <c r="R21" s="130" t="n"/>
    </row>
    <row r="22" ht="15" customHeight="1" s="129">
      <c r="A22" s="130" t="n"/>
      <c r="B22" s="260" t="n">
        <v>0.02</v>
      </c>
      <c r="C22" s="261" t="inlineStr">
        <is>
          <t>—</t>
        </is>
      </c>
      <c r="D22" s="261" t="inlineStr">
        <is>
          <t>—</t>
        </is>
      </c>
      <c r="E22" s="261" t="inlineStr">
        <is>
          <t>—</t>
        </is>
      </c>
      <c r="F22" s="261" t="inlineStr">
        <is>
          <t>—</t>
        </is>
      </c>
      <c r="G22" s="261" t="inlineStr">
        <is>
          <t>—</t>
        </is>
      </c>
      <c r="H22" s="261" t="inlineStr">
        <is>
          <t>—</t>
        </is>
      </c>
      <c r="I22" s="130" t="n"/>
      <c r="J22" s="130" t="n"/>
      <c r="K22" s="260" t="n">
        <v>0.65</v>
      </c>
      <c r="L22" s="262" t="inlineStr">
        <is>
          <t>—</t>
        </is>
      </c>
      <c r="M22" s="262" t="inlineStr">
        <is>
          <t>—</t>
        </is>
      </c>
      <c r="N22" s="262" t="inlineStr">
        <is>
          <t>—</t>
        </is>
      </c>
      <c r="O22" s="262" t="inlineStr">
        <is>
          <t>—</t>
        </is>
      </c>
      <c r="P22" s="262" t="inlineStr">
        <is>
          <t>—</t>
        </is>
      </c>
      <c r="Q22" s="262" t="inlineStr">
        <is>
          <t>—</t>
        </is>
      </c>
      <c r="R22" s="130" t="n"/>
    </row>
    <row r="23" ht="15" customHeight="1" s="129">
      <c r="A23" s="130" t="n"/>
      <c r="B23" s="260" t="n">
        <v>0.03</v>
      </c>
      <c r="C23" s="261" t="inlineStr">
        <is>
          <t>—</t>
        </is>
      </c>
      <c r="D23" s="261" t="inlineStr">
        <is>
          <t>—</t>
        </is>
      </c>
      <c r="E23" s="261" t="inlineStr">
        <is>
          <t>—</t>
        </is>
      </c>
      <c r="F23" s="261" t="inlineStr">
        <is>
          <t>—</t>
        </is>
      </c>
      <c r="G23" s="261" t="inlineStr">
        <is>
          <t>—</t>
        </is>
      </c>
      <c r="H23" s="261" t="inlineStr">
        <is>
          <t>—</t>
        </is>
      </c>
      <c r="I23" s="130" t="n"/>
      <c r="J23" s="130" t="n"/>
      <c r="K23" s="260" t="n">
        <v>0.7</v>
      </c>
      <c r="L23" s="262" t="inlineStr">
        <is>
          <t>—</t>
        </is>
      </c>
      <c r="M23" s="262" t="inlineStr">
        <is>
          <t>—</t>
        </is>
      </c>
      <c r="N23" s="262" t="inlineStr">
        <is>
          <t>—</t>
        </is>
      </c>
      <c r="O23" s="262" t="inlineStr">
        <is>
          <t>—</t>
        </is>
      </c>
      <c r="P23" s="262" t="inlineStr">
        <is>
          <t>—</t>
        </is>
      </c>
      <c r="Q23" s="262" t="inlineStr">
        <is>
          <t>—</t>
        </is>
      </c>
      <c r="R23" s="130" t="n"/>
    </row>
    <row r="24" ht="15" customHeight="1" s="129">
      <c r="A24" s="130" t="n"/>
      <c r="B24" s="260" t="n">
        <v>0.04</v>
      </c>
      <c r="C24" s="261" t="inlineStr">
        <is>
          <t>—</t>
        </is>
      </c>
      <c r="D24" s="261" t="inlineStr">
        <is>
          <t>—</t>
        </is>
      </c>
      <c r="E24" s="261" t="inlineStr">
        <is>
          <t>—</t>
        </is>
      </c>
      <c r="F24" s="261" t="inlineStr">
        <is>
          <t>—</t>
        </is>
      </c>
      <c r="G24" s="261" t="inlineStr">
        <is>
          <t>—</t>
        </is>
      </c>
      <c r="H24" s="261" t="inlineStr">
        <is>
          <t>—</t>
        </is>
      </c>
      <c r="I24" s="130" t="n"/>
      <c r="J24" s="130" t="n"/>
      <c r="K24" s="260" t="n">
        <v>0.75</v>
      </c>
      <c r="L24" s="262" t="inlineStr">
        <is>
          <t>—</t>
        </is>
      </c>
      <c r="M24" s="262" t="inlineStr">
        <is>
          <t>—</t>
        </is>
      </c>
      <c r="N24" s="262" t="inlineStr">
        <is>
          <t>—</t>
        </is>
      </c>
      <c r="O24" s="262" t="inlineStr">
        <is>
          <t>—</t>
        </is>
      </c>
      <c r="P24" s="262" t="inlineStr">
        <is>
          <t>—</t>
        </is>
      </c>
      <c r="Q24" s="262" t="inlineStr">
        <is>
          <t>—</t>
        </is>
      </c>
      <c r="R24" s="130" t="n"/>
    </row>
    <row r="25" ht="15" customHeight="1" s="129">
      <c r="A25" s="130" t="n"/>
      <c r="B25" s="260" t="n">
        <v>0.05</v>
      </c>
      <c r="C25" s="261" t="inlineStr">
        <is>
          <t>—</t>
        </is>
      </c>
      <c r="D25" s="261" t="inlineStr">
        <is>
          <t>—</t>
        </is>
      </c>
      <c r="E25" s="261" t="inlineStr">
        <is>
          <t>—</t>
        </is>
      </c>
      <c r="F25" s="261" t="inlineStr">
        <is>
          <t>—</t>
        </is>
      </c>
      <c r="G25" s="261" t="inlineStr">
        <is>
          <t>—</t>
        </is>
      </c>
      <c r="H25" s="261" t="inlineStr">
        <is>
          <t>—</t>
        </is>
      </c>
      <c r="I25" s="130" t="n"/>
      <c r="J25" s="130" t="n"/>
      <c r="K25" s="260" t="n">
        <v>0.8</v>
      </c>
      <c r="L25" s="262" t="inlineStr">
        <is>
          <t>—</t>
        </is>
      </c>
      <c r="M25" s="262" t="inlineStr">
        <is>
          <t>—</t>
        </is>
      </c>
      <c r="N25" s="262" t="inlineStr">
        <is>
          <t>—</t>
        </is>
      </c>
      <c r="O25" s="262" t="inlineStr">
        <is>
          <t>—</t>
        </is>
      </c>
      <c r="P25" s="262" t="inlineStr">
        <is>
          <t>—</t>
        </is>
      </c>
      <c r="Q25" s="262" t="inlineStr">
        <is>
          <t>—</t>
        </is>
      </c>
      <c r="R25" s="130" t="n"/>
    </row>
    <row r="26" ht="15" customHeight="1" s="129">
      <c r="A26" s="130" t="n"/>
      <c r="B26" s="148" t="inlineStr">
        <is>
          <t>Values calculated by Python underwriting script.</t>
        </is>
      </c>
      <c r="C26" s="130" t="n"/>
      <c r="D26" s="130" t="n"/>
      <c r="E26" s="130" t="n"/>
      <c r="F26" s="130" t="n"/>
      <c r="G26" s="130" t="n"/>
      <c r="H26" s="130" t="n"/>
      <c r="I26" s="130" t="n"/>
      <c r="J26" s="130" t="n"/>
      <c r="K26" s="148" t="inlineStr">
        <is>
          <t>Values calculated by Python underwriting script.</t>
        </is>
      </c>
      <c r="L26" s="130" t="n"/>
      <c r="M26" s="130" t="n"/>
      <c r="N26" s="130" t="n"/>
      <c r="O26" s="130" t="n"/>
      <c r="P26" s="130" t="n"/>
      <c r="Q26" s="130" t="n"/>
      <c r="R26" s="130" t="n"/>
    </row>
  </sheetData>
  <mergeCells count="7">
    <mergeCell ref="B18:H18"/>
    <mergeCell ref="K4:Q4"/>
    <mergeCell ref="A2:R2"/>
    <mergeCell ref="B4:H4"/>
    <mergeCell ref="A16:R16"/>
    <mergeCell ref="K18:Q18"/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2026-04-01T13:26:46Z</dcterms:created>
  <dcterms:modified xmlns:dcterms="http://purl.org/dc/terms/" xmlns:xsi="http://www.w3.org/2001/XMLSchema-instance" xsi:type="dcterms:W3CDTF">2026-04-15T19:57:03Z</dcterms:modified>
  <cp:revision>0</cp:revision>
</cp:coreProperties>
</file>