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Sources &amp; Uses" sheetId="3" state="visible" r:id="rId5"/>
    <sheet name="Rent Roll" sheetId="4" state="visible" r:id="rId6"/>
    <sheet name="Pro Forma" sheetId="5" state="visible" r:id="rId7"/>
    <sheet name="Refi Analysis" sheetId="6" state="visible" r:id="rId8"/>
    <sheet name="Amort - Initial" sheetId="7" state="visible" r:id="rId9"/>
    <sheet name="Amort - Refi 1" sheetId="8" state="visible" r:id="rId10"/>
    <sheet name="Amort - Refi 2" sheetId="9" state="visible" r:id="rId11"/>
    <sheet name="Amort - Refi 3" sheetId="10" state="visible" r:id="rId12"/>
    <sheet name="Exit" sheetId="11" state="visible" r:id="rId13"/>
    <sheet name="Cash Waterfall" sheetId="12" state="visible" r:id="rId14"/>
    <sheet name="Returns Summary" sheetId="13" state="visible" r:id="rId15"/>
    <sheet name="Sensitivity" sheetId="14" state="visible" r:id="rId16"/>
  </sheets>
  <definedNames>
    <definedName function="false" hidden="false" localSheetId="1" name="_xlnm.Print_Area" vbProcedure="false">Assumptions!$A$1:$H$205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<sst xmlns="http://schemas.openxmlformats.org/spreadsheetml/2006/main" count="855" uniqueCount="535">
  <si>
    <t xml:space="preserve">DEALDESK CRE UNDERWRITING</t>
  </si>
  <si>
    <t xml:space="preserve">Investment Underwriting Model</t>
  </si>
  <si>
    <t xml:space="preserve">Property Type:</t>
  </si>
  <si>
    <t xml:space="preserve">Project Type:</t>
  </si>
  <si>
    <t xml:space="preserve">Units:</t>
  </si>
  <si>
    <t xml:space="preserve">Building SF:</t>
  </si>
  <si>
    <t xml:space="preserve">KEY METRICS</t>
  </si>
  <si>
    <t xml:space="preserve">Purchase Price</t>
  </si>
  <si>
    <t xml:space="preserve">Price Per Unit</t>
  </si>
  <si>
    <t xml:space="preserve">Total Project Cost</t>
  </si>
  <si>
    <t xml:space="preserve">Total Equity</t>
  </si>
  <si>
    <t xml:space="preserve">Year 1 NOI</t>
  </si>
  <si>
    <t xml:space="preserve">Going-In Cap Rate</t>
  </si>
  <si>
    <t xml:space="preserve">Year 1 Cash-on-Cash</t>
  </si>
  <si>
    <t xml:space="preserve">Year 1 DSCR</t>
  </si>
  <si>
    <t xml:space="preserve">Equity Multiple</t>
  </si>
  <si>
    <t xml:space="preserve">Hold Period</t>
  </si>
  <si>
    <t xml:space="preserve">LP IRR</t>
  </si>
  <si>
    <t xml:space="preserve">Levered IRR</t>
  </si>
  <si>
    <t xml:space="preserve">CONFIDENTIAL</t>
  </si>
  <si>
    <t xml:space="preserve">Prepared by DealDesk CRE Underwriting.</t>
  </si>
  <si>
    <t xml:space="preserve">DEALDESK — UNDERWRITING ASSUMPTIONS</t>
  </si>
  <si>
    <t xml:space="preserve">All blue values are editable inputs. Change any blue cell to model different scenarios.</t>
  </si>
  <si>
    <t xml:space="preserve">  1. PROPERTY INFORMATION</t>
  </si>
  <si>
    <t xml:space="preserve">Property Name</t>
  </si>
  <si>
    <t xml:space="preserve">Sample Property</t>
  </si>
  <si>
    <t xml:space="preserve">Address</t>
  </si>
  <si>
    <t xml:space="preserve">123 Main St, Philadelphia, PA 19103</t>
  </si>
  <si>
    <t xml:space="preserve">Property Type</t>
  </si>
  <si>
    <t xml:space="preserve">Multifamily</t>
  </si>
  <si>
    <t xml:space="preserve">Project Type</t>
  </si>
  <si>
    <t xml:space="preserve">Hold</t>
  </si>
  <si>
    <t xml:space="preserve">Number of Units</t>
  </si>
  <si>
    <t xml:space="preserve">Gross Building Area (SF)</t>
  </si>
  <si>
    <t xml:space="preserve">Lot Size (SF)</t>
  </si>
  <si>
    <t xml:space="preserve">Year Built</t>
  </si>
  <si>
    <t xml:space="preserve">Acquisition Date</t>
  </si>
  <si>
    <t xml:space="preserve">2026-01-01</t>
  </si>
  <si>
    <t xml:space="preserve">Hold Period (Years)</t>
  </si>
  <si>
    <t xml:space="preserve">  2. ACQUISITION</t>
  </si>
  <si>
    <t xml:space="preserve">Transfer Tax Rate</t>
  </si>
  <si>
    <t xml:space="preserve">Transfer Tax Amount</t>
  </si>
  <si>
    <t xml:space="preserve">Closing Costs</t>
  </si>
  <si>
    <t xml:space="preserve">Total Acquisition Cost</t>
  </si>
  <si>
    <t xml:space="preserve">Price Per SF</t>
  </si>
  <si>
    <t xml:space="preserve">  3. SOURCES &amp; USES</t>
  </si>
  <si>
    <t xml:space="preserve">Enter $0 for items not applicable.</t>
  </si>
  <si>
    <t xml:space="preserve">  USES — Acquisition</t>
  </si>
  <si>
    <t xml:space="preserve">  Purchase Price</t>
  </si>
  <si>
    <t xml:space="preserve">  Transfer Tax</t>
  </si>
  <si>
    <t xml:space="preserve">  Tenant Buyout</t>
  </si>
  <si>
    <t xml:space="preserve">  USES — Professional &amp; Due Diligence</t>
  </si>
  <si>
    <t xml:space="preserve">  Legal — Closing &amp; Borrowing</t>
  </si>
  <si>
    <t xml:space="preserve">  Title Insurance</t>
  </si>
  <si>
    <t xml:space="preserve">  Legal — Bank</t>
  </si>
  <si>
    <t xml:space="preserve">  Appraisal</t>
  </si>
  <si>
    <t xml:space="preserve">  Environmental (Phase I/II)</t>
  </si>
  <si>
    <t xml:space="preserve">  Architect</t>
  </si>
  <si>
    <t xml:space="preserve">  Structural Engineer</t>
  </si>
  <si>
    <t xml:space="preserve">  GeoTech</t>
  </si>
  <si>
    <t xml:space="preserve">  Surveyor</t>
  </si>
  <si>
    <t xml:space="preserve">  Civil Engineer</t>
  </si>
  <si>
    <t xml:space="preserve">  MEPs</t>
  </si>
  <si>
    <t xml:space="preserve">  Legal — Zoning</t>
  </si>
  <si>
    <t xml:space="preserve">  USES — Financing Costs</t>
  </si>
  <si>
    <t xml:space="preserve">  Acquisition Fee</t>
  </si>
  <si>
    <t xml:space="preserve">  Mortgage Interest (Carry)</t>
  </si>
  <si>
    <t xml:space="preserve">  Mortgage Fees / Origination</t>
  </si>
  <si>
    <t xml:space="preserve">  Mezzanine Interest</t>
  </si>
  <si>
    <t xml:space="preserve">  USES — Soft Costs</t>
  </si>
  <si>
    <t xml:space="preserve">  Working Capital</t>
  </si>
  <si>
    <t xml:space="preserve">  Marketing</t>
  </si>
  <si>
    <t xml:space="preserve">  Real Estate Tax (Carry)</t>
  </si>
  <si>
    <t xml:space="preserve">  Property / BR / Contractor Ins.</t>
  </si>
  <si>
    <t xml:space="preserve">  Development Fee</t>
  </si>
  <si>
    <t xml:space="preserve">  Development Equity Pref Return</t>
  </si>
  <si>
    <t xml:space="preserve">  Permits / Expediting</t>
  </si>
  <si>
    <t xml:space="preserve">  USES — Hard Costs</t>
  </si>
  <si>
    <t xml:space="preserve">  Stormwater Management System</t>
  </si>
  <si>
    <t xml:space="preserve">  Demolition &amp; Site Work</t>
  </si>
  <si>
    <t xml:space="preserve">  Construction — Hard Costs</t>
  </si>
  <si>
    <t xml:space="preserve">  Construction — Reserve</t>
  </si>
  <si>
    <t xml:space="preserve">  GC Profit &amp; Overhead</t>
  </si>
  <si>
    <t xml:space="preserve">  4. INITIAL FINANCING</t>
  </si>
  <si>
    <t xml:space="preserve">Loan-to-Value (LTV)</t>
  </si>
  <si>
    <t xml:space="preserve">Initial Loan Amount</t>
  </si>
  <si>
    <t xml:space="preserve">Interest Rate</t>
  </si>
  <si>
    <t xml:space="preserve">Amortization (Years)</t>
  </si>
  <si>
    <t xml:space="preserve">Loan Term (Years)</t>
  </si>
  <si>
    <t xml:space="preserve">Origination Fee (%)</t>
  </si>
  <si>
    <t xml:space="preserve">Origination Fee ($)</t>
  </si>
  <si>
    <t xml:space="preserve">Interest-Only Period (Months)</t>
  </si>
  <si>
    <t xml:space="preserve">Monthly Payment (P&amp;I)</t>
  </si>
  <si>
    <t xml:space="preserve">Annual Debt Service</t>
  </si>
  <si>
    <t xml:space="preserve">  SOURCES</t>
  </si>
  <si>
    <t xml:space="preserve">  Senior Debt</t>
  </si>
  <si>
    <t xml:space="preserve">  Mezzanine Debt</t>
  </si>
  <si>
    <t xml:space="preserve">  GP Equity</t>
  </si>
  <si>
    <t xml:space="preserve">  LP Equity</t>
  </si>
  <si>
    <t xml:space="preserve">  Tax Credit Equity</t>
  </si>
  <si>
    <t xml:space="preserve">  Grants / Subsidies</t>
  </si>
  <si>
    <t xml:space="preserve">TOTAL USES</t>
  </si>
  <si>
    <t xml:space="preserve">TOTAL SOURCES</t>
  </si>
  <si>
    <t xml:space="preserve">TOTAL EQUITY REQUIRED</t>
  </si>
  <si>
    <t xml:space="preserve">Surplus / (Gap)</t>
  </si>
  <si>
    <t xml:space="preserve">  5. REFINANCE 1</t>
  </si>
  <si>
    <t xml:space="preserve">Refi 1 — Active? (1=Yes, 0=No)</t>
  </si>
  <si>
    <t xml:space="preserve">Set to 1 to activate</t>
  </si>
  <si>
    <t xml:space="preserve">Refi 1 — Timing (Year)</t>
  </si>
  <si>
    <t xml:space="preserve">Refi 1 — Appraised Value</t>
  </si>
  <si>
    <t xml:space="preserve">Refi 1 — LTV</t>
  </si>
  <si>
    <t xml:space="preserve">Refi 1 — New Loan Amount</t>
  </si>
  <si>
    <t xml:space="preserve">Refi 1 — Interest Rate</t>
  </si>
  <si>
    <t xml:space="preserve">Refi 1 — Amortization (Yrs)</t>
  </si>
  <si>
    <t xml:space="preserve">Refi 1 — Loan Term (Yrs)</t>
  </si>
  <si>
    <t xml:space="preserve">Refi 1 — Origination Fee (%)</t>
  </si>
  <si>
    <t xml:space="preserve">Refi 1 — Prepayment Penalty (%)</t>
  </si>
  <si>
    <t xml:space="preserve">Refi 1 — Closing Costs ($)</t>
  </si>
  <si>
    <t xml:space="preserve">  6. REFINANCE 2</t>
  </si>
  <si>
    <t xml:space="preserve">Refi 2 — Active? (1=Yes, 0=No)</t>
  </si>
  <si>
    <t xml:space="preserve">Refi 2 — Timing (Year)</t>
  </si>
  <si>
    <t xml:space="preserve">Refi 2 — Appraised Value</t>
  </si>
  <si>
    <t xml:space="preserve">Refi 2 — LTV</t>
  </si>
  <si>
    <t xml:space="preserve">Refi 2 — New Loan Amount</t>
  </si>
  <si>
    <t xml:space="preserve">Refi 2 — Interest Rate</t>
  </si>
  <si>
    <t xml:space="preserve">Refi 2 — Amortization (Yrs)</t>
  </si>
  <si>
    <t xml:space="preserve">Refi 2 — Loan Term (Yrs)</t>
  </si>
  <si>
    <t xml:space="preserve">Refi 2 — Origination Fee (%)</t>
  </si>
  <si>
    <t xml:space="preserve">Refi 2 — Prepayment Penalty (%)</t>
  </si>
  <si>
    <t xml:space="preserve">Refi 2 — Closing Costs ($)</t>
  </si>
  <si>
    <t xml:space="preserve">  7. REFINANCE 3</t>
  </si>
  <si>
    <t xml:space="preserve">Refi 3 — Active? (1=Yes, 0=No)</t>
  </si>
  <si>
    <t xml:space="preserve">Refi 3 — Timing (Year)</t>
  </si>
  <si>
    <t xml:space="preserve">Refi 3 — Appraised Value</t>
  </si>
  <si>
    <t xml:space="preserve">Refi 3 — LTV</t>
  </si>
  <si>
    <t xml:space="preserve">Refi 3 — New Loan Amount</t>
  </si>
  <si>
    <t xml:space="preserve">Refi 3 — Interest Rate</t>
  </si>
  <si>
    <t xml:space="preserve">Refi 3 — Amortization (Yrs)</t>
  </si>
  <si>
    <t xml:space="preserve">Refi 3 — Loan Term (Yrs)</t>
  </si>
  <si>
    <t xml:space="preserve">Refi 3 — Origination Fee (%)</t>
  </si>
  <si>
    <t xml:space="preserve">Refi 3 — Prepayment Penalty (%)</t>
  </si>
  <si>
    <t xml:space="preserve">Refi 3 — Closing Costs ($)</t>
  </si>
  <si>
    <t xml:space="preserve">  8. OPERATING ASSUMPTIONS — INCOME</t>
  </si>
  <si>
    <t xml:space="preserve">Vacancy &amp; Bad Debt Rate</t>
  </si>
  <si>
    <t xml:space="preserve">Annual Rent Growth</t>
  </si>
  <si>
    <t xml:space="preserve">Annual Expense Growth</t>
  </si>
  <si>
    <t xml:space="preserve">Loss to Lease (%)</t>
  </si>
  <si>
    <t xml:space="preserve">CAM Reimbursements (Year 1)</t>
  </si>
  <si>
    <t xml:space="preserve">Fee Income (Year 1)</t>
  </si>
  <si>
    <t xml:space="preserve">  9. OPERATING EXPENSES — FIXED (Year 1 Values)</t>
  </si>
  <si>
    <t xml:space="preserve">Real Estate Taxes</t>
  </si>
  <si>
    <t xml:space="preserve">Insurance</t>
  </si>
  <si>
    <t xml:space="preserve">Gas</t>
  </si>
  <si>
    <t xml:space="preserve">Water &amp; Sewer</t>
  </si>
  <si>
    <t xml:space="preserve">Electric</t>
  </si>
  <si>
    <t xml:space="preserve">License / Inspections</t>
  </si>
  <si>
    <t xml:space="preserve">Trash Removal</t>
  </si>
  <si>
    <t xml:space="preserve">Total Fixed Expenses</t>
  </si>
  <si>
    <t xml:space="preserve">  10. OPERATING EXPENSES — VARIABLE (Year 1 Values)</t>
  </si>
  <si>
    <t xml:space="preserve">Management Fee (% of EGI)</t>
  </si>
  <si>
    <t xml:space="preserve">Salaries</t>
  </si>
  <si>
    <t xml:space="preserve">Repairs</t>
  </si>
  <si>
    <t xml:space="preserve">Exterminator</t>
  </si>
  <si>
    <t xml:space="preserve">Cleaning / Maintenance</t>
  </si>
  <si>
    <t xml:space="preserve">Turnover</t>
  </si>
  <si>
    <t xml:space="preserve">Advertising</t>
  </si>
  <si>
    <t xml:space="preserve">Landscape / Snow</t>
  </si>
  <si>
    <t xml:space="preserve">Admin / Legal / Acct.</t>
  </si>
  <si>
    <t xml:space="preserve">Office / Phone / Supplies</t>
  </si>
  <si>
    <t xml:space="preserve">Miscellaneous</t>
  </si>
  <si>
    <t xml:space="preserve">Total Variable Expenses (ex. Mgmt)</t>
  </si>
  <si>
    <t xml:space="preserve">  11. BELOW-THE-LINE ITEMS</t>
  </si>
  <si>
    <t xml:space="preserve">Commissions (Year 1)</t>
  </si>
  <si>
    <t xml:space="preserve">Capital Reserves ($/unit/year)</t>
  </si>
  <si>
    <t xml:space="preserve">Renovations (Year 1)</t>
  </si>
  <si>
    <t xml:space="preserve">  11A. DEVELOPMENT PERIOD &amp; CARRY COSTS</t>
  </si>
  <si>
    <t xml:space="preserve">Set to 0 for stabilized acquisitions with no construction.</t>
  </si>
  <si>
    <t xml:space="preserve">  CONSTRUCTION / RENOVATION</t>
  </si>
  <si>
    <t xml:space="preserve">Construction/Reno Period (Months)</t>
  </si>
  <si>
    <t xml:space="preserve">Construction Loan Rate</t>
  </si>
  <si>
    <t xml:space="preserve">Construction Budget (Hard Costs)</t>
  </si>
  <si>
    <t xml:space="preserve">Construction Budget (Soft Costs)</t>
  </si>
  <si>
    <t xml:space="preserve">Total Construction Budget</t>
  </si>
  <si>
    <t xml:space="preserve">Monthly Draw Rate (% of budget)</t>
  </si>
  <si>
    <t xml:space="preserve">Est. Interest Carry</t>
  </si>
  <si>
    <t xml:space="preserve">  LEASE-UP PERIOD</t>
  </si>
  <si>
    <t xml:space="preserve">Lease-Up Period (Months)</t>
  </si>
  <si>
    <t xml:space="preserve">Lease-Up Vacancy Rate</t>
  </si>
  <si>
    <t xml:space="preserve">Lease-Up Concessions ($)</t>
  </si>
  <si>
    <t xml:space="preserve">Marketing During Lease-Up ($)</t>
  </si>
  <si>
    <t xml:space="preserve">  TOTAL CARRY COSTS (PRE-STABILIZATION)</t>
  </si>
  <si>
    <t xml:space="preserve">Total Carry Costs</t>
  </si>
  <si>
    <t xml:space="preserve">  12. EXIT ASSUMPTIONS</t>
  </si>
  <si>
    <t xml:space="preserve">Exit Cap Rate</t>
  </si>
  <si>
    <t xml:space="preserve">Disposition Costs (% of Sale)</t>
  </si>
  <si>
    <t xml:space="preserve">  13. WATERFALL / PARTNERSHIP STRUCTURE</t>
  </si>
  <si>
    <t xml:space="preserve">GP Equity Contribution (%)</t>
  </si>
  <si>
    <t xml:space="preserve">0% = no GP co-invest</t>
  </si>
  <si>
    <t xml:space="preserve">LP Equity Contribution (%)</t>
  </si>
  <si>
    <t xml:space="preserve">Waterfall Type (1=Full, 0=Simple)</t>
  </si>
  <si>
    <t xml:space="preserve">1 = tiered promote</t>
  </si>
  <si>
    <t xml:space="preserve">Simple Split — LP %</t>
  </si>
  <si>
    <t xml:space="preserve">Only used if Type = 0</t>
  </si>
  <si>
    <t xml:space="preserve">Simple Split — GP %</t>
  </si>
  <si>
    <t xml:space="preserve">  FULL WATERFALL — TIER STRUCTURE</t>
  </si>
  <si>
    <t xml:space="preserve">  Tier 1: Preferred Return (Hurdle)</t>
  </si>
  <si>
    <t xml:space="preserve">LP 100% / GP 0%</t>
  </si>
  <si>
    <t xml:space="preserve">  Tier 2: IRR Hurdle</t>
  </si>
  <si>
    <t xml:space="preserve">  Tier 2: LP Share</t>
  </si>
  <si>
    <t xml:space="preserve">GP gets 30%</t>
  </si>
  <si>
    <t xml:space="preserve">  Tier 3: IRR Hurdle</t>
  </si>
  <si>
    <t xml:space="preserve">  Tier 3: LP Share</t>
  </si>
  <si>
    <t xml:space="preserve">GP gets 40%</t>
  </si>
  <si>
    <t xml:space="preserve">  Tier 4: IRR Hurdle</t>
  </si>
  <si>
    <t xml:space="preserve">  Tier 4: LP Share</t>
  </si>
  <si>
    <t xml:space="preserve">GP gets 70%</t>
  </si>
  <si>
    <t xml:space="preserve">  Tier 5: IRR Hurdle</t>
  </si>
  <si>
    <t xml:space="preserve">  Tier 5: LP Share</t>
  </si>
  <si>
    <t xml:space="preserve">GP gets 80%</t>
  </si>
  <si>
    <t xml:space="preserve">  Tier 6 (above Tier 5): LP Share</t>
  </si>
  <si>
    <t xml:space="preserve">GP gets 90%</t>
  </si>
  <si>
    <t xml:space="preserve">  14. EQUITY MULTIPLE HURDLES (if EM method used)</t>
  </si>
  <si>
    <t xml:space="preserve">  Tier 1 EM Hurdle</t>
  </si>
  <si>
    <t xml:space="preserve">  Tier 2 EM Hurdle</t>
  </si>
  <si>
    <t xml:space="preserve">  Tier 3 EM Hurdle</t>
  </si>
  <si>
    <t xml:space="preserve">  15. SENSITIVITY ANALYSIS RANGES</t>
  </si>
  <si>
    <t xml:space="preserve">Define the axes of the sensitivity matrix.</t>
  </si>
  <si>
    <t xml:space="preserve">Rent Growth — Low</t>
  </si>
  <si>
    <t xml:space="preserve">Rent Growth — High</t>
  </si>
  <si>
    <t xml:space="preserve">Rent Growth — Step</t>
  </si>
  <si>
    <t xml:space="preserve">Exit Cap — Low</t>
  </si>
  <si>
    <t xml:space="preserve">Exit Cap — High</t>
  </si>
  <si>
    <t xml:space="preserve">Exit Cap — Step</t>
  </si>
  <si>
    <t xml:space="preserve">SOURCES &amp; USES</t>
  </si>
  <si>
    <t xml:space="preserve">All values reference Assumptions tab. No hardcoded numbers.</t>
  </si>
  <si>
    <t xml:space="preserve">Line Item</t>
  </si>
  <si>
    <t xml:space="preserve">Amount</t>
  </si>
  <si>
    <t xml:space="preserve">% of Total</t>
  </si>
  <si>
    <t xml:space="preserve">Acquisition Costs</t>
  </si>
  <si>
    <t xml:space="preserve">  Subtotal — Acquisition Costs</t>
  </si>
  <si>
    <t xml:space="preserve">Professional &amp; Due Diligence</t>
  </si>
  <si>
    <t xml:space="preserve">  Subtotal — Professional &amp; Due Diligence</t>
  </si>
  <si>
    <t xml:space="preserve">Financing Costs</t>
  </si>
  <si>
    <t xml:space="preserve">  Subtotal — Financing Costs</t>
  </si>
  <si>
    <t xml:space="preserve">Soft Costs</t>
  </si>
  <si>
    <t xml:space="preserve">  RE Tax (Carry)</t>
  </si>
  <si>
    <t xml:space="preserve">  Prop / BR / Contr Insurance</t>
  </si>
  <si>
    <t xml:space="preserve">  Dev Equity Pref Return</t>
  </si>
  <si>
    <t xml:space="preserve">  Subtotal — Soft Costs</t>
  </si>
  <si>
    <t xml:space="preserve">Hard Costs</t>
  </si>
  <si>
    <t xml:space="preserve">  Stormwater Mgmt</t>
  </si>
  <si>
    <t xml:space="preserve">  Subtotal — Hard Costs</t>
  </si>
  <si>
    <t xml:space="preserve">Sources</t>
  </si>
  <si>
    <t xml:space="preserve">SURPLUS / (GAP)</t>
  </si>
  <si>
    <t xml:space="preserve">RENT ROLL</t>
  </si>
  <si>
    <t xml:space="preserve">Residential and commercial unit/tenant data. Blue cells are editable inputs.</t>
  </si>
  <si>
    <t xml:space="preserve">  RESIDENTIAL UNITS</t>
  </si>
  <si>
    <t xml:space="preserve">Unit #</t>
  </si>
  <si>
    <t xml:space="preserve">Type</t>
  </si>
  <si>
    <t xml:space="preserve">SF</t>
  </si>
  <si>
    <t xml:space="preserve">Rent/Mo</t>
  </si>
  <si>
    <t xml:space="preserve">Rent/SF/Mo</t>
  </si>
  <si>
    <t xml:space="preserve">Annual Rent</t>
  </si>
  <si>
    <t xml:space="preserve">Status</t>
  </si>
  <si>
    <t xml:space="preserve">Lease Exp</t>
  </si>
  <si>
    <t xml:space="preserve">Market Rent</t>
  </si>
  <si>
    <t xml:space="preserve">001</t>
  </si>
  <si>
    <t xml:space="preserve">Studio</t>
  </si>
  <si>
    <t xml:space="preserve">Occupied</t>
  </si>
  <si>
    <t xml:space="preserve">12/31/2026</t>
  </si>
  <si>
    <t xml:space="preserve">002</t>
  </si>
  <si>
    <t xml:space="preserve">003</t>
  </si>
  <si>
    <t xml:space="preserve">004</t>
  </si>
  <si>
    <t xml:space="preserve">005</t>
  </si>
  <si>
    <t xml:space="preserve">Vacant</t>
  </si>
  <si>
    <t xml:space="preserve">006</t>
  </si>
  <si>
    <t xml:space="preserve">1BR</t>
  </si>
  <si>
    <t xml:space="preserve">007</t>
  </si>
  <si>
    <t xml:space="preserve">008</t>
  </si>
  <si>
    <t xml:space="preserve">009</t>
  </si>
  <si>
    <t xml:space="preserve">010</t>
  </si>
  <si>
    <t xml:space="preserve">011</t>
  </si>
  <si>
    <t xml:space="preserve">2BR</t>
  </si>
  <si>
    <t xml:space="preserve">012</t>
  </si>
  <si>
    <t xml:space="preserve">013</t>
  </si>
  <si>
    <t xml:space="preserve">014</t>
  </si>
  <si>
    <t xml:space="preserve">015</t>
  </si>
  <si>
    <t xml:space="preserve">016</t>
  </si>
  <si>
    <t xml:space="preserve">3BR</t>
  </si>
  <si>
    <t xml:space="preserve">017</t>
  </si>
  <si>
    <t xml:space="preserve">018</t>
  </si>
  <si>
    <t xml:space="preserve">019</t>
  </si>
  <si>
    <t xml:space="preserve">020</t>
  </si>
  <si>
    <t xml:space="preserve">TOTALS</t>
  </si>
  <si>
    <t xml:space="preserve">Residential GPR (Annual)</t>
  </si>
  <si>
    <t xml:space="preserve">Occupancy Rate</t>
  </si>
  <si>
    <t xml:space="preserve">Average Rent/Unit/Mo</t>
  </si>
  <si>
    <t xml:space="preserve">  COMMERCIAL TENANTS</t>
  </si>
  <si>
    <t xml:space="preserve">Tenant</t>
  </si>
  <si>
    <t xml:space="preserve">Suite</t>
  </si>
  <si>
    <t xml:space="preserve">Rent/SF/Yr</t>
  </si>
  <si>
    <t xml:space="preserve">Lease Type</t>
  </si>
  <si>
    <t xml:space="preserve">Start</t>
  </si>
  <si>
    <t xml:space="preserve">Expiry</t>
  </si>
  <si>
    <t xml:space="preserve">TI/SF</t>
  </si>
  <si>
    <t xml:space="preserve">Commercial Income (Annual)</t>
  </si>
  <si>
    <t xml:space="preserve">TOTAL GROSS POTENTIAL RENT (Annual)</t>
  </si>
  <si>
    <t xml:space="preserve">10-YEAR PRO FORMA</t>
  </si>
  <si>
    <t xml:space="preserve">All Year 1 values reference Assumptions. No hardcoded numbers.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</si>
  <si>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</si>
  <si>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</si>
  <si>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</si>
  <si>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</si>
  <si>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</si>
  <si>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</si>
  <si>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</si>
  <si>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</si>
  <si>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</si>
  <si>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</si>
  <si>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Stabilization Factor</t>
  </si>
  <si>
    <t xml:space="preserve">Income</t>
  </si>
  <si>
    <t xml:space="preserve">Gross Potential Rents</t>
  </si>
  <si>
    <t xml:space="preserve">  Loss to Lease</t>
  </si>
  <si>
    <t xml:space="preserve">Total Gross Potential Rent</t>
  </si>
  <si>
    <t xml:space="preserve">  CAM Reimbursements</t>
  </si>
  <si>
    <t xml:space="preserve">  Fees (Damages/App/Pet/Late)</t>
  </si>
  <si>
    <t xml:space="preserve">Total Other Income</t>
  </si>
  <si>
    <t xml:space="preserve">Total Gross Income</t>
  </si>
  <si>
    <t xml:space="preserve">  Less: Vacancy &amp; Bad Debt</t>
  </si>
  <si>
    <t xml:space="preserve">Effective Gross Income</t>
  </si>
  <si>
    <t xml:space="preserve">Operating Expenses — Fixed</t>
  </si>
  <si>
    <t xml:space="preserve">  Real Estate Taxes</t>
  </si>
  <si>
    <t xml:space="preserve">  Insurance</t>
  </si>
  <si>
    <t xml:space="preserve">  Gas</t>
  </si>
  <si>
    <t xml:space="preserve">  Water &amp; Sewer</t>
  </si>
  <si>
    <t xml:space="preserve">  Electric</t>
  </si>
  <si>
    <t xml:space="preserve">  License / Inspections</t>
  </si>
  <si>
    <t xml:space="preserve">  Trash Removal</t>
  </si>
  <si>
    <t xml:space="preserve">Operating Expenses — Variable</t>
  </si>
  <si>
    <t xml:space="preserve">  Management Fee</t>
  </si>
  <si>
    <t xml:space="preserve">  Salaries</t>
  </si>
  <si>
    <t xml:space="preserve">  Repairs / Maint / Turnover:</t>
  </si>
  <si>
    <t xml:space="preserve">  Repairs</t>
  </si>
  <si>
    <t xml:space="preserve">  Exterminator</t>
  </si>
  <si>
    <t xml:space="preserve">  Cleaning / Maintenance</t>
  </si>
  <si>
    <t xml:space="preserve">  Turnover</t>
  </si>
  <si>
    <t xml:space="preserve">  Advertising</t>
  </si>
  <si>
    <t xml:space="preserve">  Landscape / Snow</t>
  </si>
  <si>
    <t xml:space="preserve">  Admin / Legal / Acct / Office:</t>
  </si>
  <si>
    <t xml:space="preserve">  Admin / Legal / Acct.</t>
  </si>
  <si>
    <t xml:space="preserve">  Office / Phone / Supplies</t>
  </si>
  <si>
    <t xml:space="preserve">  Miscellaneous</t>
  </si>
  <si>
    <t xml:space="preserve">Total Variable Expenses</t>
  </si>
  <si>
    <t xml:space="preserve">Total Expenses</t>
  </si>
  <si>
    <t xml:space="preserve">Revenue / Expense Ratio</t>
  </si>
  <si>
    <t xml:space="preserve">Expenses per Unit</t>
  </si>
  <si>
    <t xml:space="preserve">Net Operating Income</t>
  </si>
  <si>
    <t xml:space="preserve">Capitalization Rate</t>
  </si>
  <si>
    <t xml:space="preserve">Below the Line</t>
  </si>
  <si>
    <t xml:space="preserve">  Commissions</t>
  </si>
  <si>
    <t xml:space="preserve">  Capital Reserves</t>
  </si>
  <si>
    <t xml:space="preserve">  Renovations</t>
  </si>
  <si>
    <t xml:space="preserve">Net Operating Cash Flow</t>
  </si>
  <si>
    <t xml:space="preserve">Debt Service</t>
  </si>
  <si>
    <t xml:space="preserve">DSCR</t>
  </si>
  <si>
    <t xml:space="preserve">Free Cash Flow</t>
  </si>
  <si>
    <t xml:space="preserve">REFINANCE ANALYSIS</t>
  </si>
  <si>
    <t xml:space="preserve">Refi 1</t>
  </si>
  <si>
    <t xml:space="preserve">Refi 2</t>
  </si>
  <si>
    <t xml:space="preserve">Refi 3</t>
  </si>
  <si>
    <t xml:space="preserve">Active?</t>
  </si>
  <si>
    <t xml:space="preserve">Timing (Year)</t>
  </si>
  <si>
    <t xml:space="preserve">Appraised Value</t>
  </si>
  <si>
    <t xml:space="preserve">LTV</t>
  </si>
  <si>
    <t xml:space="preserve">New Loan Amount</t>
  </si>
  <si>
    <t xml:space="preserve">Amortization</t>
  </si>
  <si>
    <t xml:space="preserve">Term</t>
  </si>
  <si>
    <t xml:space="preserve">Orig Fee (%)</t>
  </si>
  <si>
    <t xml:space="preserve">Prepay Penalty (%)</t>
  </si>
  <si>
    <t xml:space="preserve">Calculated Proceeds</t>
  </si>
  <si>
    <t xml:space="preserve">Existing Loan Balance</t>
  </si>
  <si>
    <t xml:space="preserve">Prepayment Penalty ($)</t>
  </si>
  <si>
    <t xml:space="preserve">Total Refi Costs</t>
  </si>
  <si>
    <t xml:space="preserve">NET REFI PROCEEDS</t>
  </si>
  <si>
    <t xml:space="preserve">AMORT - INITIAL</t>
  </si>
  <si>
    <t xml:space="preserve">Initial acquisition loan.</t>
  </si>
  <si>
    <t xml:space="preserve">Loan Amount</t>
  </si>
  <si>
    <t xml:space="preserve">Annual Rate</t>
  </si>
  <si>
    <t xml:space="preserve">Amort (Years)</t>
  </si>
  <si>
    <t xml:space="preserve">Monthly Payment</t>
  </si>
  <si>
    <t xml:space="preserve">Month</t>
  </si>
  <si>
    <t xml:space="preserve">Payment</t>
  </si>
  <si>
    <t xml:space="preserve">Principal</t>
  </si>
  <si>
    <t xml:space="preserve">Interest</t>
  </si>
  <si>
    <t xml:space="preserve">Balance</t>
  </si>
  <si>
    <t xml:space="preserve">AMORT - REFI 1</t>
  </si>
  <si>
    <t xml:space="preserve">Blank until Refi 1 activated.</t>
  </si>
  <si>
    <t xml:space="preserve">AMORT - REFI 2</t>
  </si>
  <si>
    <t xml:space="preserve">Blank until Refi 2 activated.</t>
  </si>
  <si>
    <t xml:space="preserve">AMORT - REFI 3</t>
  </si>
  <si>
    <t xml:space="preserve">Blank until Refi 3 activated.</t>
  </si>
  <si>
    <t xml:space="preserve">EXIT / DISPOSITION</t>
  </si>
  <si>
    <t xml:space="preserve">Disposition Calculation</t>
  </si>
  <si>
    <t xml:space="preserve">Exit Year NOI</t>
  </si>
  <si>
    <t xml:space="preserve">Gross Sale Price</t>
  </si>
  <si>
    <t xml:space="preserve">Disposition Costs (%)</t>
  </si>
  <si>
    <t xml:space="preserve">Disposition Costs ($)</t>
  </si>
  <si>
    <t xml:space="preserve">Net Sale Price</t>
  </si>
  <si>
    <t xml:space="preserve">Loan Payoff</t>
  </si>
  <si>
    <t xml:space="preserve">Outstanding Loan Balance</t>
  </si>
  <si>
    <t xml:space="preserve">Net Proceeds After Payoff</t>
  </si>
  <si>
    <t xml:space="preserve">Return Summary</t>
  </si>
  <si>
    <t xml:space="preserve">Total Operating CF</t>
  </si>
  <si>
    <t xml:space="preserve">Total Refi Proceeds</t>
  </si>
  <si>
    <t xml:space="preserve">Net Exit Proceeds</t>
  </si>
  <si>
    <t xml:space="preserve">Total Return ($)</t>
  </si>
  <si>
    <t xml:space="preserve">EQUITY MULTIPLE</t>
  </si>
  <si>
    <t xml:space="preserve">CASH WATERFALL</t>
  </si>
  <si>
    <t xml:space="preserve">All inputs from Assumptions tab. Distributes at every capital event.</t>
  </si>
  <si>
    <t xml:space="preserve">PARTNERSHIP STRUCTURE</t>
  </si>
  <si>
    <t xml:space="preserve">Year 0</t>
  </si>
  <si>
    <t xml:space="preserve">Equity Contributions</t>
  </si>
  <si>
    <t xml:space="preserve">%</t>
  </si>
  <si>
    <t xml:space="preserve">General Partner (GP)</t>
  </si>
  <si>
    <t xml:space="preserve">Limited Partner (LP)</t>
  </si>
  <si>
    <t xml:space="preserve">Preferred Return</t>
  </si>
  <si>
    <t xml:space="preserve">Waterfall Tiers</t>
  </si>
  <si>
    <t xml:space="preserve">IRR Hurdle</t>
  </si>
  <si>
    <t xml:space="preserve">GP Promote</t>
  </si>
  <si>
    <t xml:space="preserve">LP %</t>
  </si>
  <si>
    <t xml:space="preserve">GP %</t>
  </si>
  <si>
    <t xml:space="preserve">Tier 1: Pref Return + Return of Capital</t>
  </si>
  <si>
    <t xml:space="preserve">0%</t>
  </si>
  <si>
    <t xml:space="preserve">100%</t>
  </si>
  <si>
    <t xml:space="preserve">Tier 2</t>
  </si>
  <si>
    <t xml:space="preserve">Tier 3</t>
  </si>
  <si>
    <t xml:space="preserve">Tier 4</t>
  </si>
  <si>
    <t xml:space="preserve">Tier 5</t>
  </si>
  <si>
    <t xml:space="preserve">Tier 6 (above Tier 5)</t>
  </si>
  <si>
    <t xml:space="preserve">PROPERTY-LEVEL CASH FLOWS</t>
  </si>
  <si>
    <t xml:space="preserve">Net Property-Level Cash Flow</t>
  </si>
  <si>
    <t xml:space="preserve">Refi 1 Proceeds</t>
  </si>
  <si>
    <t xml:space="preserve">Refi 2 Proceeds</t>
  </si>
  <si>
    <t xml:space="preserve">Refi 3 Proceeds</t>
  </si>
  <si>
    <t xml:space="preserve">Total Distributable Cash Flow</t>
  </si>
  <si>
    <t xml:space="preserve">PROJECT IRR</t>
  </si>
  <si>
    <t xml:space="preserve">PROJECT EQUITY MULTIPLE</t>
  </si>
  <si>
    <t xml:space="preserve">LP / GP RETURN SUMMARY</t>
  </si>
  <si>
    <t xml:space="preserve">LIMITED PARTNER (LP) RETURNS</t>
  </si>
  <si>
    <t xml:space="preserve">Check</t>
  </si>
  <si>
    <t xml:space="preserve">LP Equity Invested</t>
  </si>
  <si>
    <t xml:space="preserve">LP Share of Distributable CF</t>
  </si>
  <si>
    <t xml:space="preserve">Total LP Distributions</t>
  </si>
  <si>
    <t xml:space="preserve">LP Profit</t>
  </si>
  <si>
    <t xml:space="preserve">LP EQUITY MULTIPLE</t>
  </si>
  <si>
    <t xml:space="preserve">GENERAL PARTNER (GP) RETURNS</t>
  </si>
  <si>
    <t xml:space="preserve">GP Equity Invested</t>
  </si>
  <si>
    <t xml:space="preserve">Total GP Distributions</t>
  </si>
  <si>
    <t xml:space="preserve">GP Profit</t>
  </si>
  <si>
    <t xml:space="preserve">GP IRR</t>
  </si>
  <si>
    <t xml:space="preserve">GP EQUITY MULTIPLE</t>
  </si>
  <si>
    <t xml:space="preserve">IRR EQUITY WATERFALL — TIER-BY-TIER DETAIL</t>
  </si>
  <si>
    <t xml:space="preserve">TIER 1 — Preferred Return + Return of Capital</t>
  </si>
  <si>
    <t xml:space="preserve">Hurdle: Up to</t>
  </si>
  <si>
    <t xml:space="preserve">LP Beginning Balance</t>
  </si>
  <si>
    <t xml:space="preserve">LP Preferred Return Accrual</t>
  </si>
  <si>
    <t xml:space="preserve">LP Contributions</t>
  </si>
  <si>
    <t xml:space="preserve">LP Available Cash (LP share)</t>
  </si>
  <si>
    <t xml:space="preserve">LP Distribution (Tier 1)</t>
  </si>
  <si>
    <t xml:space="preserve">LP Ending Balance</t>
  </si>
  <si>
    <t xml:space="preserve">LP IRR Check (Tier 1)</t>
  </si>
  <si>
    <t xml:space="preserve">GP Beginning Balance</t>
  </si>
  <si>
    <t xml:space="preserve">GP Preferred Return Accrual</t>
  </si>
  <si>
    <t xml:space="preserve">GP Contributions</t>
  </si>
  <si>
    <t xml:space="preserve">GP Available Cash (GP share)</t>
  </si>
  <si>
    <t xml:space="preserve">GP Distribution (Tier 1)</t>
  </si>
  <si>
    <t xml:space="preserve">GP Ending Balance</t>
  </si>
  <si>
    <t xml:space="preserve">Total Tier 1 Distributions (LP+GP)</t>
  </si>
  <si>
    <t xml:space="preserve">Cash Flow Remaining After Tier 1</t>
  </si>
  <si>
    <t xml:space="preserve">TIER 2 — Promote</t>
  </si>
  <si>
    <t xml:space="preserve">LP / GP Split</t>
  </si>
  <si>
    <t xml:space="preserve">Req'd Return to hit Hurdle 2</t>
  </si>
  <si>
    <t xml:space="preserve">Prior LP Distributions</t>
  </si>
  <si>
    <t xml:space="preserve">LP Distribution (Tier 2)</t>
  </si>
  <si>
    <t xml:space="preserve">GP Distribution (Tier 2)</t>
  </si>
  <si>
    <t xml:space="preserve">Total Tier 2 Distributions</t>
  </si>
  <si>
    <t xml:space="preserve">Cash Flow Remaining After Tier 2</t>
  </si>
  <si>
    <t xml:space="preserve">TIER 3 — Promote</t>
  </si>
  <si>
    <t xml:space="preserve">Req'd Return to hit Hurdle 3</t>
  </si>
  <si>
    <t xml:space="preserve">LP Distribution (Tier 3)</t>
  </si>
  <si>
    <t xml:space="preserve">GP Distribution (Tier 3)</t>
  </si>
  <si>
    <t xml:space="preserve">Total Tier 3 Distributions</t>
  </si>
  <si>
    <t xml:space="preserve">Cash Flow Remaining After Tier 3</t>
  </si>
  <si>
    <t xml:space="preserve">TIER 4 — Promote</t>
  </si>
  <si>
    <t xml:space="preserve">Req'd Return to hit Hurdle 4</t>
  </si>
  <si>
    <t xml:space="preserve">LP Distribution (Tier 4)</t>
  </si>
  <si>
    <t xml:space="preserve">GP Distribution (Tier 4)</t>
  </si>
  <si>
    <t xml:space="preserve">Total Tier 4 Distributions</t>
  </si>
  <si>
    <t xml:space="preserve">Cash Flow Remaining After Tier 4</t>
  </si>
  <si>
    <t xml:space="preserve">TIER 5 — Above Hurdle 4 (Super Promote)</t>
  </si>
  <si>
    <t xml:space="preserve">LP Distribution (Tier 5)</t>
  </si>
  <si>
    <t xml:space="preserve">GP Distribution (Tier 5)</t>
  </si>
  <si>
    <t xml:space="preserve">Total Tier 5 Distributions</t>
  </si>
  <si>
    <t xml:space="preserve">Cash Flow Remaining (should be 0)</t>
  </si>
  <si>
    <t xml:space="preserve">VERIFICATION &amp; ERROR CHECKS</t>
  </si>
  <si>
    <t xml:space="preserve">Total LP + GP Distributions</t>
  </si>
  <si>
    <t xml:space="preserve">Difference (should be 0)</t>
  </si>
  <si>
    <t xml:space="preserve">LP+GP Dist as % of Total</t>
  </si>
  <si>
    <t xml:space="preserve">RETURNS SUMMARY</t>
  </si>
  <si>
    <t xml:space="preserve">All values reference other tabs. No hardcoded numbers.</t>
  </si>
  <si>
    <t xml:space="preserve">Investment Overview</t>
  </si>
  <si>
    <t xml:space="preserve">Property</t>
  </si>
  <si>
    <t xml:space="preserve">Return Metrics</t>
  </si>
  <si>
    <t xml:space="preserve">Equity Multiple &amp; Distributions</t>
  </si>
  <si>
    <t xml:space="preserve">Total Distributions</t>
  </si>
  <si>
    <t xml:space="preserve">LP IRR (from Waterfall)</t>
  </si>
  <si>
    <t xml:space="preserve">LP Equity Multiple</t>
  </si>
  <si>
    <t xml:space="preserve">GP Equity Multiple</t>
  </si>
  <si>
    <t xml:space="preserve">Levered IRR (Property)</t>
  </si>
  <si>
    <t xml:space="preserve">SENSITIVITY ANALYSIS</t>
  </si>
  <si>
    <t xml:space="preserve">How key returns change across different scenarios. Rent Growth (columns) × Exit Cap Rate (rows).</t>
  </si>
  <si>
    <t xml:space="preserve">LEVERED IRR</t>
  </si>
  <si>
    <t xml:space="preserve">Project-level IRR under different rent growth and exit cap assumptions</t>
  </si>
  <si>
    <t xml:space="preserve">Project-level equity multiple under different scenarios</t>
  </si>
  <si>
    <t xml:space="preserve">Exit Cap ↓  Rent Growth →</t>
  </si>
  <si>
    <t xml:space="preserve">—</t>
  </si>
  <si>
    <t xml:space="preserve">Values calculated by Python underwriting script (requires iterative IRR calculation).</t>
  </si>
  <si>
    <t xml:space="preserve">Values calculated by Python underwriting script.</t>
  </si>
  <si>
    <t xml:space="preserve">  OPERATING METRICS SENSITIVITY</t>
  </si>
  <si>
    <t xml:space="preserve">YEAR 1 NOI</t>
  </si>
  <si>
    <t xml:space="preserve">YEAR 1 CASH-ON-CASH RETURN</t>
  </si>
  <si>
    <t xml:space="preserve">Vacancy Rate (columns) × Expense Growth (rows)</t>
  </si>
  <si>
    <t xml:space="preserve">Purchase Price (columns) × LTV (rows)</t>
  </si>
  <si>
    <t xml:space="preserve">Exp Growth ↓  Vacancy →</t>
  </si>
  <si>
    <t xml:space="preserve">LTV ↓  Price →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</si>
</sst>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\$#,##0;&quot;($&quot;#,##0\);\-"/>
    <numFmt numFmtId="167" formatCode="0.00%"/>
    <numFmt numFmtId="168" formatCode="0.0%"/>
    <numFmt numFmtId="169" formatCode="0.00\x"/>
    <numFmt numFmtId="170" formatCode="0&quot; years&quot;"/>
    <numFmt numFmtId="171" formatCode="@"/>
    <numFmt numFmtId="172" formatCode="0"/>
    <numFmt numFmtId="173" formatCode="\$#,##0.00;&quot;($&quot;#,##0.00\);\-"/>
    <numFmt numFmtId="174" formatCode="0.0\x"/>
    <numFmt numFmtId="175" formatCode="\$#,##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3E6844"/>
      <name val="Century Gothic"/>
      <family val="0"/>
      <charset val="1"/>
    </font>
    <font>
      <sz val="14"/>
      <color rgb="FF8B7355"/>
      <name val="Century Gothic"/>
      <family val="0"/>
      <charset val="1"/>
    </font>
    <font>
      <b val="true"/>
      <sz val="18"/>
      <color rgb="FF2A2820"/>
      <name val="Century Gothic"/>
      <family val="0"/>
      <charset val="1"/>
    </font>
    <font>
      <sz val="12"/>
      <color rgb="FF7A7568"/>
      <name val="Century Gothic"/>
      <family val="0"/>
      <charset val="1"/>
    </font>
    <font>
      <sz val="10"/>
      <color rgb="FF2A2820"/>
      <name val="Century Gothic"/>
      <family val="0"/>
      <charset val="1"/>
    </font>
    <font>
      <sz val="10"/>
      <color rgb="FF008000"/>
      <name val="Century Gothic"/>
      <family val="0"/>
      <charset val="1"/>
    </font>
    <font>
      <b val="true"/>
      <sz val="12"/>
      <color rgb="FF3E6844"/>
      <name val="Century Gothic"/>
      <family val="0"/>
      <charset val="1"/>
    </font>
    <font>
      <b val="true"/>
      <sz val="10"/>
      <color rgb="FF008000"/>
      <name val="Century Gothic"/>
      <family val="0"/>
      <charset val="1"/>
    </font>
    <font>
      <b val="true"/>
      <sz val="10"/>
      <color rgb="FF9B4D4D"/>
      <name val="Century Gothic"/>
      <family val="0"/>
      <charset val="1"/>
    </font>
    <font>
      <i val="true"/>
      <sz val="9"/>
      <color rgb="FF7A7568"/>
      <name val="Century Gothic"/>
      <family val="0"/>
      <charset val="1"/>
    </font>
    <font>
      <b val="true"/>
      <sz val="20"/>
      <color rgb="FFFFFFFF"/>
      <name val="Century Gothic"/>
      <family val="0"/>
      <charset val="1"/>
    </font>
    <font>
      <sz val="11"/>
      <color rgb="FFE8F0E9"/>
      <name val="Century Gothic"/>
      <family val="0"/>
      <charset val="1"/>
    </font>
    <font>
      <sz val="10"/>
      <name val="Century Gothic"/>
      <family val="0"/>
      <charset val="1"/>
    </font>
    <font>
      <b val="true"/>
      <sz val="13"/>
      <color rgb="FFFFFFFF"/>
      <name val="Century Gothic"/>
      <family val="0"/>
      <charset val="1"/>
    </font>
    <font>
      <b val="true"/>
      <sz val="10"/>
      <color rgb="FF0000FF"/>
      <name val="Century Gothic"/>
      <family val="0"/>
      <charset val="1"/>
    </font>
    <font>
      <sz val="10"/>
      <color rgb="FF3E6844"/>
      <name val="Century Gothic"/>
      <family val="0"/>
      <charset val="1"/>
    </font>
    <font>
      <b val="true"/>
      <sz val="10"/>
      <color rgb="FF2A2820"/>
      <name val="Century Gothic"/>
      <family val="0"/>
      <charset val="1"/>
    </font>
    <font>
      <sz val="10"/>
      <color rgb="FF000000"/>
      <name val="Century Gothic"/>
      <family val="0"/>
      <charset val="1"/>
    </font>
    <font>
      <b val="true"/>
      <sz val="10"/>
      <color rgb="FFFFFFFF"/>
      <name val="Century Gothic"/>
      <family val="0"/>
      <charset val="1"/>
    </font>
    <font>
      <b val="true"/>
      <sz val="11"/>
      <color rgb="FF3E6844"/>
      <name val="Century Gothic"/>
      <family val="0"/>
      <charset val="1"/>
    </font>
    <font>
      <b val="true"/>
      <sz val="11"/>
      <color rgb="FFFFFFFF"/>
      <name val="Century Gothic"/>
      <family val="0"/>
      <charset val="1"/>
    </font>
    <font>
      <b val="true"/>
      <sz val="10"/>
      <color rgb="FF3E6844"/>
      <name val="Century Gothic"/>
      <family val="0"/>
      <charset val="1"/>
    </font>
    <font>
      <b val="true"/>
      <sz val="16"/>
      <color rgb="FF2A2820"/>
      <name val="Century Gothic"/>
      <family val="0"/>
      <charset val="1"/>
    </font>
    <font>
      <b val="true"/>
      <sz val="9"/>
      <color rgb="FFFFFFFF"/>
      <name val="Century Gothic"/>
      <family val="0"/>
      <charset val="1"/>
    </font>
    <font>
      <b val="true"/>
      <sz val="10"/>
      <color rgb="FF6B5740"/>
      <name val="Century Gothic"/>
      <family val="0"/>
      <charset val="1"/>
    </font>
    <font>
      <b val="true"/>
      <sz val="10"/>
      <color rgb="FF8B7355"/>
      <name val="Century Gothic"/>
      <family val="0"/>
      <charset val="1"/>
    </font>
    <font>
      <b val="true"/>
      <sz val="10"/>
      <color rgb="FFA89278"/>
      <name val="Century Gothic"/>
      <family val="0"/>
      <charset val="1"/>
    </font>
    <font>
      <b val="true"/>
      <sz val="18"/>
      <color rgb="FFFFFFFF"/>
      <name val="Century Gothic"/>
      <family val="0"/>
      <charset val="1"/>
    </font>
    <font>
      <sz val="10"/>
      <color rgb="FFE8F0E9"/>
      <name val="Century Gothic"/>
      <family val="0"/>
      <charset val="1"/>
    </font>
    <font>
      <sz val="10"/>
      <color rgb="FF7A7568"/>
      <name val="Century Gothic"/>
      <family val="0"/>
      <charset val="1"/>
    </font>
    <font>
      <b val="true"/>
      <sz val="11"/>
      <color rgb="FF9B4D4D"/>
      <name val="Century Gothic"/>
      <family val="0"/>
      <charset val="1"/>
    </font>
    <font>
      <b val="true"/>
      <sz val="14"/>
      <color rgb="FF3E6844"/>
      <name val="Century Gothic"/>
      <family val="0"/>
      <charset val="1"/>
    </font>
    <font>
      <b val="true"/>
      <sz val="11"/>
      <color rgb="FF2A2820"/>
      <name val="Century Gothic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FAF8F5"/>
        <bgColor rgb="FFFBF6E8"/>
      </patternFill>
    </fill>
    <fill>
      <patternFill patternType="solid">
        <fgColor rgb="FFE8F0E9"/>
        <bgColor rgb="FFEAF2EC"/>
      </patternFill>
    </fill>
    <fill>
      <patternFill patternType="solid">
        <fgColor rgb="FFF2F4EC"/>
        <bgColor rgb="FFEAF2EC"/>
      </patternFill>
    </fill>
    <fill>
      <patternFill patternType="solid">
        <fgColor rgb="FF2A2820"/>
        <bgColor rgb="FF333300"/>
      </patternFill>
    </fill>
    <fill>
      <patternFill patternType="solid">
        <fgColor rgb="FF3E6844"/>
        <bgColor rgb="FF6B5740"/>
      </patternFill>
    </fill>
    <fill>
      <patternFill patternType="solid">
        <fgColor rgb="FFFFFFF0"/>
        <bgColor rgb="FFFFFFFF"/>
      </patternFill>
    </fill>
    <fill>
      <patternFill patternType="solid">
        <fgColor rgb="FFE5E8DE"/>
        <bgColor rgb="FFE8F0E9"/>
      </patternFill>
    </fill>
    <fill>
      <patternFill patternType="solid">
        <fgColor rgb="FF6B5740"/>
        <bgColor rgb="FF9B4D4D"/>
      </patternFill>
    </fill>
    <fill>
      <patternFill patternType="solid">
        <fgColor rgb="FF8B7355"/>
        <bgColor rgb="FF7A7568"/>
      </patternFill>
    </fill>
    <fill>
      <patternFill patternType="solid">
        <fgColor rgb="FFA89278"/>
        <bgColor rgb="FFB8962E"/>
      </patternFill>
    </fill>
    <fill>
      <patternFill patternType="solid">
        <fgColor rgb="FF9B4D4D"/>
        <bgColor rgb="FF993366"/>
      </patternFill>
    </fill>
    <fill>
      <patternFill patternType="solid">
        <fgColor rgb="FFEAF2EC"/>
        <bgColor rgb="FFE8F0E9"/>
      </patternFill>
    </fill>
    <fill>
      <patternFill patternType="solid">
        <fgColor rgb="FFF5EAEA"/>
        <bgColor rgb="FFF2F4EC"/>
      </patternFill>
    </fill>
    <fill>
      <patternFill patternType="solid">
        <fgColor rgb="FFFBF6E8"/>
        <bgColor rgb="FFFAF8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9" fontId="1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9" fontId="11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0" fontId="1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1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1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0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20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3" fontId="2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9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1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1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0" fillId="1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23" fillId="1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1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12" fillId="1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4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8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8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8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8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7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2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4" fontId="1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2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0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2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2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2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8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8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3" fontId="21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1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8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8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3" fontId="21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1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2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2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3" fontId="22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2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3" fontId="18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3" fontId="18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1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0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34" fillId="1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2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21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35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35" fillId="1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7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35" fillId="1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1" fillId="1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1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23" fillId="1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9" fontId="23" fillId="1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27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7355"/>
      <rgbColor rgb="FF800080"/>
      <rgbColor rgb="FF3E6844"/>
      <rgbColor rgb="FFD4C9B8"/>
      <rgbColor rgb="FF7A7568"/>
      <rgbColor rgb="FF9999FF"/>
      <rgbColor rgb="FF9B4D4D"/>
      <rgbColor rgb="FFFBF6E8"/>
      <rgbColor rgb="FFEAF2EC"/>
      <rgbColor rgb="FF660066"/>
      <rgbColor rgb="FFFF8080"/>
      <rgbColor rgb="FF0066CC"/>
      <rgbColor rgb="FFF5EA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E9"/>
      <rgbColor rgb="FFE5E8DE"/>
      <rgbColor rgb="FFFFFFF0"/>
      <rgbColor rgb="FFFAF8F5"/>
      <rgbColor rgb="FFFF99CC"/>
      <rgbColor rgb="FFCC99FF"/>
      <rgbColor rgb="FFF2F4EC"/>
      <rgbColor rgb="FF3366FF"/>
      <rgbColor rgb="FF33CCCC"/>
      <rgbColor rgb="FF99CC00"/>
      <rgbColor rgb="FFFFCC00"/>
      <rgbColor rgb="FFB8962E"/>
      <rgbColor rgb="FFFF6600"/>
      <rgbColor rgb="FF6B5740"/>
      <rgbColor rgb="FFA89278"/>
      <rgbColor rgb="FF003366"/>
      <rgbColor rgb="FF5A8A62"/>
      <rgbColor rgb="FF003300"/>
      <rgbColor rgb="FF333300"/>
      <rgbColor rgb="FF993300"/>
      <rgbColor rgb="FF993366"/>
      <rgbColor rgb="FF333399"/>
      <rgbColor rgb="FF2A28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1360440</xdr:colOff>
      <xdr:row>7</xdr:row>
      <xdr:rowOff>122040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1712880" cy="17128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820"/>
    <pageSetUpPr fitToPage="false"/>
  </sheetPr>
  <dimension ref="A1:D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4" min="3" style="1" width="25"/>
    <col collapsed="false" customWidth="true" hidden="false" outlineLevel="0" max="5" min="5" style="1" width="5"/>
  </cols>
  <sheetData>
    <row r="1" customFormat="false" ht="15" hidden="false" customHeight="true" outlineLevel="0" collapsed="false">
      <c r="A1" s="2"/>
      <c r="B1" s="2"/>
      <c r="C1" s="2"/>
      <c r="D1" s="2"/>
    </row>
    <row r="2" customFormat="false" ht="26.25" hidden="false" customHeight="true" outlineLevel="0" collapsed="false">
      <c r="A2" s="2"/>
      <c r="B2" s="3" t="s">
        <v>0</v>
      </c>
      <c r="C2" s="3"/>
      <c r="D2" s="3"/>
    </row>
    <row r="3" customFormat="false" ht="17.25" hidden="false" customHeight="true" outlineLevel="0" collapsed="false">
      <c r="A3" s="2"/>
      <c r="B3" s="4" t="s">
        <v>1</v>
      </c>
      <c r="C3" s="4"/>
      <c r="D3" s="4"/>
    </row>
    <row r="4" customFormat="false" ht="15" hidden="false" customHeight="true" outlineLevel="0" collapsed="false">
      <c r="A4" s="2"/>
      <c r="B4" s="2"/>
      <c r="C4" s="2"/>
      <c r="D4" s="2"/>
    </row>
    <row r="5" customFormat="false" ht="21.75" hidden="false" customHeight="true" outlineLevel="0" collapsed="false">
      <c r="A5" s="2"/>
      <c r="B5" s="5" t="str">
        <f aca="false">Assumptions!C5</f>
        <v>Sample Property</v>
      </c>
      <c r="C5" s="5"/>
      <c r="D5" s="5"/>
    </row>
    <row r="6" customFormat="false" ht="15" hidden="false" customHeight="true" outlineLevel="0" collapsed="false">
      <c r="A6" s="2"/>
      <c r="B6" s="6" t="str">
        <f aca="false">Assumptions!C6</f>
        <v>123 Main St, Philadelphia, PA 19103</v>
      </c>
      <c r="C6" s="6"/>
      <c r="D6" s="6"/>
    </row>
    <row r="7" customFormat="false" ht="15" hidden="false" customHeight="true" outlineLevel="0" collapsed="false">
      <c r="A7" s="2"/>
      <c r="B7" s="2"/>
      <c r="C7" s="2"/>
      <c r="D7" s="2"/>
    </row>
    <row r="8" customFormat="false" ht="15" hidden="false" customHeight="true" outlineLevel="0" collapsed="false">
      <c r="A8" s="2"/>
      <c r="B8" s="7" t="s">
        <v>2</v>
      </c>
      <c r="C8" s="8" t="str">
        <f aca="false">Assumptions!C7</f>
        <v>Multifamily</v>
      </c>
      <c r="D8" s="2"/>
    </row>
    <row r="9" customFormat="false" ht="15" hidden="false" customHeight="true" outlineLevel="0" collapsed="false">
      <c r="A9" s="2"/>
      <c r="B9" s="7" t="s">
        <v>3</v>
      </c>
      <c r="C9" s="8" t="str">
        <f aca="false">Assumptions!C8</f>
        <v>Hold</v>
      </c>
      <c r="D9" s="2"/>
    </row>
    <row r="10" customFormat="false" ht="15" hidden="false" customHeight="true" outlineLevel="0" collapsed="false">
      <c r="A10" s="2"/>
      <c r="B10" s="7" t="s">
        <v>4</v>
      </c>
      <c r="C10" s="9" t="n">
        <f aca="false">Assumptions!C9</f>
        <v>20</v>
      </c>
      <c r="D10" s="2"/>
    </row>
    <row r="11" customFormat="false" ht="15" hidden="false" customHeight="true" outlineLevel="0" collapsed="false">
      <c r="A11" s="2"/>
      <c r="B11" s="7" t="s">
        <v>5</v>
      </c>
      <c r="C11" s="9" t="n">
        <f aca="false">Assumptions!C10</f>
        <v>18000</v>
      </c>
      <c r="D11" s="2"/>
    </row>
    <row r="12" customFormat="false" ht="15" hidden="false" customHeight="true" outlineLevel="0" collapsed="false">
      <c r="A12" s="2"/>
      <c r="B12" s="2"/>
      <c r="C12" s="2"/>
      <c r="D12" s="2"/>
    </row>
    <row r="13" customFormat="false" ht="15" hidden="false" customHeight="true" outlineLevel="0" collapsed="false">
      <c r="A13" s="2"/>
      <c r="B13" s="10" t="s">
        <v>6</v>
      </c>
      <c r="C13" s="10"/>
      <c r="D13" s="10"/>
    </row>
    <row r="14" customFormat="false" ht="15" hidden="false" customHeight="true" outlineLevel="0" collapsed="false">
      <c r="A14" s="2"/>
      <c r="B14" s="11" t="s">
        <v>7</v>
      </c>
      <c r="C14" s="12" t="n">
        <f aca="false">Assumptions!C17</f>
        <v>2500000</v>
      </c>
      <c r="D14" s="2"/>
    </row>
    <row r="15" customFormat="false" ht="15" hidden="false" customHeight="true" outlineLevel="0" collapsed="false">
      <c r="A15" s="2"/>
      <c r="B15" s="7" t="s">
        <v>8</v>
      </c>
      <c r="C15" s="13" t="n">
        <f aca="false">Assumptions!C22</f>
        <v>125000</v>
      </c>
      <c r="D15" s="2"/>
    </row>
    <row r="16" customFormat="false" ht="15" hidden="false" customHeight="true" outlineLevel="0" collapsed="false">
      <c r="A16" s="2"/>
      <c r="B16" s="11" t="s">
        <v>9</v>
      </c>
      <c r="C16" s="12" t="n">
        <f aca="false">Assumptions!C89</f>
        <v>2721950</v>
      </c>
      <c r="D16" s="2"/>
    </row>
    <row r="17" customFormat="false" ht="15" hidden="false" customHeight="true" outlineLevel="0" collapsed="false">
      <c r="A17" s="2"/>
      <c r="B17" s="7" t="s">
        <v>10</v>
      </c>
      <c r="C17" s="13" t="n">
        <f aca="false">Assumptions!C91</f>
        <v>971950</v>
      </c>
      <c r="D17" s="2"/>
    </row>
    <row r="18" customFormat="false" ht="15" hidden="false" customHeight="true" outlineLevel="0" collapsed="false">
      <c r="A18" s="2"/>
      <c r="B18" s="11" t="s">
        <v>11</v>
      </c>
      <c r="C18" s="12" t="n">
        <f aca="false">'Returns Summary'!B12</f>
        <v>104913.705</v>
      </c>
      <c r="D18" s="2"/>
    </row>
    <row r="19" customFormat="false" ht="15" hidden="false" customHeight="true" outlineLevel="0" collapsed="false">
      <c r="A19" s="2"/>
      <c r="B19" s="7" t="s">
        <v>12</v>
      </c>
      <c r="C19" s="14" t="n">
        <f aca="false">'Returns Summary'!B13</f>
        <v>0.041965482</v>
      </c>
      <c r="D19" s="2"/>
    </row>
    <row r="20" customFormat="false" ht="15" hidden="false" customHeight="true" outlineLevel="0" collapsed="false">
      <c r="A20" s="2"/>
      <c r="B20" s="11" t="s">
        <v>13</v>
      </c>
      <c r="C20" s="15" t="n">
        <f aca="false">'Returns Summary'!B14</f>
        <v>-0.0368543442908816</v>
      </c>
      <c r="D20" s="2"/>
    </row>
    <row r="21" customFormat="false" ht="15" hidden="false" customHeight="true" outlineLevel="0" collapsed="false">
      <c r="A21" s="2"/>
      <c r="B21" s="7" t="s">
        <v>14</v>
      </c>
      <c r="C21" s="16" t="n">
        <f aca="false">'Returns Summary'!B15</f>
        <v>0.790403964224798</v>
      </c>
      <c r="D21" s="2"/>
    </row>
    <row r="22" customFormat="false" ht="15" hidden="false" customHeight="true" outlineLevel="0" collapsed="false">
      <c r="A22" s="2"/>
      <c r="B22" s="11" t="s">
        <v>15</v>
      </c>
      <c r="C22" s="17" t="n">
        <f aca="false">'Returns Summary'!B25</f>
        <v>0.234819935339974</v>
      </c>
      <c r="D22" s="2"/>
    </row>
    <row r="23" customFormat="false" ht="15" hidden="false" customHeight="true" outlineLevel="0" collapsed="false">
      <c r="A23" s="2"/>
      <c r="B23" s="7" t="s">
        <v>16</v>
      </c>
      <c r="C23" s="18" t="n">
        <f aca="false">Assumptions!C14</f>
        <v>10</v>
      </c>
      <c r="D23" s="2"/>
    </row>
    <row r="24" customFormat="false" ht="15" hidden="false" customHeight="true" outlineLevel="0" collapsed="false">
      <c r="A24" s="2"/>
      <c r="B24" s="7" t="s">
        <v>17</v>
      </c>
      <c r="C24" s="14" t="str">
        <f aca="false">'Cash Waterfall'!D41</f>
        <v>N/A</v>
      </c>
      <c r="D24" s="2"/>
    </row>
    <row r="25" customFormat="false" ht="15" hidden="false" customHeight="true" outlineLevel="0" collapsed="false">
      <c r="A25" s="2"/>
      <c r="B25" s="7" t="s">
        <v>18</v>
      </c>
      <c r="C25" s="14" t="str">
        <f aca="false">'Cash Waterfall'!D30</f>
        <v>N/A</v>
      </c>
      <c r="D25" s="2"/>
    </row>
    <row r="26" customFormat="false" ht="15" hidden="false" customHeight="true" outlineLevel="0" collapsed="false">
      <c r="A26" s="2"/>
      <c r="B26" s="19" t="s">
        <v>19</v>
      </c>
      <c r="C26" s="19"/>
      <c r="D26" s="19"/>
    </row>
    <row r="27" customFormat="false" ht="15" hidden="false" customHeight="true" outlineLevel="0" collapsed="false">
      <c r="A27" s="2"/>
      <c r="B27" s="20" t="s">
        <v>20</v>
      </c>
      <c r="C27" s="20"/>
      <c r="D27" s="20"/>
    </row>
  </sheetData>
  <mergeCells count="7">
    <mergeCell ref="B2:D2"/>
    <mergeCell ref="B3:D3"/>
    <mergeCell ref="B5:D5"/>
    <mergeCell ref="B6:D6"/>
    <mergeCell ref="B13:D13"/>
    <mergeCell ref="B26:D26"/>
    <mergeCell ref="B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844"/>
    <pageSetUpPr fitToPage="false"/>
  </sheetPr>
  <dimension ref="A1:H2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3" min="3" style="1" width="18"/>
    <col collapsed="false" customWidth="true" hidden="false" outlineLevel="0" max="4" min="4" style="1" width="3"/>
    <col collapsed="false" customWidth="true" hidden="false" outlineLevel="0" max="5" min="5" style="1" width="36"/>
    <col collapsed="false" customWidth="true" hidden="false" outlineLevel="0" max="6" min="6" style="1" width="18"/>
    <col collapsed="false" customWidth="true" hidden="false" outlineLevel="0" max="7" min="7" style="1" width="3"/>
    <col collapsed="false" customWidth="true" hidden="false" outlineLevel="0" max="8" min="8" style="1" width="28"/>
  </cols>
  <sheetData>
    <row r="1" customFormat="false" ht="39.75" hidden="false" customHeight="true" outlineLevel="0" collapsed="false">
      <c r="A1" s="21" t="s">
        <v>21</v>
      </c>
      <c r="B1" s="21"/>
      <c r="C1" s="21"/>
      <c r="D1" s="21"/>
      <c r="E1" s="21"/>
      <c r="F1" s="21"/>
      <c r="G1" s="21"/>
      <c r="H1" s="21"/>
    </row>
    <row r="2" customFormat="false" ht="15" hidden="false" customHeight="true" outlineLevel="0" collapsed="false">
      <c r="A2" s="22" t="s">
        <v>22</v>
      </c>
      <c r="B2" s="22"/>
      <c r="C2" s="22"/>
      <c r="D2" s="22"/>
      <c r="E2" s="22"/>
      <c r="F2" s="22"/>
      <c r="G2" s="22"/>
      <c r="H2" s="22"/>
    </row>
    <row r="3" customFormat="false" ht="7.5" hidden="false" customHeight="true" outlineLevel="0" collapsed="false">
      <c r="A3" s="23"/>
      <c r="B3" s="23"/>
      <c r="C3" s="23"/>
      <c r="D3" s="23"/>
      <c r="E3" s="2"/>
      <c r="F3" s="2"/>
      <c r="G3" s="2"/>
      <c r="H3" s="2"/>
    </row>
    <row r="4" customFormat="false" ht="27.75" hidden="false" customHeight="true" outlineLevel="0" collapsed="false">
      <c r="A4" s="24"/>
      <c r="B4" s="25" t="s">
        <v>23</v>
      </c>
      <c r="C4" s="25"/>
      <c r="D4" s="25"/>
      <c r="E4" s="25"/>
      <c r="F4" s="25"/>
      <c r="G4" s="25"/>
      <c r="H4" s="25"/>
    </row>
    <row r="5" customFormat="false" ht="15" hidden="false" customHeight="true" outlineLevel="0" collapsed="false">
      <c r="A5" s="23"/>
      <c r="B5" s="26" t="s">
        <v>24</v>
      </c>
      <c r="C5" s="27" t="s">
        <v>25</v>
      </c>
      <c r="D5" s="23"/>
      <c r="E5" s="2"/>
      <c r="F5" s="2"/>
      <c r="G5" s="2"/>
      <c r="H5" s="2"/>
    </row>
    <row r="6" customFormat="false" ht="15" hidden="false" customHeight="true" outlineLevel="0" collapsed="false">
      <c r="A6" s="23"/>
      <c r="B6" s="26" t="s">
        <v>26</v>
      </c>
      <c r="C6" s="27" t="s">
        <v>27</v>
      </c>
      <c r="D6" s="23"/>
      <c r="E6" s="2"/>
      <c r="F6" s="2"/>
      <c r="G6" s="2"/>
      <c r="H6" s="2"/>
    </row>
    <row r="7" customFormat="false" ht="15" hidden="false" customHeight="true" outlineLevel="0" collapsed="false">
      <c r="A7" s="23"/>
      <c r="B7" s="26" t="s">
        <v>28</v>
      </c>
      <c r="C7" s="27" t="s">
        <v>29</v>
      </c>
      <c r="D7" s="23"/>
      <c r="E7" s="2"/>
      <c r="F7" s="2"/>
      <c r="G7" s="2"/>
      <c r="H7" s="2"/>
    </row>
    <row r="8" customFormat="false" ht="15" hidden="false" customHeight="true" outlineLevel="0" collapsed="false">
      <c r="A8" s="23"/>
      <c r="B8" s="26" t="s">
        <v>30</v>
      </c>
      <c r="C8" s="27" t="s">
        <v>31</v>
      </c>
      <c r="D8" s="23"/>
      <c r="E8" s="2"/>
      <c r="F8" s="2"/>
      <c r="G8" s="2"/>
      <c r="H8" s="2"/>
    </row>
    <row r="9" customFormat="false" ht="15" hidden="false" customHeight="true" outlineLevel="0" collapsed="false">
      <c r="A9" s="23"/>
      <c r="B9" s="26" t="s">
        <v>32</v>
      </c>
      <c r="C9" s="28" t="n">
        <v>20</v>
      </c>
      <c r="D9" s="23"/>
      <c r="E9" s="2"/>
      <c r="F9" s="2"/>
      <c r="G9" s="2"/>
      <c r="H9" s="2"/>
    </row>
    <row r="10" customFormat="false" ht="15" hidden="false" customHeight="true" outlineLevel="0" collapsed="false">
      <c r="A10" s="23"/>
      <c r="B10" s="26" t="s">
        <v>33</v>
      </c>
      <c r="C10" s="28" t="n">
        <v>18000</v>
      </c>
      <c r="D10" s="23"/>
      <c r="E10" s="2"/>
      <c r="F10" s="2"/>
      <c r="G10" s="2"/>
      <c r="H10" s="2"/>
    </row>
    <row r="11" customFormat="false" ht="15" hidden="false" customHeight="true" outlineLevel="0" collapsed="false">
      <c r="A11" s="23"/>
      <c r="B11" s="26" t="s">
        <v>34</v>
      </c>
      <c r="C11" s="28" t="n">
        <v>8500</v>
      </c>
      <c r="D11" s="23"/>
      <c r="E11" s="2"/>
      <c r="F11" s="2"/>
      <c r="G11" s="2"/>
      <c r="H11" s="2"/>
    </row>
    <row r="12" customFormat="false" ht="15" hidden="false" customHeight="true" outlineLevel="0" collapsed="false">
      <c r="A12" s="23"/>
      <c r="B12" s="26" t="s">
        <v>35</v>
      </c>
      <c r="C12" s="29" t="n">
        <v>1965</v>
      </c>
      <c r="D12" s="23"/>
      <c r="E12" s="2"/>
      <c r="F12" s="2"/>
      <c r="G12" s="2"/>
      <c r="H12" s="2"/>
    </row>
    <row r="13" customFormat="false" ht="15" hidden="false" customHeight="true" outlineLevel="0" collapsed="false">
      <c r="A13" s="23"/>
      <c r="B13" s="26" t="s">
        <v>36</v>
      </c>
      <c r="C13" s="27" t="s">
        <v>37</v>
      </c>
      <c r="D13" s="23"/>
      <c r="E13" s="2"/>
      <c r="F13" s="2"/>
      <c r="G13" s="2"/>
      <c r="H13" s="2"/>
    </row>
    <row r="14" customFormat="false" ht="15" hidden="false" customHeight="true" outlineLevel="0" collapsed="false">
      <c r="A14" s="23"/>
      <c r="B14" s="26" t="s">
        <v>38</v>
      </c>
      <c r="C14" s="28" t="n">
        <v>10</v>
      </c>
      <c r="D14" s="23"/>
      <c r="E14" s="2"/>
      <c r="F14" s="2"/>
      <c r="G14" s="2"/>
      <c r="H14" s="2"/>
    </row>
    <row r="15" customFormat="false" ht="7.5" hidden="false" customHeight="true" outlineLevel="0" collapsed="false">
      <c r="A15" s="23"/>
      <c r="B15" s="23"/>
      <c r="C15" s="23"/>
      <c r="D15" s="23"/>
      <c r="E15" s="2"/>
      <c r="F15" s="2"/>
      <c r="G15" s="2"/>
      <c r="H15" s="2"/>
    </row>
    <row r="16" customFormat="false" ht="27.75" hidden="false" customHeight="true" outlineLevel="0" collapsed="false">
      <c r="A16" s="24"/>
      <c r="B16" s="25" t="s">
        <v>39</v>
      </c>
      <c r="C16" s="25"/>
      <c r="D16" s="25"/>
      <c r="E16" s="25"/>
      <c r="F16" s="25"/>
      <c r="G16" s="25"/>
      <c r="H16" s="25"/>
    </row>
    <row r="17" customFormat="false" ht="15" hidden="false" customHeight="true" outlineLevel="0" collapsed="false">
      <c r="A17" s="23"/>
      <c r="B17" s="26" t="s">
        <v>7</v>
      </c>
      <c r="C17" s="30" t="n">
        <v>2500000</v>
      </c>
      <c r="D17" s="23"/>
      <c r="E17" s="2"/>
      <c r="F17" s="2"/>
      <c r="G17" s="2"/>
      <c r="H17" s="2"/>
    </row>
    <row r="18" customFormat="false" ht="15" hidden="false" customHeight="true" outlineLevel="0" collapsed="false">
      <c r="A18" s="23"/>
      <c r="B18" s="26" t="s">
        <v>40</v>
      </c>
      <c r="C18" s="31" t="n">
        <v>0.04278</v>
      </c>
      <c r="D18" s="23"/>
      <c r="E18" s="2"/>
      <c r="F18" s="2"/>
      <c r="G18" s="2"/>
      <c r="H18" s="2"/>
    </row>
    <row r="19" customFormat="false" ht="15" hidden="false" customHeight="true" outlineLevel="0" collapsed="false">
      <c r="A19" s="23"/>
      <c r="B19" s="26" t="s">
        <v>41</v>
      </c>
      <c r="C19" s="32" t="n">
        <f aca="false">C17*C18</f>
        <v>106950</v>
      </c>
      <c r="D19" s="23"/>
      <c r="E19" s="2"/>
      <c r="F19" s="2"/>
      <c r="G19" s="2"/>
      <c r="H19" s="2"/>
    </row>
    <row r="20" customFormat="false" ht="15" hidden="false" customHeight="true" outlineLevel="0" collapsed="false">
      <c r="A20" s="23"/>
      <c r="B20" s="26" t="s">
        <v>42</v>
      </c>
      <c r="C20" s="30" t="n">
        <v>75000</v>
      </c>
      <c r="D20" s="23"/>
      <c r="E20" s="2"/>
      <c r="F20" s="2"/>
      <c r="G20" s="2"/>
      <c r="H20" s="2"/>
    </row>
    <row r="21" customFormat="false" ht="15" hidden="false" customHeight="true" outlineLevel="0" collapsed="false">
      <c r="A21" s="23"/>
      <c r="B21" s="33" t="s">
        <v>43</v>
      </c>
      <c r="C21" s="34" t="n">
        <f aca="false">C17+C19+C20</f>
        <v>2681950</v>
      </c>
      <c r="D21" s="23"/>
      <c r="E21" s="2"/>
      <c r="F21" s="2"/>
      <c r="G21" s="2"/>
      <c r="H21" s="2"/>
    </row>
    <row r="22" customFormat="false" ht="15" hidden="false" customHeight="true" outlineLevel="0" collapsed="false">
      <c r="A22" s="23"/>
      <c r="B22" s="26" t="s">
        <v>8</v>
      </c>
      <c r="C22" s="35" t="n">
        <f aca="false">IF(C9&gt;0,C17/C9,0)</f>
        <v>125000</v>
      </c>
      <c r="D22" s="23"/>
      <c r="E22" s="2"/>
      <c r="F22" s="2"/>
      <c r="G22" s="2"/>
      <c r="H22" s="2"/>
    </row>
    <row r="23" customFormat="false" ht="15" hidden="false" customHeight="true" outlineLevel="0" collapsed="false">
      <c r="A23" s="23"/>
      <c r="B23" s="26" t="s">
        <v>44</v>
      </c>
      <c r="C23" s="36" t="n">
        <f aca="false">IF(C10&gt;0,C17/C10,0)</f>
        <v>138.888888888889</v>
      </c>
      <c r="D23" s="23"/>
      <c r="E23" s="2"/>
      <c r="F23" s="2"/>
      <c r="G23" s="2"/>
      <c r="H23" s="2"/>
    </row>
    <row r="24" customFormat="false" ht="7.5" hidden="false" customHeight="true" outlineLevel="0" collapsed="false">
      <c r="A24" s="23"/>
      <c r="B24" s="23"/>
      <c r="C24" s="23"/>
      <c r="D24" s="23"/>
      <c r="E24" s="2"/>
      <c r="F24" s="2"/>
      <c r="G24" s="2"/>
      <c r="H24" s="2"/>
    </row>
    <row r="25" customFormat="false" ht="27.75" hidden="false" customHeight="true" outlineLevel="0" collapsed="false">
      <c r="A25" s="24"/>
      <c r="B25" s="25" t="s">
        <v>45</v>
      </c>
      <c r="C25" s="25"/>
      <c r="D25" s="25"/>
      <c r="E25" s="25"/>
      <c r="F25" s="25"/>
      <c r="G25" s="25"/>
      <c r="H25" s="25"/>
    </row>
    <row r="26" customFormat="false" ht="15" hidden="false" customHeight="true" outlineLevel="0" collapsed="false">
      <c r="A26" s="23"/>
      <c r="B26" s="37" t="s">
        <v>46</v>
      </c>
      <c r="C26" s="23"/>
      <c r="D26" s="23"/>
      <c r="E26" s="2"/>
      <c r="F26" s="2"/>
      <c r="G26" s="2"/>
      <c r="H26" s="2"/>
    </row>
    <row r="27" customFormat="false" ht="15" hidden="false" customHeight="true" outlineLevel="0" collapsed="false">
      <c r="A27" s="23"/>
      <c r="B27" s="23"/>
      <c r="C27" s="23"/>
      <c r="D27" s="23"/>
      <c r="E27" s="2"/>
      <c r="F27" s="2"/>
      <c r="G27" s="2"/>
      <c r="H27" s="2"/>
    </row>
    <row r="28" customFormat="false" ht="21.75" hidden="false" customHeight="true" outlineLevel="0" collapsed="false">
      <c r="A28" s="23"/>
      <c r="B28" s="38" t="s">
        <v>47</v>
      </c>
      <c r="C28" s="38"/>
      <c r="D28" s="23"/>
      <c r="E28" s="2"/>
      <c r="F28" s="2"/>
      <c r="G28" s="2"/>
      <c r="H28" s="2"/>
    </row>
    <row r="29" customFormat="false" ht="15" hidden="false" customHeight="true" outlineLevel="0" collapsed="false">
      <c r="A29" s="23"/>
      <c r="B29" s="26" t="s">
        <v>48</v>
      </c>
      <c r="C29" s="32" t="n">
        <f aca="false">C17</f>
        <v>2500000</v>
      </c>
      <c r="D29" s="23"/>
      <c r="E29" s="2"/>
      <c r="F29" s="2"/>
      <c r="G29" s="2"/>
      <c r="H29" s="2"/>
    </row>
    <row r="30" customFormat="false" ht="15" hidden="false" customHeight="true" outlineLevel="0" collapsed="false">
      <c r="A30" s="23"/>
      <c r="B30" s="26" t="s">
        <v>49</v>
      </c>
      <c r="C30" s="32" t="n">
        <f aca="false">C19</f>
        <v>106950</v>
      </c>
      <c r="D30" s="23"/>
      <c r="E30" s="2"/>
      <c r="F30" s="2"/>
      <c r="G30" s="2"/>
      <c r="H30" s="2"/>
    </row>
    <row r="31" customFormat="false" ht="15" hidden="false" customHeight="true" outlineLevel="0" collapsed="false">
      <c r="A31" s="23"/>
      <c r="B31" s="26" t="s">
        <v>50</v>
      </c>
      <c r="C31" s="30" t="n">
        <v>0</v>
      </c>
      <c r="D31" s="23"/>
      <c r="E31" s="2"/>
      <c r="F31" s="2"/>
      <c r="G31" s="2"/>
      <c r="H31" s="2"/>
    </row>
    <row r="32" customFormat="false" ht="7.5" hidden="false" customHeight="true" outlineLevel="0" collapsed="false">
      <c r="A32" s="23"/>
      <c r="B32" s="23"/>
      <c r="C32" s="23"/>
      <c r="D32" s="23"/>
      <c r="E32" s="2"/>
      <c r="F32" s="2"/>
      <c r="G32" s="2"/>
      <c r="H32" s="2"/>
    </row>
    <row r="33" customFormat="false" ht="21.75" hidden="false" customHeight="true" outlineLevel="0" collapsed="false">
      <c r="A33" s="23"/>
      <c r="B33" s="39" t="s">
        <v>51</v>
      </c>
      <c r="C33" s="39"/>
      <c r="D33" s="23"/>
      <c r="E33" s="2"/>
      <c r="F33" s="2"/>
      <c r="G33" s="2"/>
      <c r="H33" s="2"/>
    </row>
    <row r="34" customFormat="false" ht="15" hidden="false" customHeight="true" outlineLevel="0" collapsed="false">
      <c r="A34" s="23"/>
      <c r="B34" s="26" t="s">
        <v>52</v>
      </c>
      <c r="C34" s="30" t="n">
        <v>25000</v>
      </c>
      <c r="D34" s="23"/>
      <c r="E34" s="2"/>
      <c r="F34" s="2"/>
      <c r="G34" s="2"/>
      <c r="H34" s="2"/>
    </row>
    <row r="35" customFormat="false" ht="15" hidden="false" customHeight="true" outlineLevel="0" collapsed="false">
      <c r="A35" s="23"/>
      <c r="B35" s="26" t="s">
        <v>53</v>
      </c>
      <c r="C35" s="30" t="n">
        <v>8000</v>
      </c>
      <c r="D35" s="23"/>
      <c r="E35" s="2"/>
      <c r="F35" s="2"/>
      <c r="G35" s="2"/>
      <c r="H35" s="2"/>
    </row>
    <row r="36" customFormat="false" ht="15" hidden="false" customHeight="true" outlineLevel="0" collapsed="false">
      <c r="A36" s="23"/>
      <c r="B36" s="26" t="s">
        <v>54</v>
      </c>
      <c r="C36" s="30" t="n">
        <v>5000</v>
      </c>
      <c r="D36" s="23"/>
      <c r="E36" s="2"/>
      <c r="F36" s="2"/>
      <c r="G36" s="2"/>
      <c r="H36" s="2"/>
    </row>
    <row r="37" customFormat="false" ht="15" hidden="false" customHeight="true" outlineLevel="0" collapsed="false">
      <c r="A37" s="23"/>
      <c r="B37" s="26" t="s">
        <v>55</v>
      </c>
      <c r="C37" s="30" t="n">
        <v>5000</v>
      </c>
      <c r="D37" s="23"/>
      <c r="E37" s="2"/>
      <c r="F37" s="2"/>
      <c r="G37" s="2"/>
      <c r="H37" s="2"/>
    </row>
    <row r="38" customFormat="false" ht="15" hidden="false" customHeight="true" outlineLevel="0" collapsed="false">
      <c r="A38" s="23"/>
      <c r="B38" s="26" t="s">
        <v>56</v>
      </c>
      <c r="C38" s="30" t="n">
        <v>6000</v>
      </c>
      <c r="D38" s="23"/>
      <c r="E38" s="2"/>
      <c r="F38" s="2"/>
      <c r="G38" s="2"/>
      <c r="H38" s="2"/>
    </row>
    <row r="39" customFormat="false" ht="15" hidden="false" customHeight="true" outlineLevel="0" collapsed="false">
      <c r="A39" s="23"/>
      <c r="B39" s="26" t="s">
        <v>57</v>
      </c>
      <c r="C39" s="30" t="n">
        <v>0</v>
      </c>
      <c r="D39" s="23"/>
      <c r="E39" s="2"/>
      <c r="F39" s="2"/>
      <c r="G39" s="2"/>
      <c r="H39" s="2"/>
    </row>
    <row r="40" customFormat="false" ht="15" hidden="false" customHeight="true" outlineLevel="0" collapsed="false">
      <c r="A40" s="23"/>
      <c r="B40" s="26" t="s">
        <v>58</v>
      </c>
      <c r="C40" s="30" t="n">
        <v>0</v>
      </c>
      <c r="D40" s="23"/>
      <c r="E40" s="2"/>
      <c r="F40" s="2"/>
      <c r="G40" s="2"/>
      <c r="H40" s="2"/>
    </row>
    <row r="41" customFormat="false" ht="15" hidden="false" customHeight="true" outlineLevel="0" collapsed="false">
      <c r="A41" s="23"/>
      <c r="B41" s="26" t="s">
        <v>59</v>
      </c>
      <c r="C41" s="30" t="n">
        <v>0</v>
      </c>
      <c r="D41" s="23"/>
      <c r="E41" s="2"/>
      <c r="F41" s="2"/>
      <c r="G41" s="2"/>
      <c r="H41" s="2"/>
    </row>
    <row r="42" customFormat="false" ht="15" hidden="false" customHeight="true" outlineLevel="0" collapsed="false">
      <c r="A42" s="23"/>
      <c r="B42" s="26" t="s">
        <v>60</v>
      </c>
      <c r="C42" s="30" t="n">
        <v>3500</v>
      </c>
      <c r="D42" s="23"/>
      <c r="E42" s="2"/>
      <c r="F42" s="2"/>
      <c r="G42" s="2"/>
      <c r="H42" s="2"/>
    </row>
    <row r="43" customFormat="false" ht="15" hidden="false" customHeight="true" outlineLevel="0" collapsed="false">
      <c r="A43" s="23"/>
      <c r="B43" s="26" t="s">
        <v>61</v>
      </c>
      <c r="C43" s="30" t="n">
        <v>0</v>
      </c>
      <c r="D43" s="23"/>
      <c r="E43" s="2"/>
      <c r="F43" s="2"/>
      <c r="G43" s="2"/>
      <c r="H43" s="2"/>
    </row>
    <row r="44" customFormat="false" ht="15" hidden="false" customHeight="true" outlineLevel="0" collapsed="false">
      <c r="A44" s="23"/>
      <c r="B44" s="26" t="s">
        <v>62</v>
      </c>
      <c r="C44" s="30" t="n">
        <v>0</v>
      </c>
      <c r="D44" s="23"/>
      <c r="E44" s="2"/>
      <c r="F44" s="2"/>
      <c r="G44" s="2"/>
      <c r="H44" s="2"/>
    </row>
    <row r="45" customFormat="false" ht="15" hidden="false" customHeight="true" outlineLevel="0" collapsed="false">
      <c r="A45" s="23"/>
      <c r="B45" s="26" t="s">
        <v>63</v>
      </c>
      <c r="C45" s="30" t="n">
        <v>0</v>
      </c>
      <c r="D45" s="23"/>
      <c r="E45" s="2"/>
      <c r="F45" s="2"/>
      <c r="G45" s="2"/>
      <c r="H45" s="2"/>
    </row>
    <row r="46" customFormat="false" ht="7.5" hidden="false" customHeight="true" outlineLevel="0" collapsed="false">
      <c r="A46" s="23"/>
      <c r="B46" s="23"/>
      <c r="C46" s="23"/>
      <c r="D46" s="23"/>
      <c r="E46" s="2"/>
      <c r="F46" s="2"/>
      <c r="G46" s="2"/>
      <c r="H46" s="2"/>
    </row>
    <row r="47" customFormat="false" ht="21.75" hidden="false" customHeight="true" outlineLevel="0" collapsed="false">
      <c r="A47" s="23"/>
      <c r="B47" s="40" t="s">
        <v>64</v>
      </c>
      <c r="C47" s="40"/>
      <c r="D47" s="23"/>
      <c r="E47" s="2"/>
      <c r="F47" s="2"/>
      <c r="G47" s="2"/>
      <c r="H47" s="2"/>
    </row>
    <row r="48" customFormat="false" ht="15" hidden="false" customHeight="true" outlineLevel="0" collapsed="false">
      <c r="A48" s="23"/>
      <c r="B48" s="26" t="s">
        <v>65</v>
      </c>
      <c r="C48" s="30" t="n">
        <v>25000</v>
      </c>
      <c r="D48" s="23"/>
      <c r="E48" s="2"/>
      <c r="F48" s="2"/>
      <c r="G48" s="2"/>
      <c r="H48" s="2"/>
    </row>
    <row r="49" customFormat="false" ht="15" hidden="false" customHeight="true" outlineLevel="0" collapsed="false">
      <c r="A49" s="23"/>
      <c r="B49" s="26" t="s">
        <v>66</v>
      </c>
      <c r="C49" s="30" t="n">
        <v>0</v>
      </c>
      <c r="D49" s="23"/>
      <c r="E49" s="2"/>
      <c r="F49" s="2"/>
      <c r="G49" s="2"/>
      <c r="H49" s="2"/>
    </row>
    <row r="50" customFormat="false" ht="15" hidden="false" customHeight="true" outlineLevel="0" collapsed="false">
      <c r="A50" s="23"/>
      <c r="B50" s="26" t="s">
        <v>67</v>
      </c>
      <c r="C50" s="32" t="n">
        <f aca="false">C71*C75</f>
        <v>17500</v>
      </c>
      <c r="D50" s="23"/>
      <c r="E50" s="2"/>
      <c r="F50" s="2"/>
      <c r="G50" s="2"/>
      <c r="H50" s="2"/>
    </row>
    <row r="51" customFormat="false" ht="15" hidden="false" customHeight="true" outlineLevel="0" collapsed="false">
      <c r="A51" s="23"/>
      <c r="B51" s="26" t="s">
        <v>68</v>
      </c>
      <c r="C51" s="30" t="n">
        <v>0</v>
      </c>
      <c r="D51" s="23"/>
      <c r="E51" s="2"/>
      <c r="F51" s="2"/>
      <c r="G51" s="2"/>
      <c r="H51" s="2"/>
    </row>
    <row r="52" customFormat="false" ht="7.5" hidden="false" customHeight="true" outlineLevel="0" collapsed="false">
      <c r="A52" s="23"/>
      <c r="B52" s="23"/>
      <c r="C52" s="23"/>
      <c r="D52" s="23"/>
      <c r="E52" s="2"/>
      <c r="F52" s="2"/>
      <c r="G52" s="2"/>
      <c r="H52" s="2"/>
    </row>
    <row r="53" customFormat="false" ht="21.75" hidden="false" customHeight="true" outlineLevel="0" collapsed="false">
      <c r="A53" s="23"/>
      <c r="B53" s="41" t="s">
        <v>69</v>
      </c>
      <c r="C53" s="41"/>
      <c r="D53" s="23"/>
      <c r="E53" s="2"/>
      <c r="F53" s="2"/>
      <c r="G53" s="2"/>
      <c r="H53" s="2"/>
    </row>
    <row r="54" customFormat="false" ht="15" hidden="false" customHeight="true" outlineLevel="0" collapsed="false">
      <c r="A54" s="23"/>
      <c r="B54" s="26" t="s">
        <v>70</v>
      </c>
      <c r="C54" s="30" t="n">
        <v>15000</v>
      </c>
      <c r="D54" s="23"/>
      <c r="E54" s="2"/>
      <c r="F54" s="2"/>
      <c r="G54" s="2"/>
      <c r="H54" s="2"/>
    </row>
    <row r="55" customFormat="false" ht="15" hidden="false" customHeight="true" outlineLevel="0" collapsed="false">
      <c r="A55" s="23"/>
      <c r="B55" s="26" t="s">
        <v>71</v>
      </c>
      <c r="C55" s="30" t="n">
        <v>5000</v>
      </c>
      <c r="D55" s="23"/>
      <c r="E55" s="2"/>
      <c r="F55" s="2"/>
      <c r="G55" s="2"/>
      <c r="H55" s="2"/>
    </row>
    <row r="56" customFormat="false" ht="15" hidden="false" customHeight="true" outlineLevel="0" collapsed="false">
      <c r="A56" s="23"/>
      <c r="B56" s="26" t="s">
        <v>72</v>
      </c>
      <c r="C56" s="30" t="n">
        <v>0</v>
      </c>
      <c r="D56" s="23"/>
      <c r="E56" s="2"/>
      <c r="F56" s="2"/>
      <c r="G56" s="2"/>
      <c r="H56" s="2"/>
    </row>
    <row r="57" customFormat="false" ht="15" hidden="false" customHeight="true" outlineLevel="0" collapsed="false">
      <c r="A57" s="23"/>
      <c r="B57" s="26" t="s">
        <v>73</v>
      </c>
      <c r="C57" s="30" t="n">
        <v>0</v>
      </c>
      <c r="D57" s="23"/>
      <c r="E57" s="2"/>
      <c r="F57" s="2"/>
      <c r="G57" s="2"/>
      <c r="H57" s="2"/>
    </row>
    <row r="58" customFormat="false" ht="15" hidden="false" customHeight="true" outlineLevel="0" collapsed="false">
      <c r="A58" s="23"/>
      <c r="B58" s="26" t="s">
        <v>74</v>
      </c>
      <c r="C58" s="30" t="n">
        <v>0</v>
      </c>
      <c r="D58" s="23"/>
      <c r="E58" s="2"/>
      <c r="F58" s="2"/>
      <c r="G58" s="2"/>
      <c r="H58" s="2"/>
    </row>
    <row r="59" customFormat="false" ht="15" hidden="false" customHeight="true" outlineLevel="0" collapsed="false">
      <c r="A59" s="23"/>
      <c r="B59" s="26" t="s">
        <v>75</v>
      </c>
      <c r="C59" s="30" t="n">
        <v>0</v>
      </c>
      <c r="D59" s="23"/>
      <c r="E59" s="2"/>
      <c r="F59" s="2"/>
      <c r="G59" s="2"/>
      <c r="H59" s="2"/>
    </row>
    <row r="60" customFormat="false" ht="15" hidden="false" customHeight="true" outlineLevel="0" collapsed="false">
      <c r="A60" s="23"/>
      <c r="B60" s="26" t="s">
        <v>76</v>
      </c>
      <c r="C60" s="30" t="n">
        <v>0</v>
      </c>
      <c r="D60" s="23"/>
      <c r="E60" s="2"/>
      <c r="F60" s="2"/>
      <c r="G60" s="2"/>
      <c r="H60" s="2"/>
    </row>
    <row r="61" customFormat="false" ht="7.5" hidden="false" customHeight="true" outlineLevel="0" collapsed="false">
      <c r="A61" s="23"/>
      <c r="B61" s="23"/>
      <c r="C61" s="23"/>
      <c r="D61" s="23"/>
      <c r="E61" s="2"/>
      <c r="F61" s="2"/>
      <c r="G61" s="2"/>
      <c r="H61" s="2"/>
    </row>
    <row r="62" customFormat="false" ht="21.75" hidden="false" customHeight="true" outlineLevel="0" collapsed="false">
      <c r="A62" s="23"/>
      <c r="B62" s="42" t="s">
        <v>77</v>
      </c>
      <c r="C62" s="42"/>
      <c r="D62" s="23"/>
      <c r="E62" s="2"/>
      <c r="F62" s="2"/>
      <c r="G62" s="2"/>
      <c r="H62" s="2"/>
    </row>
    <row r="63" customFormat="false" ht="15" hidden="false" customHeight="true" outlineLevel="0" collapsed="false">
      <c r="A63" s="23"/>
      <c r="B63" s="26" t="s">
        <v>78</v>
      </c>
      <c r="C63" s="30" t="n">
        <v>0</v>
      </c>
      <c r="D63" s="23"/>
      <c r="E63" s="2"/>
      <c r="F63" s="2"/>
      <c r="G63" s="2"/>
      <c r="H63" s="2"/>
    </row>
    <row r="64" customFormat="false" ht="15" hidden="false" customHeight="true" outlineLevel="0" collapsed="false">
      <c r="A64" s="23"/>
      <c r="B64" s="26" t="s">
        <v>79</v>
      </c>
      <c r="C64" s="30" t="n">
        <v>0</v>
      </c>
      <c r="D64" s="23"/>
      <c r="E64" s="2"/>
      <c r="F64" s="2"/>
      <c r="G64" s="2"/>
      <c r="H64" s="2"/>
    </row>
    <row r="65" customFormat="false" ht="15" hidden="false" customHeight="true" outlineLevel="0" collapsed="false">
      <c r="A65" s="23"/>
      <c r="B65" s="26" t="s">
        <v>80</v>
      </c>
      <c r="C65" s="30" t="n">
        <v>0</v>
      </c>
      <c r="D65" s="23"/>
      <c r="E65" s="2"/>
      <c r="F65" s="2"/>
      <c r="G65" s="2"/>
      <c r="H65" s="2"/>
    </row>
    <row r="66" customFormat="false" ht="15" hidden="false" customHeight="true" outlineLevel="0" collapsed="false">
      <c r="A66" s="23"/>
      <c r="B66" s="26" t="s">
        <v>81</v>
      </c>
      <c r="C66" s="30" t="n">
        <v>0</v>
      </c>
      <c r="D66" s="23"/>
      <c r="E66" s="2"/>
      <c r="F66" s="2"/>
      <c r="G66" s="2"/>
      <c r="H66" s="2"/>
    </row>
    <row r="67" customFormat="false" ht="15" hidden="false" customHeight="true" outlineLevel="0" collapsed="false">
      <c r="A67" s="23"/>
      <c r="B67" s="26" t="s">
        <v>82</v>
      </c>
      <c r="C67" s="30" t="n">
        <v>0</v>
      </c>
      <c r="D67" s="23"/>
      <c r="E67" s="2"/>
      <c r="F67" s="2"/>
      <c r="G67" s="2"/>
      <c r="H67" s="2"/>
    </row>
    <row r="68" customFormat="false" ht="7.5" hidden="false" customHeight="true" outlineLevel="0" collapsed="false">
      <c r="A68" s="23"/>
      <c r="B68" s="23"/>
      <c r="C68" s="23"/>
      <c r="D68" s="23"/>
      <c r="E68" s="2"/>
      <c r="F68" s="2"/>
      <c r="G68" s="2"/>
      <c r="H68" s="2"/>
    </row>
    <row r="69" customFormat="false" ht="27.75" hidden="false" customHeight="true" outlineLevel="0" collapsed="false">
      <c r="A69" s="24"/>
      <c r="B69" s="25" t="s">
        <v>83</v>
      </c>
      <c r="C69" s="25"/>
      <c r="D69" s="25"/>
      <c r="E69" s="25"/>
      <c r="F69" s="25"/>
      <c r="G69" s="25"/>
      <c r="H69" s="25"/>
    </row>
    <row r="70" customFormat="false" ht="15" hidden="false" customHeight="true" outlineLevel="0" collapsed="false">
      <c r="A70" s="23"/>
      <c r="B70" s="26" t="s">
        <v>84</v>
      </c>
      <c r="C70" s="43" t="n">
        <v>0.7</v>
      </c>
      <c r="D70" s="23"/>
      <c r="E70" s="2"/>
      <c r="F70" s="2"/>
      <c r="G70" s="2"/>
      <c r="H70" s="2"/>
    </row>
    <row r="71" customFormat="false" ht="15" hidden="false" customHeight="true" outlineLevel="0" collapsed="false">
      <c r="A71" s="23"/>
      <c r="B71" s="26" t="s">
        <v>85</v>
      </c>
      <c r="C71" s="32" t="n">
        <f aca="false">C17*C70</f>
        <v>1750000</v>
      </c>
      <c r="D71" s="23"/>
      <c r="E71" s="2"/>
      <c r="F71" s="2"/>
      <c r="G71" s="2"/>
      <c r="H71" s="2"/>
    </row>
    <row r="72" customFormat="false" ht="15" hidden="false" customHeight="true" outlineLevel="0" collapsed="false">
      <c r="A72" s="23"/>
      <c r="B72" s="26" t="s">
        <v>86</v>
      </c>
      <c r="C72" s="31" t="n">
        <v>0.065</v>
      </c>
      <c r="D72" s="23"/>
      <c r="E72" s="2"/>
      <c r="F72" s="2"/>
      <c r="G72" s="2"/>
      <c r="H72" s="2"/>
    </row>
    <row r="73" customFormat="false" ht="15" hidden="false" customHeight="true" outlineLevel="0" collapsed="false">
      <c r="A73" s="23"/>
      <c r="B73" s="26" t="s">
        <v>87</v>
      </c>
      <c r="C73" s="28" t="n">
        <v>30</v>
      </c>
      <c r="D73" s="23"/>
      <c r="E73" s="2"/>
      <c r="F73" s="2"/>
      <c r="G73" s="2"/>
      <c r="H73" s="2"/>
    </row>
    <row r="74" customFormat="false" ht="15" hidden="false" customHeight="true" outlineLevel="0" collapsed="false">
      <c r="A74" s="23"/>
      <c r="B74" s="26" t="s">
        <v>88</v>
      </c>
      <c r="C74" s="28" t="n">
        <v>10</v>
      </c>
      <c r="D74" s="23"/>
      <c r="E74" s="2"/>
      <c r="F74" s="2"/>
      <c r="G74" s="2"/>
      <c r="H74" s="2"/>
    </row>
    <row r="75" customFormat="false" ht="15" hidden="false" customHeight="true" outlineLevel="0" collapsed="false">
      <c r="A75" s="23"/>
      <c r="B75" s="26" t="s">
        <v>89</v>
      </c>
      <c r="C75" s="43" t="n">
        <v>0.01</v>
      </c>
      <c r="D75" s="23"/>
      <c r="E75" s="2"/>
      <c r="F75" s="2"/>
      <c r="G75" s="2"/>
      <c r="H75" s="2"/>
    </row>
    <row r="76" customFormat="false" ht="15" hidden="false" customHeight="true" outlineLevel="0" collapsed="false">
      <c r="A76" s="23"/>
      <c r="B76" s="26" t="s">
        <v>90</v>
      </c>
      <c r="C76" s="32" t="n">
        <f aca="false">C71*C75</f>
        <v>17500</v>
      </c>
      <c r="D76" s="23"/>
      <c r="E76" s="2"/>
      <c r="F76" s="2"/>
      <c r="G76" s="2"/>
      <c r="H76" s="2"/>
    </row>
    <row r="77" customFormat="false" ht="15" hidden="false" customHeight="true" outlineLevel="0" collapsed="false">
      <c r="A77" s="23"/>
      <c r="B77" s="26" t="s">
        <v>91</v>
      </c>
      <c r="C77" s="28" t="n">
        <v>0</v>
      </c>
      <c r="D77" s="23"/>
      <c r="E77" s="2"/>
      <c r="F77" s="2"/>
      <c r="G77" s="2"/>
      <c r="H77" s="2"/>
    </row>
    <row r="78" customFormat="false" ht="15" hidden="false" customHeight="true" outlineLevel="0" collapsed="false">
      <c r="A78" s="23"/>
      <c r="B78" s="26" t="s">
        <v>92</v>
      </c>
      <c r="C78" s="36" t="n">
        <f aca="false">IF(C73&gt;0,PMT(C72/12,C73*12,-C71),C71*C72/12)</f>
        <v>11061.1904111269</v>
      </c>
      <c r="D78" s="23"/>
      <c r="E78" s="2"/>
      <c r="F78" s="2"/>
      <c r="G78" s="2"/>
      <c r="H78" s="2"/>
    </row>
    <row r="79" customFormat="false" ht="15" hidden="false" customHeight="true" outlineLevel="0" collapsed="false">
      <c r="A79" s="23"/>
      <c r="B79" s="26" t="s">
        <v>93</v>
      </c>
      <c r="C79" s="35" t="n">
        <f aca="false">C78*12</f>
        <v>132734.284933522</v>
      </c>
      <c r="D79" s="23"/>
      <c r="E79" s="2"/>
      <c r="F79" s="2"/>
      <c r="G79" s="2"/>
      <c r="H79" s="2"/>
    </row>
    <row r="80" customFormat="false" ht="7.5" hidden="false" customHeight="true" outlineLevel="0" collapsed="false">
      <c r="A80" s="23"/>
      <c r="B80" s="23"/>
      <c r="C80" s="23"/>
      <c r="D80" s="23"/>
      <c r="E80" s="2"/>
      <c r="F80" s="2"/>
      <c r="G80" s="2"/>
      <c r="H80" s="2"/>
    </row>
    <row r="81" customFormat="false" ht="21.75" hidden="false" customHeight="true" outlineLevel="0" collapsed="false">
      <c r="A81" s="23"/>
      <c r="B81" s="38" t="s">
        <v>94</v>
      </c>
      <c r="C81" s="38"/>
      <c r="D81" s="23"/>
      <c r="E81" s="2"/>
      <c r="F81" s="2"/>
      <c r="G81" s="2"/>
      <c r="H81" s="2"/>
    </row>
    <row r="82" customFormat="false" ht="15" hidden="false" customHeight="true" outlineLevel="0" collapsed="false">
      <c r="A82" s="23"/>
      <c r="B82" s="26" t="s">
        <v>95</v>
      </c>
      <c r="C82" s="32" t="n">
        <f aca="false">C71</f>
        <v>1750000</v>
      </c>
      <c r="D82" s="23"/>
      <c r="E82" s="2"/>
      <c r="F82" s="2"/>
      <c r="G82" s="2"/>
      <c r="H82" s="2"/>
    </row>
    <row r="83" customFormat="false" ht="15" hidden="false" customHeight="true" outlineLevel="0" collapsed="false">
      <c r="A83" s="23"/>
      <c r="B83" s="26" t="s">
        <v>96</v>
      </c>
      <c r="C83" s="30" t="n">
        <v>0</v>
      </c>
      <c r="D83" s="23"/>
      <c r="E83" s="2"/>
      <c r="F83" s="2"/>
      <c r="G83" s="2"/>
      <c r="H83" s="2"/>
    </row>
    <row r="84" customFormat="false" ht="15" hidden="false" customHeight="true" outlineLevel="0" collapsed="false">
      <c r="A84" s="23"/>
      <c r="B84" s="26" t="s">
        <v>97</v>
      </c>
      <c r="C84" s="30" t="n">
        <v>0</v>
      </c>
      <c r="D84" s="23"/>
      <c r="E84" s="2"/>
      <c r="F84" s="2"/>
      <c r="G84" s="2"/>
      <c r="H84" s="2"/>
    </row>
    <row r="85" customFormat="false" ht="15" hidden="false" customHeight="true" outlineLevel="0" collapsed="false">
      <c r="A85" s="23"/>
      <c r="B85" s="26" t="s">
        <v>98</v>
      </c>
      <c r="C85" s="30" t="n">
        <v>0</v>
      </c>
      <c r="D85" s="23"/>
      <c r="E85" s="2"/>
      <c r="F85" s="2"/>
      <c r="G85" s="2"/>
      <c r="H85" s="2"/>
    </row>
    <row r="86" customFormat="false" ht="15" hidden="false" customHeight="true" outlineLevel="0" collapsed="false">
      <c r="A86" s="23"/>
      <c r="B86" s="26" t="s">
        <v>99</v>
      </c>
      <c r="C86" s="30" t="n">
        <v>0</v>
      </c>
      <c r="D86" s="23"/>
      <c r="E86" s="2"/>
      <c r="F86" s="2"/>
      <c r="G86" s="2"/>
      <c r="H86" s="2"/>
    </row>
    <row r="87" customFormat="false" ht="15" hidden="false" customHeight="true" outlineLevel="0" collapsed="false">
      <c r="A87" s="23"/>
      <c r="B87" s="26" t="s">
        <v>100</v>
      </c>
      <c r="C87" s="30" t="n">
        <v>0</v>
      </c>
      <c r="D87" s="23"/>
      <c r="E87" s="2"/>
      <c r="F87" s="2"/>
      <c r="G87" s="2"/>
      <c r="H87" s="2"/>
    </row>
    <row r="88" customFormat="false" ht="7.5" hidden="false" customHeight="true" outlineLevel="0" collapsed="false">
      <c r="A88" s="23"/>
      <c r="B88" s="23"/>
      <c r="C88" s="23"/>
      <c r="D88" s="23"/>
      <c r="E88" s="2"/>
      <c r="F88" s="2"/>
      <c r="G88" s="2"/>
      <c r="H88" s="2"/>
    </row>
    <row r="89" customFormat="false" ht="15" hidden="false" customHeight="true" outlineLevel="0" collapsed="false">
      <c r="A89" s="23"/>
      <c r="B89" s="33" t="s">
        <v>101</v>
      </c>
      <c r="C89" s="34" t="n">
        <f aca="false">SUM(C29:C31)+SUM(C34:C45)+SUM(C48:C51)+SUM(C54:C60)+SUM(C63:C67)</f>
        <v>2721950</v>
      </c>
      <c r="D89" s="23"/>
      <c r="E89" s="2"/>
      <c r="F89" s="2"/>
      <c r="G89" s="2"/>
      <c r="H89" s="2"/>
    </row>
    <row r="90" customFormat="false" ht="15" hidden="false" customHeight="true" outlineLevel="0" collapsed="false">
      <c r="A90" s="23"/>
      <c r="B90" s="33" t="s">
        <v>102</v>
      </c>
      <c r="C90" s="34" t="n">
        <f aca="false">SUM(C82:C87)</f>
        <v>1750000</v>
      </c>
      <c r="D90" s="23"/>
      <c r="E90" s="2"/>
      <c r="F90" s="2"/>
      <c r="G90" s="2"/>
      <c r="H90" s="2"/>
    </row>
    <row r="91" customFormat="false" ht="15" hidden="false" customHeight="true" outlineLevel="0" collapsed="false">
      <c r="A91" s="23"/>
      <c r="B91" s="44" t="s">
        <v>103</v>
      </c>
      <c r="C91" s="45" t="n">
        <f aca="false">C89-C82-C83</f>
        <v>971950</v>
      </c>
      <c r="D91" s="23"/>
      <c r="E91" s="2"/>
      <c r="F91" s="2"/>
      <c r="G91" s="2"/>
      <c r="H91" s="2"/>
    </row>
    <row r="92" customFormat="false" ht="15" hidden="false" customHeight="true" outlineLevel="0" collapsed="false">
      <c r="A92" s="23"/>
      <c r="B92" s="46" t="s">
        <v>104</v>
      </c>
      <c r="C92" s="47" t="n">
        <f aca="false">C90-C89</f>
        <v>-971950</v>
      </c>
      <c r="D92" s="23"/>
      <c r="E92" s="2"/>
      <c r="F92" s="2"/>
      <c r="G92" s="2"/>
      <c r="H92" s="2"/>
    </row>
    <row r="93" customFormat="false" ht="7.5" hidden="false" customHeight="true" outlineLevel="0" collapsed="false">
      <c r="A93" s="23"/>
      <c r="B93" s="23"/>
      <c r="C93" s="23"/>
      <c r="D93" s="23"/>
      <c r="E93" s="2"/>
      <c r="F93" s="2"/>
      <c r="G93" s="2"/>
      <c r="H93" s="2"/>
    </row>
    <row r="94" customFormat="false" ht="27.75" hidden="false" customHeight="true" outlineLevel="0" collapsed="false">
      <c r="A94" s="24"/>
      <c r="B94" s="25" t="s">
        <v>105</v>
      </c>
      <c r="C94" s="25"/>
      <c r="D94" s="25"/>
      <c r="E94" s="25"/>
      <c r="F94" s="25"/>
      <c r="G94" s="25"/>
      <c r="H94" s="25"/>
    </row>
    <row r="95" customFormat="false" ht="15" hidden="false" customHeight="true" outlineLevel="0" collapsed="false">
      <c r="A95" s="23"/>
      <c r="B95" s="26" t="s">
        <v>106</v>
      </c>
      <c r="C95" s="28" t="n">
        <v>0</v>
      </c>
      <c r="D95" s="23"/>
      <c r="E95" s="2"/>
      <c r="F95" s="2"/>
      <c r="G95" s="2"/>
      <c r="H95" s="37" t="s">
        <v>107</v>
      </c>
    </row>
    <row r="96" customFormat="false" ht="15" hidden="false" customHeight="true" outlineLevel="0" collapsed="false">
      <c r="A96" s="23"/>
      <c r="B96" s="26" t="s">
        <v>108</v>
      </c>
      <c r="C96" s="28" t="n">
        <v>5</v>
      </c>
      <c r="D96" s="23"/>
      <c r="E96" s="2"/>
      <c r="F96" s="2"/>
      <c r="G96" s="2"/>
      <c r="H96" s="2"/>
    </row>
    <row r="97" customFormat="false" ht="15" hidden="false" customHeight="true" outlineLevel="0" collapsed="false">
      <c r="A97" s="23"/>
      <c r="B97" s="26" t="s">
        <v>109</v>
      </c>
      <c r="C97" s="30" t="n">
        <v>3200000</v>
      </c>
      <c r="D97" s="23"/>
      <c r="E97" s="2"/>
      <c r="F97" s="2"/>
      <c r="G97" s="2"/>
      <c r="H97" s="2"/>
    </row>
    <row r="98" customFormat="false" ht="15" hidden="false" customHeight="true" outlineLevel="0" collapsed="false">
      <c r="A98" s="23"/>
      <c r="B98" s="26" t="s">
        <v>110</v>
      </c>
      <c r="C98" s="43" t="n">
        <v>0.7</v>
      </c>
      <c r="D98" s="23"/>
      <c r="E98" s="2"/>
      <c r="F98" s="2"/>
      <c r="G98" s="2"/>
      <c r="H98" s="2"/>
    </row>
    <row r="99" customFormat="false" ht="15" hidden="false" customHeight="true" outlineLevel="0" collapsed="false">
      <c r="A99" s="23"/>
      <c r="B99" s="26" t="s">
        <v>111</v>
      </c>
      <c r="C99" s="32" t="n">
        <f aca="false">C97*C98</f>
        <v>2240000</v>
      </c>
      <c r="D99" s="23"/>
      <c r="E99" s="2"/>
      <c r="F99" s="2"/>
      <c r="G99" s="2"/>
      <c r="H99" s="2"/>
    </row>
    <row r="100" customFormat="false" ht="15" hidden="false" customHeight="true" outlineLevel="0" collapsed="false">
      <c r="A100" s="23"/>
      <c r="B100" s="26" t="s">
        <v>112</v>
      </c>
      <c r="C100" s="31" t="n">
        <v>0.06</v>
      </c>
      <c r="D100" s="23"/>
      <c r="E100" s="2"/>
      <c r="F100" s="2"/>
      <c r="G100" s="2"/>
      <c r="H100" s="2"/>
    </row>
    <row r="101" customFormat="false" ht="15" hidden="false" customHeight="true" outlineLevel="0" collapsed="false">
      <c r="A101" s="23"/>
      <c r="B101" s="26" t="s">
        <v>113</v>
      </c>
      <c r="C101" s="28" t="n">
        <v>30</v>
      </c>
      <c r="D101" s="23"/>
      <c r="E101" s="2"/>
      <c r="F101" s="2"/>
      <c r="G101" s="2"/>
      <c r="H101" s="2"/>
    </row>
    <row r="102" customFormat="false" ht="15" hidden="false" customHeight="true" outlineLevel="0" collapsed="false">
      <c r="A102" s="23"/>
      <c r="B102" s="26" t="s">
        <v>114</v>
      </c>
      <c r="C102" s="28" t="n">
        <v>10</v>
      </c>
      <c r="D102" s="23"/>
      <c r="E102" s="2"/>
      <c r="F102" s="2"/>
      <c r="G102" s="2"/>
      <c r="H102" s="2"/>
    </row>
    <row r="103" customFormat="false" ht="15" hidden="false" customHeight="true" outlineLevel="0" collapsed="false">
      <c r="A103" s="23"/>
      <c r="B103" s="26" t="s">
        <v>115</v>
      </c>
      <c r="C103" s="43" t="n">
        <v>0.01</v>
      </c>
      <c r="D103" s="23"/>
      <c r="E103" s="2"/>
      <c r="F103" s="2"/>
      <c r="G103" s="2"/>
      <c r="H103" s="2"/>
    </row>
    <row r="104" customFormat="false" ht="15" hidden="false" customHeight="true" outlineLevel="0" collapsed="false">
      <c r="A104" s="23"/>
      <c r="B104" s="26" t="s">
        <v>116</v>
      </c>
      <c r="C104" s="43" t="n">
        <v>0.01</v>
      </c>
      <c r="D104" s="23"/>
      <c r="E104" s="2"/>
      <c r="F104" s="2"/>
      <c r="G104" s="2"/>
      <c r="H104" s="2"/>
    </row>
    <row r="105" customFormat="false" ht="15" hidden="false" customHeight="true" outlineLevel="0" collapsed="false">
      <c r="A105" s="23"/>
      <c r="B105" s="26" t="s">
        <v>117</v>
      </c>
      <c r="C105" s="30" t="n">
        <v>25000</v>
      </c>
      <c r="D105" s="23"/>
      <c r="E105" s="2"/>
      <c r="F105" s="2"/>
      <c r="G105" s="2"/>
      <c r="H105" s="2"/>
    </row>
    <row r="106" customFormat="false" ht="7.5" hidden="false" customHeight="true" outlineLevel="0" collapsed="false">
      <c r="A106" s="23"/>
      <c r="B106" s="23"/>
      <c r="C106" s="23"/>
      <c r="D106" s="23"/>
      <c r="E106" s="2"/>
      <c r="F106" s="2"/>
      <c r="G106" s="2"/>
      <c r="H106" s="2"/>
    </row>
    <row r="107" customFormat="false" ht="27.75" hidden="false" customHeight="true" outlineLevel="0" collapsed="false">
      <c r="A107" s="24"/>
      <c r="B107" s="25" t="s">
        <v>118</v>
      </c>
      <c r="C107" s="25"/>
      <c r="D107" s="25"/>
      <c r="E107" s="25"/>
      <c r="F107" s="25"/>
      <c r="G107" s="25"/>
      <c r="H107" s="25"/>
    </row>
    <row r="108" customFormat="false" ht="15" hidden="false" customHeight="true" outlineLevel="0" collapsed="false">
      <c r="A108" s="23"/>
      <c r="B108" s="26" t="s">
        <v>119</v>
      </c>
      <c r="C108" s="28" t="n">
        <v>0</v>
      </c>
      <c r="D108" s="23"/>
      <c r="E108" s="2"/>
      <c r="F108" s="2"/>
      <c r="G108" s="2"/>
      <c r="H108" s="37" t="s">
        <v>107</v>
      </c>
    </row>
    <row r="109" customFormat="false" ht="15" hidden="false" customHeight="true" outlineLevel="0" collapsed="false">
      <c r="A109" s="23"/>
      <c r="B109" s="26" t="s">
        <v>120</v>
      </c>
      <c r="C109" s="28" t="n">
        <v>8</v>
      </c>
      <c r="D109" s="23"/>
      <c r="E109" s="2"/>
      <c r="F109" s="2"/>
      <c r="G109" s="2"/>
      <c r="H109" s="2"/>
    </row>
    <row r="110" customFormat="false" ht="15" hidden="false" customHeight="true" outlineLevel="0" collapsed="false">
      <c r="A110" s="23"/>
      <c r="B110" s="26" t="s">
        <v>121</v>
      </c>
      <c r="C110" s="30" t="n">
        <v>3800000</v>
      </c>
      <c r="D110" s="23"/>
      <c r="E110" s="2"/>
      <c r="F110" s="2"/>
      <c r="G110" s="2"/>
      <c r="H110" s="2"/>
    </row>
    <row r="111" customFormat="false" ht="15" hidden="false" customHeight="true" outlineLevel="0" collapsed="false">
      <c r="A111" s="23"/>
      <c r="B111" s="26" t="s">
        <v>122</v>
      </c>
      <c r="C111" s="43" t="n">
        <v>0.65</v>
      </c>
      <c r="D111" s="23"/>
      <c r="E111" s="2"/>
      <c r="F111" s="2"/>
      <c r="G111" s="2"/>
      <c r="H111" s="2"/>
    </row>
    <row r="112" customFormat="false" ht="15" hidden="false" customHeight="true" outlineLevel="0" collapsed="false">
      <c r="A112" s="23"/>
      <c r="B112" s="26" t="s">
        <v>123</v>
      </c>
      <c r="C112" s="32" t="n">
        <f aca="false">C110*C111</f>
        <v>2470000</v>
      </c>
      <c r="D112" s="23"/>
      <c r="E112" s="2"/>
      <c r="F112" s="2"/>
      <c r="G112" s="2"/>
      <c r="H112" s="2"/>
    </row>
    <row r="113" customFormat="false" ht="15" hidden="false" customHeight="true" outlineLevel="0" collapsed="false">
      <c r="A113" s="23"/>
      <c r="B113" s="26" t="s">
        <v>124</v>
      </c>
      <c r="C113" s="31" t="n">
        <v>0.055</v>
      </c>
      <c r="D113" s="23"/>
      <c r="E113" s="2"/>
      <c r="F113" s="2"/>
      <c r="G113" s="2"/>
      <c r="H113" s="2"/>
    </row>
    <row r="114" customFormat="false" ht="15" hidden="false" customHeight="true" outlineLevel="0" collapsed="false">
      <c r="A114" s="23"/>
      <c r="B114" s="26" t="s">
        <v>125</v>
      </c>
      <c r="C114" s="28" t="n">
        <v>30</v>
      </c>
      <c r="D114" s="23"/>
      <c r="E114" s="2"/>
      <c r="F114" s="2"/>
      <c r="G114" s="2"/>
      <c r="H114" s="2"/>
    </row>
    <row r="115" customFormat="false" ht="15" hidden="false" customHeight="true" outlineLevel="0" collapsed="false">
      <c r="A115" s="23"/>
      <c r="B115" s="26" t="s">
        <v>126</v>
      </c>
      <c r="C115" s="28" t="n">
        <v>10</v>
      </c>
      <c r="D115" s="23"/>
      <c r="E115" s="2"/>
      <c r="F115" s="2"/>
      <c r="G115" s="2"/>
      <c r="H115" s="2"/>
    </row>
    <row r="116" customFormat="false" ht="15" hidden="false" customHeight="true" outlineLevel="0" collapsed="false">
      <c r="A116" s="23"/>
      <c r="B116" s="26" t="s">
        <v>127</v>
      </c>
      <c r="C116" s="43" t="n">
        <v>0.01</v>
      </c>
      <c r="D116" s="23"/>
      <c r="E116" s="2"/>
      <c r="F116" s="2"/>
      <c r="G116" s="2"/>
      <c r="H116" s="2"/>
    </row>
    <row r="117" customFormat="false" ht="15" hidden="false" customHeight="true" outlineLevel="0" collapsed="false">
      <c r="A117" s="23"/>
      <c r="B117" s="26" t="s">
        <v>128</v>
      </c>
      <c r="C117" s="43" t="n">
        <v>0.01</v>
      </c>
      <c r="D117" s="23"/>
      <c r="E117" s="2"/>
      <c r="F117" s="2"/>
      <c r="G117" s="2"/>
      <c r="H117" s="2"/>
    </row>
    <row r="118" customFormat="false" ht="15" hidden="false" customHeight="true" outlineLevel="0" collapsed="false">
      <c r="A118" s="23"/>
      <c r="B118" s="26" t="s">
        <v>129</v>
      </c>
      <c r="C118" s="30" t="n">
        <v>25000</v>
      </c>
      <c r="D118" s="23"/>
      <c r="E118" s="2"/>
      <c r="F118" s="2"/>
      <c r="G118" s="2"/>
      <c r="H118" s="2"/>
    </row>
    <row r="119" customFormat="false" ht="7.5" hidden="false" customHeight="true" outlineLevel="0" collapsed="false">
      <c r="A119" s="23"/>
      <c r="B119" s="23"/>
      <c r="C119" s="23"/>
      <c r="D119" s="23"/>
      <c r="E119" s="2"/>
      <c r="F119" s="2"/>
      <c r="G119" s="2"/>
      <c r="H119" s="2"/>
    </row>
    <row r="120" customFormat="false" ht="27.75" hidden="false" customHeight="true" outlineLevel="0" collapsed="false">
      <c r="A120" s="24"/>
      <c r="B120" s="25" t="s">
        <v>130</v>
      </c>
      <c r="C120" s="25"/>
      <c r="D120" s="25"/>
      <c r="E120" s="25"/>
      <c r="F120" s="25"/>
      <c r="G120" s="25"/>
      <c r="H120" s="25"/>
    </row>
    <row r="121" customFormat="false" ht="15" hidden="false" customHeight="true" outlineLevel="0" collapsed="false">
      <c r="A121" s="23"/>
      <c r="B121" s="26" t="s">
        <v>131</v>
      </c>
      <c r="C121" s="28" t="n">
        <v>0</v>
      </c>
      <c r="D121" s="23"/>
      <c r="E121" s="2"/>
      <c r="F121" s="2"/>
      <c r="G121" s="2"/>
      <c r="H121" s="37" t="s">
        <v>107</v>
      </c>
    </row>
    <row r="122" customFormat="false" ht="15" hidden="false" customHeight="true" outlineLevel="0" collapsed="false">
      <c r="A122" s="23"/>
      <c r="B122" s="26" t="s">
        <v>132</v>
      </c>
      <c r="C122" s="28" t="n">
        <v>0</v>
      </c>
      <c r="D122" s="23"/>
      <c r="E122" s="2"/>
      <c r="F122" s="2"/>
      <c r="G122" s="2"/>
      <c r="H122" s="2"/>
    </row>
    <row r="123" customFormat="false" ht="15" hidden="false" customHeight="true" outlineLevel="0" collapsed="false">
      <c r="A123" s="23"/>
      <c r="B123" s="26" t="s">
        <v>133</v>
      </c>
      <c r="C123" s="30" t="n">
        <v>0</v>
      </c>
      <c r="D123" s="23"/>
      <c r="E123" s="2"/>
      <c r="F123" s="2"/>
      <c r="G123" s="2"/>
      <c r="H123" s="2"/>
    </row>
    <row r="124" customFormat="false" ht="15" hidden="false" customHeight="true" outlineLevel="0" collapsed="false">
      <c r="A124" s="23"/>
      <c r="B124" s="26" t="s">
        <v>134</v>
      </c>
      <c r="C124" s="43" t="n">
        <v>0.65</v>
      </c>
      <c r="D124" s="23"/>
      <c r="E124" s="2"/>
      <c r="F124" s="2"/>
      <c r="G124" s="2"/>
      <c r="H124" s="2"/>
    </row>
    <row r="125" customFormat="false" ht="15" hidden="false" customHeight="true" outlineLevel="0" collapsed="false">
      <c r="A125" s="23"/>
      <c r="B125" s="26" t="s">
        <v>135</v>
      </c>
      <c r="C125" s="32" t="n">
        <f aca="false">C123*C124</f>
        <v>0</v>
      </c>
      <c r="D125" s="23"/>
      <c r="E125" s="2"/>
      <c r="F125" s="2"/>
      <c r="G125" s="2"/>
      <c r="H125" s="2"/>
    </row>
    <row r="126" customFormat="false" ht="15" hidden="false" customHeight="true" outlineLevel="0" collapsed="false">
      <c r="A126" s="23"/>
      <c r="B126" s="26" t="s">
        <v>136</v>
      </c>
      <c r="C126" s="31" t="n">
        <v>0.055</v>
      </c>
      <c r="D126" s="23"/>
      <c r="E126" s="2"/>
      <c r="F126" s="2"/>
      <c r="G126" s="2"/>
      <c r="H126" s="2"/>
    </row>
    <row r="127" customFormat="false" ht="15" hidden="false" customHeight="true" outlineLevel="0" collapsed="false">
      <c r="A127" s="23"/>
      <c r="B127" s="26" t="s">
        <v>137</v>
      </c>
      <c r="C127" s="28" t="n">
        <v>30</v>
      </c>
      <c r="D127" s="23"/>
      <c r="E127" s="2"/>
      <c r="F127" s="2"/>
      <c r="G127" s="2"/>
      <c r="H127" s="2"/>
    </row>
    <row r="128" customFormat="false" ht="15" hidden="false" customHeight="true" outlineLevel="0" collapsed="false">
      <c r="A128" s="23"/>
      <c r="B128" s="26" t="s">
        <v>138</v>
      </c>
      <c r="C128" s="28" t="n">
        <v>10</v>
      </c>
      <c r="D128" s="23"/>
      <c r="E128" s="2"/>
      <c r="F128" s="2"/>
      <c r="G128" s="2"/>
      <c r="H128" s="2"/>
    </row>
    <row r="129" customFormat="false" ht="15" hidden="false" customHeight="true" outlineLevel="0" collapsed="false">
      <c r="A129" s="23"/>
      <c r="B129" s="26" t="s">
        <v>139</v>
      </c>
      <c r="C129" s="43" t="n">
        <v>0.01</v>
      </c>
      <c r="D129" s="23"/>
      <c r="E129" s="2"/>
      <c r="F129" s="2"/>
      <c r="G129" s="2"/>
      <c r="H129" s="2"/>
    </row>
    <row r="130" customFormat="false" ht="15" hidden="false" customHeight="true" outlineLevel="0" collapsed="false">
      <c r="A130" s="23"/>
      <c r="B130" s="26" t="s">
        <v>140</v>
      </c>
      <c r="C130" s="43" t="n">
        <v>0</v>
      </c>
      <c r="D130" s="23"/>
      <c r="E130" s="2"/>
      <c r="F130" s="2"/>
      <c r="G130" s="2"/>
      <c r="H130" s="2"/>
    </row>
    <row r="131" customFormat="false" ht="15" hidden="false" customHeight="true" outlineLevel="0" collapsed="false">
      <c r="A131" s="23"/>
      <c r="B131" s="26" t="s">
        <v>141</v>
      </c>
      <c r="C131" s="30" t="n">
        <v>0</v>
      </c>
      <c r="D131" s="23"/>
      <c r="E131" s="2"/>
      <c r="F131" s="2"/>
      <c r="G131" s="2"/>
      <c r="H131" s="2"/>
    </row>
    <row r="132" customFormat="false" ht="7.5" hidden="false" customHeight="true" outlineLevel="0" collapsed="false">
      <c r="A132" s="23"/>
      <c r="B132" s="23"/>
      <c r="C132" s="23"/>
      <c r="D132" s="23"/>
      <c r="E132" s="2"/>
      <c r="F132" s="2"/>
      <c r="G132" s="2"/>
      <c r="H132" s="2"/>
    </row>
    <row r="133" customFormat="false" ht="27.75" hidden="false" customHeight="true" outlineLevel="0" collapsed="false">
      <c r="A133" s="24"/>
      <c r="B133" s="25" t="s">
        <v>142</v>
      </c>
      <c r="C133" s="25"/>
      <c r="D133" s="25"/>
      <c r="E133" s="25"/>
      <c r="F133" s="25"/>
      <c r="G133" s="25"/>
      <c r="H133" s="25"/>
    </row>
    <row r="134" customFormat="false" ht="15" hidden="false" customHeight="true" outlineLevel="0" collapsed="false">
      <c r="A134" s="23"/>
      <c r="B134" s="26" t="s">
        <v>143</v>
      </c>
      <c r="C134" s="43" t="n">
        <v>0.075</v>
      </c>
      <c r="D134" s="23"/>
      <c r="E134" s="2"/>
      <c r="F134" s="2"/>
      <c r="G134" s="2"/>
      <c r="H134" s="2"/>
    </row>
    <row r="135" customFormat="false" ht="15" hidden="false" customHeight="true" outlineLevel="0" collapsed="false">
      <c r="A135" s="23"/>
      <c r="B135" s="26" t="s">
        <v>144</v>
      </c>
      <c r="C135" s="43" t="n">
        <v>0.03</v>
      </c>
      <c r="D135" s="23"/>
      <c r="E135" s="2"/>
      <c r="F135" s="2"/>
      <c r="G135" s="2"/>
      <c r="H135" s="2"/>
    </row>
    <row r="136" customFormat="false" ht="15" hidden="false" customHeight="true" outlineLevel="0" collapsed="false">
      <c r="A136" s="23"/>
      <c r="B136" s="26" t="s">
        <v>145</v>
      </c>
      <c r="C136" s="43" t="n">
        <v>0.03</v>
      </c>
      <c r="D136" s="23"/>
      <c r="E136" s="2"/>
      <c r="F136" s="2"/>
      <c r="G136" s="2"/>
      <c r="H136" s="2"/>
    </row>
    <row r="137" customFormat="false" ht="15" hidden="false" customHeight="true" outlineLevel="0" collapsed="false">
      <c r="A137" s="23"/>
      <c r="B137" s="26" t="s">
        <v>146</v>
      </c>
      <c r="C137" s="43" t="n">
        <v>0.03</v>
      </c>
      <c r="D137" s="23"/>
      <c r="E137" s="2"/>
      <c r="F137" s="2"/>
      <c r="G137" s="2"/>
      <c r="H137" s="2"/>
    </row>
    <row r="138" customFormat="false" ht="15" hidden="false" customHeight="true" outlineLevel="0" collapsed="false">
      <c r="A138" s="23"/>
      <c r="B138" s="26" t="s">
        <v>147</v>
      </c>
      <c r="C138" s="30" t="n">
        <v>0</v>
      </c>
      <c r="D138" s="23"/>
      <c r="E138" s="2"/>
      <c r="F138" s="2"/>
      <c r="G138" s="2"/>
      <c r="H138" s="2"/>
    </row>
    <row r="139" customFormat="false" ht="15" hidden="false" customHeight="true" outlineLevel="0" collapsed="false">
      <c r="A139" s="23"/>
      <c r="B139" s="26" t="s">
        <v>148</v>
      </c>
      <c r="C139" s="30" t="n">
        <v>6000</v>
      </c>
      <c r="D139" s="23"/>
      <c r="E139" s="2"/>
      <c r="F139" s="2"/>
      <c r="G139" s="2"/>
      <c r="H139" s="2"/>
    </row>
    <row r="140" customFormat="false" ht="7.5" hidden="false" customHeight="true" outlineLevel="0" collapsed="false">
      <c r="A140" s="23"/>
      <c r="B140" s="23"/>
      <c r="C140" s="23"/>
      <c r="D140" s="23"/>
      <c r="E140" s="2"/>
      <c r="F140" s="2"/>
      <c r="G140" s="2"/>
      <c r="H140" s="2"/>
    </row>
    <row r="141" customFormat="false" ht="27.75" hidden="false" customHeight="true" outlineLevel="0" collapsed="false">
      <c r="A141" s="24"/>
      <c r="B141" s="25" t="s">
        <v>149</v>
      </c>
      <c r="C141" s="25"/>
      <c r="D141" s="25"/>
      <c r="E141" s="25"/>
      <c r="F141" s="25"/>
      <c r="G141" s="25"/>
      <c r="H141" s="25"/>
    </row>
    <row r="142" customFormat="false" ht="15" hidden="false" customHeight="true" outlineLevel="0" collapsed="false">
      <c r="A142" s="23"/>
      <c r="B142" s="26" t="s">
        <v>150</v>
      </c>
      <c r="C142" s="30" t="n">
        <v>45000</v>
      </c>
      <c r="D142" s="23"/>
      <c r="E142" s="2"/>
      <c r="F142" s="2"/>
      <c r="G142" s="2"/>
      <c r="H142" s="2"/>
    </row>
    <row r="143" customFormat="false" ht="15" hidden="false" customHeight="true" outlineLevel="0" collapsed="false">
      <c r="A143" s="23"/>
      <c r="B143" s="26" t="s">
        <v>151</v>
      </c>
      <c r="C143" s="30" t="n">
        <v>18000</v>
      </c>
      <c r="D143" s="23"/>
      <c r="E143" s="2"/>
      <c r="F143" s="2"/>
      <c r="G143" s="2"/>
      <c r="H143" s="2"/>
    </row>
    <row r="144" customFormat="false" ht="15" hidden="false" customHeight="true" outlineLevel="0" collapsed="false">
      <c r="A144" s="23"/>
      <c r="B144" s="26" t="s">
        <v>152</v>
      </c>
      <c r="C144" s="30" t="n">
        <v>12000</v>
      </c>
      <c r="D144" s="23"/>
      <c r="E144" s="2"/>
      <c r="F144" s="2"/>
      <c r="G144" s="2"/>
      <c r="H144" s="2"/>
    </row>
    <row r="145" customFormat="false" ht="15" hidden="false" customHeight="true" outlineLevel="0" collapsed="false">
      <c r="A145" s="23"/>
      <c r="B145" s="26" t="s">
        <v>153</v>
      </c>
      <c r="C145" s="30" t="n">
        <v>14000</v>
      </c>
      <c r="D145" s="23"/>
      <c r="E145" s="2"/>
      <c r="F145" s="2"/>
      <c r="G145" s="2"/>
      <c r="H145" s="2"/>
    </row>
    <row r="146" customFormat="false" ht="15" hidden="false" customHeight="true" outlineLevel="0" collapsed="false">
      <c r="A146" s="23"/>
      <c r="B146" s="26" t="s">
        <v>154</v>
      </c>
      <c r="C146" s="30" t="n">
        <v>10000</v>
      </c>
      <c r="D146" s="23"/>
      <c r="E146" s="2"/>
      <c r="F146" s="2"/>
      <c r="G146" s="2"/>
      <c r="H146" s="2"/>
    </row>
    <row r="147" customFormat="false" ht="15" hidden="false" customHeight="true" outlineLevel="0" collapsed="false">
      <c r="A147" s="23"/>
      <c r="B147" s="26" t="s">
        <v>155</v>
      </c>
      <c r="C147" s="30" t="n">
        <v>2500</v>
      </c>
      <c r="D147" s="23"/>
      <c r="E147" s="2"/>
      <c r="F147" s="2"/>
      <c r="G147" s="2"/>
      <c r="H147" s="2"/>
    </row>
    <row r="148" customFormat="false" ht="15" hidden="false" customHeight="true" outlineLevel="0" collapsed="false">
      <c r="A148" s="23"/>
      <c r="B148" s="26" t="s">
        <v>156</v>
      </c>
      <c r="C148" s="30" t="n">
        <v>8000</v>
      </c>
      <c r="D148" s="23"/>
      <c r="E148" s="2"/>
      <c r="F148" s="2"/>
      <c r="G148" s="2"/>
      <c r="H148" s="2"/>
    </row>
    <row r="149" customFormat="false" ht="15" hidden="false" customHeight="true" outlineLevel="0" collapsed="false">
      <c r="A149" s="23"/>
      <c r="B149" s="33" t="s">
        <v>157</v>
      </c>
      <c r="C149" s="34" t="n">
        <f aca="false">SUM(C142:C148)</f>
        <v>109500</v>
      </c>
      <c r="D149" s="23"/>
      <c r="E149" s="2"/>
      <c r="F149" s="2"/>
      <c r="G149" s="2"/>
      <c r="H149" s="2"/>
    </row>
    <row r="150" customFormat="false" ht="7.5" hidden="false" customHeight="true" outlineLevel="0" collapsed="false">
      <c r="A150" s="23"/>
      <c r="B150" s="23"/>
      <c r="C150" s="23"/>
      <c r="D150" s="23"/>
      <c r="E150" s="2"/>
      <c r="F150" s="2"/>
      <c r="G150" s="2"/>
      <c r="H150" s="2"/>
    </row>
    <row r="151" customFormat="false" ht="27.75" hidden="false" customHeight="true" outlineLevel="0" collapsed="false">
      <c r="A151" s="24"/>
      <c r="B151" s="25" t="s">
        <v>158</v>
      </c>
      <c r="C151" s="25"/>
      <c r="D151" s="25"/>
      <c r="E151" s="25"/>
      <c r="F151" s="25"/>
      <c r="G151" s="25"/>
      <c r="H151" s="25"/>
    </row>
    <row r="152" customFormat="false" ht="15" hidden="false" customHeight="true" outlineLevel="0" collapsed="false">
      <c r="A152" s="23"/>
      <c r="B152" s="26" t="s">
        <v>159</v>
      </c>
      <c r="C152" s="43" t="n">
        <v>0.06</v>
      </c>
      <c r="D152" s="23"/>
      <c r="E152" s="2"/>
      <c r="F152" s="2"/>
      <c r="G152" s="2"/>
      <c r="H152" s="2"/>
    </row>
    <row r="153" customFormat="false" ht="15" hidden="false" customHeight="true" outlineLevel="0" collapsed="false">
      <c r="A153" s="23"/>
      <c r="B153" s="26" t="s">
        <v>160</v>
      </c>
      <c r="C153" s="30" t="n">
        <v>24000</v>
      </c>
      <c r="D153" s="23"/>
      <c r="E153" s="2"/>
      <c r="F153" s="2"/>
      <c r="G153" s="2"/>
      <c r="H153" s="2"/>
    </row>
    <row r="154" customFormat="false" ht="15" hidden="false" customHeight="true" outlineLevel="0" collapsed="false">
      <c r="A154" s="23"/>
      <c r="B154" s="26" t="s">
        <v>161</v>
      </c>
      <c r="C154" s="30" t="n">
        <v>8000</v>
      </c>
      <c r="D154" s="23"/>
      <c r="E154" s="2"/>
      <c r="F154" s="2"/>
      <c r="G154" s="2"/>
      <c r="H154" s="2"/>
    </row>
    <row r="155" customFormat="false" ht="15" hidden="false" customHeight="true" outlineLevel="0" collapsed="false">
      <c r="A155" s="23"/>
      <c r="B155" s="26" t="s">
        <v>162</v>
      </c>
      <c r="C155" s="30" t="n">
        <v>3600</v>
      </c>
      <c r="D155" s="23"/>
      <c r="E155" s="2"/>
      <c r="F155" s="2"/>
      <c r="G155" s="2"/>
      <c r="H155" s="2"/>
    </row>
    <row r="156" customFormat="false" ht="15" hidden="false" customHeight="true" outlineLevel="0" collapsed="false">
      <c r="A156" s="23"/>
      <c r="B156" s="26" t="s">
        <v>163</v>
      </c>
      <c r="C156" s="30" t="n">
        <v>6000</v>
      </c>
      <c r="D156" s="23"/>
      <c r="E156" s="2"/>
      <c r="F156" s="2"/>
      <c r="G156" s="2"/>
      <c r="H156" s="2"/>
    </row>
    <row r="157" customFormat="false" ht="15" hidden="false" customHeight="true" outlineLevel="0" collapsed="false">
      <c r="A157" s="23"/>
      <c r="B157" s="26" t="s">
        <v>164</v>
      </c>
      <c r="C157" s="30" t="n">
        <v>5000</v>
      </c>
      <c r="D157" s="23"/>
      <c r="E157" s="2"/>
      <c r="F157" s="2"/>
      <c r="G157" s="2"/>
      <c r="H157" s="2"/>
    </row>
    <row r="158" customFormat="false" ht="15" hidden="false" customHeight="true" outlineLevel="0" collapsed="false">
      <c r="A158" s="23"/>
      <c r="B158" s="26" t="s">
        <v>165</v>
      </c>
      <c r="C158" s="30" t="n">
        <v>4000</v>
      </c>
      <c r="D158" s="23"/>
      <c r="E158" s="2"/>
      <c r="F158" s="2"/>
      <c r="G158" s="2"/>
      <c r="H158" s="2"/>
    </row>
    <row r="159" customFormat="false" ht="15" hidden="false" customHeight="true" outlineLevel="0" collapsed="false">
      <c r="A159" s="23"/>
      <c r="B159" s="26" t="s">
        <v>166</v>
      </c>
      <c r="C159" s="30" t="n">
        <v>6000</v>
      </c>
      <c r="D159" s="23"/>
      <c r="E159" s="2"/>
      <c r="F159" s="2"/>
      <c r="G159" s="2"/>
      <c r="H159" s="2"/>
    </row>
    <row r="160" customFormat="false" ht="15" hidden="false" customHeight="true" outlineLevel="0" collapsed="false">
      <c r="A160" s="23"/>
      <c r="B160" s="26" t="s">
        <v>167</v>
      </c>
      <c r="C160" s="30" t="n">
        <v>5000</v>
      </c>
      <c r="D160" s="23"/>
      <c r="E160" s="2"/>
      <c r="F160" s="2"/>
      <c r="G160" s="2"/>
      <c r="H160" s="2"/>
    </row>
    <row r="161" customFormat="false" ht="15" hidden="false" customHeight="true" outlineLevel="0" collapsed="false">
      <c r="A161" s="23"/>
      <c r="B161" s="26" t="s">
        <v>168</v>
      </c>
      <c r="C161" s="30" t="n">
        <v>3000</v>
      </c>
      <c r="D161" s="23"/>
      <c r="E161" s="2"/>
      <c r="F161" s="2"/>
      <c r="G161" s="2"/>
      <c r="H161" s="2"/>
    </row>
    <row r="162" customFormat="false" ht="15" hidden="false" customHeight="true" outlineLevel="0" collapsed="false">
      <c r="A162" s="23"/>
      <c r="B162" s="26" t="s">
        <v>169</v>
      </c>
      <c r="C162" s="30" t="n">
        <v>2000</v>
      </c>
      <c r="D162" s="23"/>
      <c r="E162" s="2"/>
      <c r="F162" s="2"/>
      <c r="G162" s="2"/>
      <c r="H162" s="2"/>
    </row>
    <row r="163" customFormat="false" ht="15" hidden="false" customHeight="true" outlineLevel="0" collapsed="false">
      <c r="A163" s="23"/>
      <c r="B163" s="33" t="s">
        <v>170</v>
      </c>
      <c r="C163" s="34" t="n">
        <f aca="false">SUM(C153:C162)</f>
        <v>66600</v>
      </c>
      <c r="D163" s="23"/>
      <c r="E163" s="2"/>
      <c r="F163" s="2"/>
      <c r="G163" s="2"/>
      <c r="H163" s="2"/>
    </row>
    <row r="164" customFormat="false" ht="7.5" hidden="false" customHeight="true" outlineLevel="0" collapsed="false">
      <c r="A164" s="23"/>
      <c r="B164" s="23"/>
      <c r="C164" s="23"/>
      <c r="D164" s="23"/>
      <c r="E164" s="2"/>
      <c r="F164" s="2"/>
      <c r="G164" s="2"/>
      <c r="H164" s="2"/>
    </row>
    <row r="165" customFormat="false" ht="27.75" hidden="false" customHeight="true" outlineLevel="0" collapsed="false">
      <c r="A165" s="24"/>
      <c r="B165" s="25" t="s">
        <v>171</v>
      </c>
      <c r="C165" s="25"/>
      <c r="D165" s="25"/>
      <c r="E165" s="25"/>
      <c r="F165" s="25"/>
      <c r="G165" s="25"/>
      <c r="H165" s="25"/>
    </row>
    <row r="166" customFormat="false" ht="15" hidden="false" customHeight="true" outlineLevel="0" collapsed="false">
      <c r="A166" s="23"/>
      <c r="B166" s="26" t="s">
        <v>172</v>
      </c>
      <c r="C166" s="30" t="n">
        <v>0</v>
      </c>
      <c r="D166" s="23"/>
      <c r="E166" s="2"/>
      <c r="F166" s="2"/>
      <c r="G166" s="2"/>
      <c r="H166" s="2"/>
    </row>
    <row r="167" customFormat="false" ht="15" hidden="false" customHeight="true" outlineLevel="0" collapsed="false">
      <c r="A167" s="23"/>
      <c r="B167" s="26" t="s">
        <v>173</v>
      </c>
      <c r="C167" s="30" t="n">
        <v>400</v>
      </c>
      <c r="D167" s="23"/>
      <c r="E167" s="2"/>
      <c r="F167" s="2"/>
      <c r="G167" s="2"/>
      <c r="H167" s="2"/>
    </row>
    <row r="168" customFormat="false" ht="15" hidden="false" customHeight="true" outlineLevel="0" collapsed="false">
      <c r="A168" s="23"/>
      <c r="B168" s="26" t="s">
        <v>174</v>
      </c>
      <c r="C168" s="30" t="n">
        <v>0</v>
      </c>
      <c r="D168" s="23"/>
      <c r="E168" s="2"/>
      <c r="F168" s="2"/>
      <c r="G168" s="2"/>
      <c r="H168" s="2"/>
    </row>
    <row r="169" customFormat="false" ht="7.5" hidden="false" customHeight="true" outlineLevel="0" collapsed="false">
      <c r="A169" s="2"/>
      <c r="B169" s="48" t="s">
        <v>175</v>
      </c>
      <c r="C169" s="49"/>
      <c r="D169" s="49"/>
      <c r="E169" s="49"/>
      <c r="F169" s="49"/>
      <c r="G169" s="49"/>
      <c r="H169" s="49"/>
    </row>
    <row r="170" customFormat="false" ht="27.75" hidden="false" customHeight="true" outlineLevel="0" collapsed="false">
      <c r="A170" s="2"/>
      <c r="B170" s="37" t="s">
        <v>176</v>
      </c>
    </row>
    <row r="171" customFormat="false" ht="15" hidden="false" customHeight="true" outlineLevel="0" collapsed="false">
      <c r="A171" s="2"/>
      <c r="B171" s="50" t="s">
        <v>177</v>
      </c>
      <c r="C171" s="51"/>
      <c r="D171" s="51"/>
      <c r="E171" s="51"/>
      <c r="F171" s="51"/>
      <c r="G171" s="51"/>
      <c r="H171" s="51"/>
    </row>
    <row r="172" customFormat="false" ht="15" hidden="false" customHeight="true" outlineLevel="0" collapsed="false">
      <c r="A172" s="2"/>
      <c r="B172" s="23" t="s">
        <v>178</v>
      </c>
      <c r="C172" s="52" t="n">
        <v>0</v>
      </c>
      <c r="D172" s="2"/>
    </row>
    <row r="173" customFormat="false" ht="7.5" hidden="false" customHeight="true" outlineLevel="0" collapsed="false">
      <c r="A173" s="2"/>
      <c r="B173" s="23" t="s">
        <v>179</v>
      </c>
      <c r="C173" s="53" t="n">
        <v>0.08</v>
      </c>
      <c r="D173" s="2"/>
    </row>
    <row r="174" customFormat="false" ht="27.75" hidden="false" customHeight="true" outlineLevel="0" collapsed="false">
      <c r="A174" s="2"/>
      <c r="B174" s="23" t="s">
        <v>180</v>
      </c>
      <c r="C174" s="54" t="n">
        <v>0</v>
      </c>
    </row>
    <row r="175" customFormat="false" ht="15" hidden="false" customHeight="true" outlineLevel="0" collapsed="false">
      <c r="A175" s="2"/>
      <c r="B175" s="23" t="s">
        <v>181</v>
      </c>
      <c r="C175" s="55" t="n">
        <v>0</v>
      </c>
      <c r="D175" s="2"/>
    </row>
    <row r="176" customFormat="false" ht="15" hidden="false" customHeight="true" outlineLevel="0" collapsed="false">
      <c r="A176" s="2"/>
      <c r="B176" s="23" t="s">
        <v>182</v>
      </c>
      <c r="C176" s="35" t="n">
        <f aca="false">C174+C175</f>
        <v>0</v>
      </c>
      <c r="D176" s="2"/>
    </row>
    <row r="177" customFormat="false" ht="15" hidden="false" customHeight="true" outlineLevel="0" collapsed="false">
      <c r="A177" s="2"/>
      <c r="B177" s="23" t="s">
        <v>183</v>
      </c>
      <c r="C177" s="56" t="n">
        <v>0</v>
      </c>
      <c r="D177" s="2"/>
    </row>
    <row r="178" customFormat="false" ht="15" hidden="false" customHeight="true" outlineLevel="0" collapsed="false">
      <c r="A178" s="2"/>
      <c r="B178" s="23" t="s">
        <v>184</v>
      </c>
      <c r="C178" s="35" t="n">
        <f aca="false">C173*C174*(C172/12)/2</f>
        <v>0</v>
      </c>
      <c r="D178" s="2"/>
    </row>
    <row r="179" customFormat="false" ht="15" hidden="false" customHeight="true" outlineLevel="0" collapsed="false">
      <c r="A179" s="2"/>
      <c r="B179" s="2"/>
      <c r="C179" s="2"/>
      <c r="D179" s="2"/>
    </row>
    <row r="180" customFormat="false" ht="7.5" hidden="false" customHeight="true" outlineLevel="0" collapsed="false">
      <c r="A180" s="2"/>
      <c r="B180" s="50" t="s">
        <v>185</v>
      </c>
      <c r="C180" s="51"/>
      <c r="D180" s="51"/>
      <c r="E180" s="51"/>
      <c r="F180" s="51"/>
      <c r="G180" s="51"/>
      <c r="H180" s="51"/>
    </row>
    <row r="181" customFormat="false" ht="21.75" hidden="false" customHeight="true" outlineLevel="0" collapsed="false">
      <c r="A181" s="2"/>
      <c r="B181" s="23" t="s">
        <v>186</v>
      </c>
      <c r="C181" s="57" t="n">
        <v>0</v>
      </c>
      <c r="D181" s="2"/>
    </row>
    <row r="182" customFormat="false" ht="15" hidden="false" customHeight="true" outlineLevel="0" collapsed="false">
      <c r="A182" s="2"/>
      <c r="B182" s="23" t="s">
        <v>187</v>
      </c>
      <c r="C182" s="56" t="n">
        <v>0.25</v>
      </c>
      <c r="D182" s="2"/>
    </row>
    <row r="183" customFormat="false" ht="15" hidden="false" customHeight="true" outlineLevel="0" collapsed="false">
      <c r="A183" s="2"/>
      <c r="B183" s="23" t="s">
        <v>188</v>
      </c>
      <c r="C183" s="55" t="n">
        <v>0</v>
      </c>
      <c r="D183" s="2"/>
    </row>
    <row r="184" customFormat="false" ht="15" hidden="false" customHeight="true" outlineLevel="0" collapsed="false">
      <c r="A184" s="2"/>
      <c r="B184" s="23" t="s">
        <v>189</v>
      </c>
      <c r="C184" s="55" t="n">
        <v>0</v>
      </c>
      <c r="D184" s="2"/>
    </row>
    <row r="185" customFormat="false" ht="15" hidden="false" customHeight="true" outlineLevel="0" collapsed="false">
      <c r="A185" s="2"/>
      <c r="B185" s="2"/>
      <c r="C185" s="2"/>
      <c r="D185" s="2"/>
    </row>
    <row r="186" customFormat="false" ht="15" hidden="false" customHeight="true" outlineLevel="0" collapsed="false">
      <c r="A186" s="2"/>
      <c r="B186" s="50" t="s">
        <v>190</v>
      </c>
      <c r="C186" s="51"/>
      <c r="D186" s="51"/>
      <c r="E186" s="51"/>
      <c r="F186" s="51"/>
      <c r="G186" s="51"/>
      <c r="H186" s="51"/>
    </row>
    <row r="187" customFormat="false" ht="15" hidden="false" customHeight="true" outlineLevel="0" collapsed="false">
      <c r="A187" s="2"/>
      <c r="B187" s="23" t="s">
        <v>191</v>
      </c>
      <c r="C187" s="35" t="n">
        <f aca="false">C178+C183+C184</f>
        <v>0</v>
      </c>
      <c r="D187" s="2"/>
    </row>
    <row r="188" customFormat="false" ht="15" hidden="false" customHeight="true" outlineLevel="0" collapsed="false">
      <c r="A188" s="2"/>
      <c r="B188" s="2"/>
      <c r="C188" s="2"/>
      <c r="D188" s="2"/>
    </row>
    <row r="189" customFormat="false" ht="15" hidden="false" customHeight="true" outlineLevel="0" collapsed="false">
      <c r="A189" s="2"/>
      <c r="B189" s="2"/>
      <c r="C189" s="2"/>
      <c r="D189" s="2"/>
    </row>
    <row r="190" customFormat="false" ht="15" hidden="false" customHeight="true" outlineLevel="0" collapsed="false">
      <c r="A190" s="2"/>
      <c r="B190" s="2"/>
      <c r="C190" s="2"/>
      <c r="D190" s="2"/>
    </row>
    <row r="191" customFormat="false" ht="15" hidden="false" customHeight="true" outlineLevel="0" collapsed="false">
      <c r="A191" s="23"/>
      <c r="B191" s="23"/>
      <c r="C191" s="23"/>
      <c r="D191" s="23"/>
      <c r="E191" s="2"/>
      <c r="F191" s="2"/>
      <c r="G191" s="2"/>
      <c r="H191" s="2"/>
    </row>
    <row r="192" customFormat="false" ht="7.5" hidden="false" customHeight="true" outlineLevel="0" collapsed="false">
      <c r="A192" s="24"/>
      <c r="B192" s="58" t="s">
        <v>192</v>
      </c>
    </row>
    <row r="193" customFormat="false" ht="27.75" hidden="false" customHeight="true" outlineLevel="0" collapsed="false">
      <c r="A193" s="23"/>
      <c r="B193" s="26" t="s">
        <v>193</v>
      </c>
      <c r="C193" s="59" t="n">
        <v>0.07</v>
      </c>
    </row>
    <row r="194" customFormat="false" ht="15" hidden="false" customHeight="true" outlineLevel="0" collapsed="false">
      <c r="A194" s="23"/>
      <c r="B194" s="26" t="s">
        <v>194</v>
      </c>
      <c r="C194" s="43" t="n">
        <v>0.02</v>
      </c>
      <c r="D194" s="23"/>
      <c r="E194" s="2"/>
      <c r="F194" s="2"/>
      <c r="G194" s="2"/>
      <c r="H194" s="2"/>
    </row>
    <row r="195" customFormat="false" ht="15" hidden="false" customHeight="true" outlineLevel="0" collapsed="false">
      <c r="A195" s="23"/>
      <c r="B195" s="23"/>
      <c r="C195" s="23"/>
      <c r="D195" s="23"/>
      <c r="E195" s="2"/>
      <c r="F195" s="2"/>
      <c r="G195" s="2"/>
      <c r="H195" s="2"/>
    </row>
    <row r="196" customFormat="false" ht="15" hidden="false" customHeight="true" outlineLevel="0" collapsed="false">
      <c r="A196" s="24"/>
      <c r="B196" s="58" t="s">
        <v>195</v>
      </c>
    </row>
    <row r="197" customFormat="false" ht="7.5" hidden="false" customHeight="true" outlineLevel="0" collapsed="false">
      <c r="A197" s="23"/>
      <c r="B197" s="26" t="s">
        <v>196</v>
      </c>
      <c r="C197" s="43" t="n">
        <v>0</v>
      </c>
      <c r="D197" s="23"/>
      <c r="E197" s="2"/>
      <c r="F197" s="2"/>
      <c r="G197" s="2"/>
      <c r="H197" s="37" t="s">
        <v>197</v>
      </c>
    </row>
    <row r="198" customFormat="false" ht="27.75" hidden="false" customHeight="true" outlineLevel="0" collapsed="false">
      <c r="A198" s="23"/>
      <c r="B198" s="26" t="s">
        <v>198</v>
      </c>
    </row>
    <row r="199" customFormat="false" ht="15" hidden="false" customHeight="true" outlineLevel="0" collapsed="false">
      <c r="A199" s="23"/>
      <c r="B199" s="26" t="s">
        <v>199</v>
      </c>
      <c r="C199" s="28" t="n">
        <v>1</v>
      </c>
      <c r="D199" s="23"/>
      <c r="E199" s="2"/>
      <c r="F199" s="2"/>
      <c r="G199" s="2"/>
      <c r="H199" s="37" t="s">
        <v>200</v>
      </c>
    </row>
    <row r="200" customFormat="false" ht="15" hidden="false" customHeight="true" outlineLevel="0" collapsed="false">
      <c r="A200" s="23"/>
      <c r="B200" s="26" t="s">
        <v>201</v>
      </c>
      <c r="C200" s="43" t="n">
        <v>0.8</v>
      </c>
      <c r="D200" s="23"/>
      <c r="E200" s="2"/>
      <c r="F200" s="2"/>
      <c r="G200" s="2"/>
      <c r="H200" s="37" t="s">
        <v>202</v>
      </c>
    </row>
    <row r="201" customFormat="false" ht="15" hidden="false" customHeight="true" outlineLevel="0" collapsed="false">
      <c r="A201" s="23"/>
      <c r="B201" s="26" t="s">
        <v>203</v>
      </c>
      <c r="C201" s="43" t="n">
        <v>0.2</v>
      </c>
      <c r="D201" s="23"/>
      <c r="E201" s="2"/>
      <c r="F201" s="2"/>
      <c r="G201" s="2"/>
      <c r="H201" s="2"/>
    </row>
    <row r="202" customFormat="false" ht="15" hidden="false" customHeight="true" outlineLevel="0" collapsed="false">
      <c r="A202" s="23"/>
      <c r="B202" s="23"/>
      <c r="C202" s="23"/>
      <c r="D202" s="23"/>
      <c r="E202" s="2"/>
      <c r="F202" s="2"/>
      <c r="G202" s="2"/>
      <c r="H202" s="2"/>
    </row>
    <row r="203" customFormat="false" ht="15" hidden="false" customHeight="true" outlineLevel="0" collapsed="false">
      <c r="A203" s="23"/>
      <c r="B203" s="60" t="s">
        <v>204</v>
      </c>
      <c r="D203" s="23"/>
      <c r="E203" s="2"/>
      <c r="F203" s="2"/>
      <c r="G203" s="2"/>
      <c r="H203" s="2"/>
    </row>
    <row r="204" customFormat="false" ht="15" hidden="false" customHeight="true" outlineLevel="0" collapsed="false">
      <c r="A204" s="23"/>
      <c r="B204" s="26" t="s">
        <v>205</v>
      </c>
      <c r="C204" s="43" t="n">
        <v>0.08</v>
      </c>
      <c r="D204" s="23"/>
      <c r="E204" s="2"/>
      <c r="F204" s="2"/>
      <c r="G204" s="2"/>
      <c r="H204" s="37" t="s">
        <v>206</v>
      </c>
    </row>
    <row r="205" customFormat="false" ht="15" hidden="false" customHeight="true" outlineLevel="0" collapsed="false">
      <c r="A205" s="23"/>
      <c r="B205" s="26" t="s">
        <v>207</v>
      </c>
      <c r="C205" s="43" t="n">
        <v>0.12</v>
      </c>
      <c r="D205" s="23"/>
      <c r="E205" s="2"/>
      <c r="F205" s="2"/>
      <c r="G205" s="2"/>
      <c r="H205" s="2"/>
    </row>
    <row r="206" customFormat="false" ht="15" hidden="false" customHeight="true" outlineLevel="0" collapsed="false">
      <c r="A206" s="23"/>
      <c r="B206" s="26" t="s">
        <v>208</v>
      </c>
      <c r="C206" s="43" t="n">
        <v>0.7</v>
      </c>
      <c r="D206" s="23"/>
      <c r="E206" s="2"/>
      <c r="F206" s="2"/>
      <c r="G206" s="2"/>
      <c r="H206" s="37" t="s">
        <v>209</v>
      </c>
    </row>
    <row r="207" customFormat="false" ht="15" hidden="false" customHeight="true" outlineLevel="0" collapsed="false">
      <c r="A207" s="23"/>
      <c r="B207" s="26" t="s">
        <v>210</v>
      </c>
      <c r="C207" s="43" t="n">
        <v>0.15</v>
      </c>
      <c r="D207" s="23"/>
      <c r="E207" s="2"/>
      <c r="F207" s="2"/>
      <c r="G207" s="2"/>
      <c r="H207" s="2"/>
    </row>
    <row r="208" customFormat="false" ht="15" hidden="false" customHeight="true" outlineLevel="0" collapsed="false">
      <c r="A208" s="23"/>
      <c r="B208" s="26" t="s">
        <v>211</v>
      </c>
      <c r="C208" s="43" t="n">
        <v>0.6</v>
      </c>
      <c r="D208" s="23"/>
      <c r="E208" s="2"/>
      <c r="F208" s="2"/>
      <c r="G208" s="2"/>
      <c r="H208" s="37" t="s">
        <v>212</v>
      </c>
    </row>
    <row r="209" customFormat="false" ht="15" hidden="false" customHeight="true" outlineLevel="0" collapsed="false">
      <c r="A209" s="23"/>
      <c r="B209" s="26" t="s">
        <v>213</v>
      </c>
      <c r="C209" s="43" t="n">
        <v>0.18</v>
      </c>
      <c r="D209" s="23"/>
      <c r="E209" s="2"/>
      <c r="F209" s="2"/>
      <c r="G209" s="2"/>
      <c r="H209" s="2"/>
    </row>
    <row r="210" customFormat="false" ht="15" hidden="false" customHeight="true" outlineLevel="0" collapsed="false">
      <c r="A210" s="23"/>
      <c r="B210" s="26" t="s">
        <v>214</v>
      </c>
      <c r="C210" s="43" t="n">
        <v>0.3</v>
      </c>
      <c r="D210" s="23"/>
      <c r="E210" s="2"/>
      <c r="F210" s="2"/>
      <c r="G210" s="2"/>
      <c r="H210" s="37" t="s">
        <v>215</v>
      </c>
    </row>
    <row r="211" customFormat="false" ht="15" hidden="false" customHeight="true" outlineLevel="0" collapsed="false">
      <c r="A211" s="23"/>
      <c r="B211" s="26" t="s">
        <v>216</v>
      </c>
      <c r="C211" s="43" t="n">
        <v>0.24</v>
      </c>
      <c r="D211" s="23"/>
      <c r="E211" s="2"/>
      <c r="F211" s="2"/>
      <c r="G211" s="2"/>
      <c r="H211" s="2"/>
    </row>
    <row r="212" customFormat="false" ht="15" hidden="false" customHeight="true" outlineLevel="0" collapsed="false">
      <c r="A212" s="23"/>
      <c r="B212" s="26" t="s">
        <v>217</v>
      </c>
      <c r="C212" s="43" t="n">
        <v>0.2</v>
      </c>
      <c r="D212" s="23"/>
      <c r="E212" s="2"/>
      <c r="F212" s="2"/>
      <c r="G212" s="2"/>
      <c r="H212" s="37" t="s">
        <v>218</v>
      </c>
    </row>
    <row r="213" customFormat="false" ht="15" hidden="false" customHeight="true" outlineLevel="0" collapsed="false">
      <c r="A213" s="23"/>
      <c r="B213" s="26" t="s">
        <v>219</v>
      </c>
      <c r="C213" s="43" t="n">
        <v>0.1</v>
      </c>
      <c r="D213" s="23"/>
      <c r="E213" s="2"/>
      <c r="F213" s="2"/>
      <c r="G213" s="2"/>
      <c r="H213" s="37" t="s">
        <v>220</v>
      </c>
    </row>
    <row r="214" customFormat="false" ht="15" hidden="false" customHeight="true" outlineLevel="0" collapsed="false">
      <c r="A214" s="23"/>
      <c r="B214" s="23"/>
      <c r="C214" s="23"/>
      <c r="D214" s="23"/>
      <c r="E214" s="2"/>
      <c r="F214" s="2"/>
      <c r="G214" s="2"/>
      <c r="H214" s="2"/>
    </row>
    <row r="215" customFormat="false" ht="15.75" hidden="false" customHeight="true" outlineLevel="0" collapsed="false">
      <c r="A215" s="24"/>
      <c r="B215" s="58" t="s">
        <v>221</v>
      </c>
    </row>
    <row r="216" customFormat="false" ht="15" hidden="false" customHeight="true" outlineLevel="0" collapsed="false">
      <c r="A216" s="23"/>
      <c r="B216" s="26" t="s">
        <v>222</v>
      </c>
      <c r="C216" s="61" t="n">
        <v>2</v>
      </c>
      <c r="D216" s="23"/>
      <c r="E216" s="2"/>
      <c r="F216" s="2"/>
      <c r="G216" s="2"/>
      <c r="H216" s="2"/>
    </row>
    <row r="217" customFormat="false" ht="15" hidden="false" customHeight="true" outlineLevel="0" collapsed="false">
      <c r="A217" s="23"/>
      <c r="B217" s="26" t="s">
        <v>223</v>
      </c>
      <c r="C217" s="61" t="n">
        <v>2.5</v>
      </c>
      <c r="D217" s="23"/>
      <c r="E217" s="2"/>
      <c r="F217" s="2"/>
      <c r="G217" s="2"/>
      <c r="H217" s="2"/>
    </row>
    <row r="218" customFormat="false" ht="15" hidden="false" customHeight="true" outlineLevel="0" collapsed="false">
      <c r="A218" s="23"/>
      <c r="B218" s="26" t="s">
        <v>224</v>
      </c>
      <c r="C218" s="61" t="n">
        <v>3</v>
      </c>
      <c r="D218" s="23"/>
      <c r="E218" s="2"/>
      <c r="F218" s="2"/>
      <c r="G218" s="2"/>
      <c r="H218" s="2"/>
    </row>
    <row r="219" customFormat="false" ht="15" hidden="false" customHeight="true" outlineLevel="0" collapsed="false">
      <c r="A219" s="23"/>
      <c r="B219" s="23"/>
      <c r="C219" s="23"/>
      <c r="D219" s="23"/>
      <c r="E219" s="2"/>
      <c r="F219" s="2"/>
      <c r="G219" s="2"/>
      <c r="H219" s="2"/>
    </row>
    <row r="220" customFormat="false" ht="15.75" hidden="false" customHeight="true" outlineLevel="0" collapsed="false">
      <c r="A220" s="24"/>
      <c r="B220" s="58" t="s">
        <v>225</v>
      </c>
    </row>
    <row r="221" customFormat="false" ht="15" hidden="false" customHeight="true" outlineLevel="0" collapsed="false">
      <c r="A221" s="23"/>
      <c r="B221" s="37" t="s">
        <v>226</v>
      </c>
      <c r="C221" s="23"/>
      <c r="D221" s="23"/>
      <c r="E221" s="2"/>
      <c r="F221" s="2"/>
      <c r="G221" s="2"/>
      <c r="H221" s="2"/>
    </row>
    <row r="222" customFormat="false" ht="15" hidden="false" customHeight="true" outlineLevel="0" collapsed="false">
      <c r="A222" s="23"/>
      <c r="B222" s="26" t="s">
        <v>227</v>
      </c>
      <c r="C222" s="43" t="n">
        <v>0</v>
      </c>
      <c r="D222" s="23"/>
      <c r="E222" s="2"/>
      <c r="F222" s="2"/>
      <c r="G222" s="2"/>
      <c r="H222" s="2"/>
    </row>
    <row r="223" customFormat="false" ht="15" hidden="false" customHeight="true" outlineLevel="0" collapsed="false">
      <c r="A223" s="23"/>
      <c r="B223" s="26" t="s">
        <v>228</v>
      </c>
      <c r="C223" s="43" t="n">
        <v>0.05</v>
      </c>
      <c r="D223" s="23"/>
      <c r="E223" s="2"/>
      <c r="F223" s="2"/>
      <c r="G223" s="2"/>
      <c r="H223" s="2"/>
    </row>
    <row r="224" customFormat="false" ht="15" hidden="false" customHeight="true" outlineLevel="0" collapsed="false">
      <c r="A224" s="23"/>
      <c r="B224" s="26" t="s">
        <v>229</v>
      </c>
      <c r="C224" s="43" t="n">
        <v>0.01</v>
      </c>
      <c r="D224" s="23"/>
      <c r="E224" s="2"/>
      <c r="F224" s="2"/>
      <c r="G224" s="2"/>
      <c r="H224" s="2"/>
    </row>
    <row r="225" customFormat="false" ht="15" hidden="false" customHeight="true" outlineLevel="0" collapsed="false">
      <c r="A225" s="23"/>
      <c r="B225" s="26" t="s">
        <v>230</v>
      </c>
      <c r="C225" s="31" t="n">
        <v>0.055</v>
      </c>
      <c r="D225" s="23"/>
      <c r="E225" s="2"/>
      <c r="F225" s="2"/>
      <c r="G225" s="2"/>
      <c r="H225" s="2"/>
    </row>
    <row r="226" customFormat="false" ht="15" hidden="false" customHeight="true" outlineLevel="0" collapsed="false">
      <c r="A226" s="23"/>
      <c r="B226" s="26" t="s">
        <v>231</v>
      </c>
      <c r="C226" s="31" t="n">
        <v>0.085</v>
      </c>
      <c r="D226" s="23"/>
      <c r="E226" s="2"/>
      <c r="F226" s="2"/>
      <c r="G226" s="2"/>
      <c r="H226" s="2"/>
    </row>
    <row r="227" customFormat="false" ht="15" hidden="false" customHeight="true" outlineLevel="0" collapsed="false">
      <c r="A227" s="23"/>
      <c r="B227" s="26" t="s">
        <v>232</v>
      </c>
      <c r="C227" s="31" t="n">
        <v>0.005</v>
      </c>
      <c r="D227" s="23"/>
      <c r="E227" s="2"/>
      <c r="F227" s="2"/>
      <c r="G227" s="2"/>
      <c r="H227" s="2"/>
    </row>
  </sheetData>
  <mergeCells count="19">
    <mergeCell ref="A1:H1"/>
    <mergeCell ref="A2:H2"/>
    <mergeCell ref="B4:H4"/>
    <mergeCell ref="B16:H16"/>
    <mergeCell ref="B25:H25"/>
    <mergeCell ref="B28:C28"/>
    <mergeCell ref="B33:C33"/>
    <mergeCell ref="B47:C47"/>
    <mergeCell ref="B53:C53"/>
    <mergeCell ref="B62:C62"/>
    <mergeCell ref="B69:H69"/>
    <mergeCell ref="B81:C81"/>
    <mergeCell ref="B94:H94"/>
    <mergeCell ref="B107:H107"/>
    <mergeCell ref="B120:H120"/>
    <mergeCell ref="B133:H133"/>
    <mergeCell ref="B141:H141"/>
    <mergeCell ref="B151:H151"/>
    <mergeCell ref="B165:H1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844"/>
    <pageSetUpPr fitToPage="false"/>
  </sheetPr>
  <dimension ref="A1:C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0"/>
    <col collapsed="false" customWidth="true" hidden="false" outlineLevel="0" max="3" min="3" style="1" width="18"/>
  </cols>
  <sheetData>
    <row r="1" customFormat="false" ht="19.5" hidden="false" customHeight="true" outlineLevel="0" collapsed="false">
      <c r="A1" s="62" t="s">
        <v>233</v>
      </c>
      <c r="B1" s="62"/>
      <c r="C1" s="62"/>
    </row>
    <row r="2" customFormat="false" ht="15" hidden="false" customHeight="true" outlineLevel="0" collapsed="false">
      <c r="A2" s="20" t="s">
        <v>234</v>
      </c>
      <c r="B2" s="20"/>
      <c r="C2" s="20"/>
    </row>
    <row r="3" customFormat="false" ht="15" hidden="false" customHeight="true" outlineLevel="0" collapsed="false">
      <c r="A3" s="2"/>
      <c r="B3" s="2"/>
      <c r="C3" s="2"/>
    </row>
    <row r="4" customFormat="false" ht="15" hidden="false" customHeight="true" outlineLevel="0" collapsed="false">
      <c r="A4" s="63" t="s">
        <v>235</v>
      </c>
      <c r="B4" s="63" t="s">
        <v>236</v>
      </c>
      <c r="C4" s="63" t="s">
        <v>237</v>
      </c>
    </row>
    <row r="5" customFormat="false" ht="15" hidden="false" customHeight="true" outlineLevel="0" collapsed="false">
      <c r="A5" s="64" t="s">
        <v>238</v>
      </c>
      <c r="B5" s="65"/>
      <c r="C5" s="65"/>
    </row>
    <row r="6" customFormat="false" ht="15" hidden="false" customHeight="true" outlineLevel="0" collapsed="false">
      <c r="A6" s="7" t="s">
        <v>48</v>
      </c>
      <c r="B6" s="66" t="n">
        <f aca="false">Assumptions!C17</f>
        <v>2500000</v>
      </c>
      <c r="C6" s="67" t="n">
        <f aca="false">IF(B51&lt;&gt;0,B6/B51,0)</f>
        <v>0.918459192858061</v>
      </c>
    </row>
    <row r="7" customFormat="false" ht="15" hidden="false" customHeight="true" outlineLevel="0" collapsed="false">
      <c r="A7" s="7" t="s">
        <v>49</v>
      </c>
      <c r="B7" s="66" t="n">
        <f aca="false">Assumptions!C19</f>
        <v>106950</v>
      </c>
      <c r="C7" s="67" t="n">
        <f aca="false">IF(B51&lt;&gt;0,B7/B51,0)</f>
        <v>0.0392916842704679</v>
      </c>
    </row>
    <row r="8" customFormat="false" ht="15" hidden="false" customHeight="true" outlineLevel="0" collapsed="false">
      <c r="A8" s="7" t="s">
        <v>50</v>
      </c>
      <c r="B8" s="66" t="n">
        <f aca="false">Assumptions!C31</f>
        <v>0</v>
      </c>
      <c r="C8" s="67" t="n">
        <f aca="false">IF(B51&lt;&gt;0,B8/B51,0)</f>
        <v>0</v>
      </c>
    </row>
    <row r="9" customFormat="false" ht="15" hidden="false" customHeight="true" outlineLevel="0" collapsed="false">
      <c r="A9" s="68" t="s">
        <v>239</v>
      </c>
      <c r="B9" s="34" t="n">
        <f aca="false">SUM(B6:B8)</f>
        <v>2606950</v>
      </c>
      <c r="C9" s="69" t="n">
        <f aca="false">IF(B51&lt;&gt;0,B9/B51,0)</f>
        <v>0.957750877128529</v>
      </c>
    </row>
    <row r="10" customFormat="false" ht="15" hidden="false" customHeight="true" outlineLevel="0" collapsed="false">
      <c r="A10" s="2"/>
      <c r="B10" s="2"/>
      <c r="C10" s="2"/>
    </row>
    <row r="11" customFormat="false" ht="15" hidden="false" customHeight="true" outlineLevel="0" collapsed="false">
      <c r="A11" s="70" t="s">
        <v>240</v>
      </c>
      <c r="B11" s="65"/>
      <c r="C11" s="65"/>
    </row>
    <row r="12" customFormat="false" ht="15" hidden="false" customHeight="true" outlineLevel="0" collapsed="false">
      <c r="A12" s="7" t="s">
        <v>52</v>
      </c>
      <c r="B12" s="66" t="n">
        <f aca="false">Assumptions!C34</f>
        <v>25000</v>
      </c>
      <c r="C12" s="67" t="n">
        <f aca="false">IF(B51&lt;&gt;0,B12/B51,0)</f>
        <v>0.00918459192858061</v>
      </c>
    </row>
    <row r="13" customFormat="false" ht="15" hidden="false" customHeight="true" outlineLevel="0" collapsed="false">
      <c r="A13" s="7" t="s">
        <v>53</v>
      </c>
      <c r="B13" s="66" t="n">
        <f aca="false">Assumptions!C35</f>
        <v>8000</v>
      </c>
      <c r="C13" s="67" t="n">
        <f aca="false">IF(B51&lt;&gt;0,B13/B51,0)</f>
        <v>0.0029390694171458</v>
      </c>
    </row>
    <row r="14" customFormat="false" ht="15" hidden="false" customHeight="true" outlineLevel="0" collapsed="false">
      <c r="A14" s="7" t="s">
        <v>54</v>
      </c>
      <c r="B14" s="66" t="n">
        <f aca="false">Assumptions!C36</f>
        <v>5000</v>
      </c>
      <c r="C14" s="67" t="n">
        <f aca="false">IF(B51&lt;&gt;0,B14/B51,0)</f>
        <v>0.00183691838571612</v>
      </c>
    </row>
    <row r="15" customFormat="false" ht="15" hidden="false" customHeight="true" outlineLevel="0" collapsed="false">
      <c r="A15" s="7" t="s">
        <v>55</v>
      </c>
      <c r="B15" s="66" t="n">
        <f aca="false">Assumptions!C37</f>
        <v>5000</v>
      </c>
      <c r="C15" s="67" t="n">
        <f aca="false">IF(B51&lt;&gt;0,B15/B51,0)</f>
        <v>0.00183691838571612</v>
      </c>
    </row>
    <row r="16" customFormat="false" ht="15" hidden="false" customHeight="true" outlineLevel="0" collapsed="false">
      <c r="A16" s="7" t="s">
        <v>56</v>
      </c>
      <c r="B16" s="66" t="n">
        <f aca="false">Assumptions!C38</f>
        <v>6000</v>
      </c>
      <c r="C16" s="67" t="n">
        <f aca="false">IF(B51&lt;&gt;0,B16/B51,0)</f>
        <v>0.00220430206285935</v>
      </c>
    </row>
    <row r="17" customFormat="false" ht="15" hidden="false" customHeight="true" outlineLevel="0" collapsed="false">
      <c r="A17" s="7" t="s">
        <v>57</v>
      </c>
      <c r="B17" s="66" t="n">
        <f aca="false">Assumptions!C39</f>
        <v>0</v>
      </c>
      <c r="C17" s="67" t="n">
        <f aca="false">IF(B51&lt;&gt;0,B17/B51,0)</f>
        <v>0</v>
      </c>
    </row>
    <row r="18" customFormat="false" ht="15" hidden="false" customHeight="true" outlineLevel="0" collapsed="false">
      <c r="A18" s="7" t="s">
        <v>58</v>
      </c>
      <c r="B18" s="66" t="n">
        <f aca="false">Assumptions!C40</f>
        <v>0</v>
      </c>
      <c r="C18" s="67" t="n">
        <f aca="false">IF(B51&lt;&gt;0,B18/B51,0)</f>
        <v>0</v>
      </c>
    </row>
    <row r="19" customFormat="false" ht="15" hidden="false" customHeight="true" outlineLevel="0" collapsed="false">
      <c r="A19" s="7" t="s">
        <v>59</v>
      </c>
      <c r="B19" s="66" t="n">
        <f aca="false">Assumptions!C41</f>
        <v>0</v>
      </c>
      <c r="C19" s="67" t="n">
        <f aca="false">IF(B51&lt;&gt;0,B19/B51,0)</f>
        <v>0</v>
      </c>
    </row>
    <row r="20" customFormat="false" ht="15" hidden="false" customHeight="true" outlineLevel="0" collapsed="false">
      <c r="A20" s="7" t="s">
        <v>60</v>
      </c>
      <c r="B20" s="66" t="n">
        <f aca="false">Assumptions!C42</f>
        <v>3500</v>
      </c>
      <c r="C20" s="67" t="n">
        <f aca="false">IF(B51&lt;&gt;0,B20/B51,0)</f>
        <v>0.00128584287000129</v>
      </c>
    </row>
    <row r="21" customFormat="false" ht="15" hidden="false" customHeight="true" outlineLevel="0" collapsed="false">
      <c r="A21" s="7" t="s">
        <v>61</v>
      </c>
      <c r="B21" s="66" t="n">
        <f aca="false">Assumptions!C43</f>
        <v>0</v>
      </c>
      <c r="C21" s="67" t="n">
        <f aca="false">IF(B51&lt;&gt;0,B21/B51,0)</f>
        <v>0</v>
      </c>
    </row>
    <row r="22" customFormat="false" ht="15" hidden="false" customHeight="true" outlineLevel="0" collapsed="false">
      <c r="A22" s="7" t="s">
        <v>62</v>
      </c>
      <c r="B22" s="66" t="n">
        <f aca="false">Assumptions!C44</f>
        <v>0</v>
      </c>
      <c r="C22" s="67" t="n">
        <f aca="false">IF(B51&lt;&gt;0,B22/B51,0)</f>
        <v>0</v>
      </c>
    </row>
    <row r="23" customFormat="false" ht="15" hidden="false" customHeight="true" outlineLevel="0" collapsed="false">
      <c r="A23" s="7" t="s">
        <v>63</v>
      </c>
      <c r="B23" s="66" t="n">
        <f aca="false">Assumptions!C45</f>
        <v>0</v>
      </c>
      <c r="C23" s="67" t="n">
        <f aca="false">IF(B51&lt;&gt;0,B23/B51,0)</f>
        <v>0</v>
      </c>
    </row>
    <row r="24" customFormat="false" ht="15" hidden="false" customHeight="true" outlineLevel="0" collapsed="false">
      <c r="A24" s="71" t="s">
        <v>241</v>
      </c>
      <c r="B24" s="34" t="n">
        <f aca="false">SUM(B12:B23)</f>
        <v>52500</v>
      </c>
      <c r="C24" s="69" t="n">
        <f aca="false">IF(B51&lt;&gt;0,B24/B51,0)</f>
        <v>0.0192876430500193</v>
      </c>
    </row>
    <row r="25" customFormat="false" ht="15" hidden="false" customHeight="true" outlineLevel="0" collapsed="false">
      <c r="A25" s="2"/>
      <c r="B25" s="2"/>
      <c r="C25" s="2"/>
    </row>
    <row r="26" customFormat="false" ht="15" hidden="false" customHeight="true" outlineLevel="0" collapsed="false">
      <c r="A26" s="72" t="s">
        <v>242</v>
      </c>
      <c r="B26" s="65"/>
      <c r="C26" s="65"/>
    </row>
    <row r="27" customFormat="false" ht="15" hidden="false" customHeight="true" outlineLevel="0" collapsed="false">
      <c r="A27" s="7" t="s">
        <v>65</v>
      </c>
      <c r="B27" s="66" t="n">
        <f aca="false">Assumptions!C48</f>
        <v>25000</v>
      </c>
      <c r="C27" s="67" t="n">
        <f aca="false">IF(B51&lt;&gt;0,B27/B51,0)</f>
        <v>0.00918459192858061</v>
      </c>
    </row>
    <row r="28" customFormat="false" ht="15" hidden="false" customHeight="true" outlineLevel="0" collapsed="false">
      <c r="A28" s="7" t="s">
        <v>66</v>
      </c>
      <c r="B28" s="66" t="n">
        <f aca="false">Assumptions!C49</f>
        <v>0</v>
      </c>
      <c r="C28" s="67" t="n">
        <f aca="false">IF(B51&lt;&gt;0,B28/B51,0)</f>
        <v>0</v>
      </c>
    </row>
    <row r="29" customFormat="false" ht="15" hidden="false" customHeight="true" outlineLevel="0" collapsed="false">
      <c r="A29" s="7" t="s">
        <v>67</v>
      </c>
      <c r="B29" s="66" t="n">
        <f aca="false">Assumptions!C50</f>
        <v>17500</v>
      </c>
      <c r="C29" s="67" t="n">
        <f aca="false">IF(B51&lt;&gt;0,B29/B51,0)</f>
        <v>0.00642921435000643</v>
      </c>
    </row>
    <row r="30" customFormat="false" ht="15" hidden="false" customHeight="true" outlineLevel="0" collapsed="false">
      <c r="A30" s="7" t="s">
        <v>68</v>
      </c>
      <c r="B30" s="66" t="n">
        <f aca="false">Assumptions!C51</f>
        <v>0</v>
      </c>
      <c r="C30" s="67" t="n">
        <f aca="false">IF(B51&lt;&gt;0,B30/B51,0)</f>
        <v>0</v>
      </c>
    </row>
    <row r="31" customFormat="false" ht="15" hidden="false" customHeight="true" outlineLevel="0" collapsed="false">
      <c r="A31" s="73" t="s">
        <v>243</v>
      </c>
      <c r="B31" s="34" t="n">
        <f aca="false">SUM(B27:B30)</f>
        <v>42500</v>
      </c>
      <c r="C31" s="69" t="n">
        <f aca="false">IF(B51&lt;&gt;0,B31/B51,0)</f>
        <v>0.015613806278587</v>
      </c>
    </row>
    <row r="32" customFormat="false" ht="15" hidden="false" customHeight="true" outlineLevel="0" collapsed="false">
      <c r="A32" s="2"/>
      <c r="B32" s="2"/>
      <c r="C32" s="2"/>
    </row>
    <row r="33" customFormat="false" ht="15" hidden="false" customHeight="true" outlineLevel="0" collapsed="false">
      <c r="A33" s="74" t="s">
        <v>244</v>
      </c>
      <c r="B33" s="65"/>
      <c r="C33" s="65"/>
    </row>
    <row r="34" customFormat="false" ht="15" hidden="false" customHeight="true" outlineLevel="0" collapsed="false">
      <c r="A34" s="7" t="s">
        <v>70</v>
      </c>
      <c r="B34" s="66" t="n">
        <f aca="false">Assumptions!C54</f>
        <v>15000</v>
      </c>
      <c r="C34" s="67" t="n">
        <f aca="false">IF(B51&lt;&gt;0,B34/B51,0)</f>
        <v>0.00551075515714837</v>
      </c>
    </row>
    <row r="35" customFormat="false" ht="15" hidden="false" customHeight="true" outlineLevel="0" collapsed="false">
      <c r="A35" s="7" t="s">
        <v>71</v>
      </c>
      <c r="B35" s="66" t="n">
        <f aca="false">Assumptions!C55</f>
        <v>5000</v>
      </c>
      <c r="C35" s="67" t="n">
        <f aca="false">IF(B51&lt;&gt;0,B35/B51,0)</f>
        <v>0.00183691838571612</v>
      </c>
    </row>
    <row r="36" customFormat="false" ht="15" hidden="false" customHeight="true" outlineLevel="0" collapsed="false">
      <c r="A36" s="7" t="s">
        <v>245</v>
      </c>
      <c r="B36" s="66" t="n">
        <f aca="false">Assumptions!C56</f>
        <v>0</v>
      </c>
      <c r="C36" s="67" t="n">
        <f aca="false">IF(B51&lt;&gt;0,B36/B51,0)</f>
        <v>0</v>
      </c>
    </row>
    <row r="37" customFormat="false" ht="15" hidden="false" customHeight="true" outlineLevel="0" collapsed="false">
      <c r="A37" s="7" t="s">
        <v>246</v>
      </c>
      <c r="B37" s="66" t="n">
        <f aca="false">Assumptions!C57</f>
        <v>0</v>
      </c>
      <c r="C37" s="67" t="n">
        <f aca="false">IF(B51&lt;&gt;0,B37/B51,0)</f>
        <v>0</v>
      </c>
    </row>
    <row r="38" customFormat="false" ht="15" hidden="false" customHeight="true" outlineLevel="0" collapsed="false">
      <c r="A38" s="7" t="s">
        <v>74</v>
      </c>
      <c r="B38" s="66" t="n">
        <f aca="false">Assumptions!C58</f>
        <v>0</v>
      </c>
      <c r="C38" s="67" t="n">
        <f aca="false">IF(B51&lt;&gt;0,B38/B51,0)</f>
        <v>0</v>
      </c>
    </row>
    <row r="39" customFormat="false" ht="15" hidden="false" customHeight="true" outlineLevel="0" collapsed="false">
      <c r="A39" s="7" t="s">
        <v>247</v>
      </c>
      <c r="B39" s="66" t="n">
        <f aca="false">Assumptions!C59</f>
        <v>0</v>
      </c>
      <c r="C39" s="67" t="n">
        <f aca="false">IF(B51&lt;&gt;0,B39/B51,0)</f>
        <v>0</v>
      </c>
    </row>
    <row r="40" customFormat="false" ht="15" hidden="false" customHeight="true" outlineLevel="0" collapsed="false">
      <c r="A40" s="7" t="s">
        <v>76</v>
      </c>
      <c r="B40" s="66" t="n">
        <f aca="false">Assumptions!C60</f>
        <v>0</v>
      </c>
      <c r="C40" s="67" t="n">
        <f aca="false">IF(B51&lt;&gt;0,B40/B51,0)</f>
        <v>0</v>
      </c>
    </row>
    <row r="41" customFormat="false" ht="15" hidden="false" customHeight="true" outlineLevel="0" collapsed="false">
      <c r="A41" s="75" t="s">
        <v>248</v>
      </c>
      <c r="B41" s="34" t="n">
        <f aca="false">SUM(B34:B40)</f>
        <v>20000</v>
      </c>
      <c r="C41" s="69" t="n">
        <f aca="false">IF(B51&lt;&gt;0,B41/B51,0)</f>
        <v>0.00734767354286449</v>
      </c>
    </row>
    <row r="42" customFormat="false" ht="15" hidden="false" customHeight="true" outlineLevel="0" collapsed="false">
      <c r="A42" s="2"/>
      <c r="B42" s="2"/>
      <c r="C42" s="2"/>
    </row>
    <row r="43" customFormat="false" ht="15" hidden="false" customHeight="true" outlineLevel="0" collapsed="false">
      <c r="A43" s="76" t="s">
        <v>249</v>
      </c>
      <c r="B43" s="65"/>
      <c r="C43" s="65"/>
    </row>
    <row r="44" customFormat="false" ht="15" hidden="false" customHeight="true" outlineLevel="0" collapsed="false">
      <c r="A44" s="7" t="s">
        <v>250</v>
      </c>
      <c r="B44" s="66" t="n">
        <f aca="false">Assumptions!C63</f>
        <v>0</v>
      </c>
      <c r="C44" s="67" t="n">
        <f aca="false">IF(B51&lt;&gt;0,B44/B51,0)</f>
        <v>0</v>
      </c>
    </row>
    <row r="45" customFormat="false" ht="15" hidden="false" customHeight="true" outlineLevel="0" collapsed="false">
      <c r="A45" s="7" t="s">
        <v>79</v>
      </c>
      <c r="B45" s="66" t="n">
        <f aca="false">Assumptions!C64</f>
        <v>0</v>
      </c>
      <c r="C45" s="67" t="n">
        <f aca="false">IF(B51&lt;&gt;0,B45/B51,0)</f>
        <v>0</v>
      </c>
    </row>
    <row r="46" customFormat="false" ht="15" hidden="false" customHeight="true" outlineLevel="0" collapsed="false">
      <c r="A46" s="7" t="s">
        <v>80</v>
      </c>
      <c r="B46" s="66" t="n">
        <f aca="false">Assumptions!C65</f>
        <v>0</v>
      </c>
      <c r="C46" s="67" t="n">
        <f aca="false">IF(B51&lt;&gt;0,B46/B51,0)</f>
        <v>0</v>
      </c>
    </row>
    <row r="47" customFormat="false" ht="15" hidden="false" customHeight="true" outlineLevel="0" collapsed="false">
      <c r="A47" s="7" t="s">
        <v>81</v>
      </c>
      <c r="B47" s="66" t="n">
        <f aca="false">Assumptions!C66</f>
        <v>0</v>
      </c>
      <c r="C47" s="67" t="n">
        <f aca="false">IF(B51&lt;&gt;0,B47/B51,0)</f>
        <v>0</v>
      </c>
    </row>
    <row r="48" customFormat="false" ht="15" hidden="false" customHeight="true" outlineLevel="0" collapsed="false">
      <c r="A48" s="7" t="s">
        <v>82</v>
      </c>
      <c r="B48" s="66" t="n">
        <f aca="false">Assumptions!C67</f>
        <v>0</v>
      </c>
      <c r="C48" s="67" t="n">
        <f aca="false">IF(B51&lt;&gt;0,B48/B51,0)</f>
        <v>0</v>
      </c>
    </row>
    <row r="49" customFormat="false" ht="15" hidden="false" customHeight="true" outlineLevel="0" collapsed="false">
      <c r="A49" s="77" t="s">
        <v>251</v>
      </c>
      <c r="B49" s="34" t="n">
        <f aca="false">SUM(B44:B48)</f>
        <v>0</v>
      </c>
      <c r="C49" s="69" t="n">
        <f aca="false">IF(B51&lt;&gt;0,B49/B51,0)</f>
        <v>0</v>
      </c>
    </row>
    <row r="50" customFormat="false" ht="15" hidden="false" customHeight="true" outlineLevel="0" collapsed="false">
      <c r="A50" s="2"/>
      <c r="B50" s="2"/>
      <c r="C50" s="2"/>
    </row>
    <row r="51" customFormat="false" ht="15" hidden="false" customHeight="true" outlineLevel="0" collapsed="false">
      <c r="A51" s="78" t="s">
        <v>101</v>
      </c>
      <c r="B51" s="79" t="n">
        <f aca="false">B9+B24+B31+B41+B49</f>
        <v>2721950</v>
      </c>
      <c r="C51" s="80"/>
    </row>
    <row r="52" customFormat="false" ht="15" hidden="false" customHeight="true" outlineLevel="0" collapsed="false">
      <c r="A52" s="2"/>
      <c r="B52" s="2"/>
      <c r="C52" s="2"/>
    </row>
    <row r="53" customFormat="false" ht="15" hidden="false" customHeight="true" outlineLevel="0" collapsed="false">
      <c r="A53" s="10" t="s">
        <v>252</v>
      </c>
      <c r="B53" s="10"/>
      <c r="C53" s="10"/>
    </row>
    <row r="54" customFormat="false" ht="15" hidden="false" customHeight="true" outlineLevel="0" collapsed="false">
      <c r="A54" s="7" t="s">
        <v>95</v>
      </c>
      <c r="B54" s="66" t="n">
        <f aca="false">Assumptions!C82</f>
        <v>1750000</v>
      </c>
      <c r="C54" s="2"/>
    </row>
    <row r="55" customFormat="false" ht="15" hidden="false" customHeight="true" outlineLevel="0" collapsed="false">
      <c r="A55" s="7" t="s">
        <v>96</v>
      </c>
      <c r="B55" s="66" t="n">
        <f aca="false">Assumptions!C83</f>
        <v>0</v>
      </c>
      <c r="C55" s="2"/>
    </row>
    <row r="56" customFormat="false" ht="15" hidden="false" customHeight="true" outlineLevel="0" collapsed="false">
      <c r="A56" s="7" t="s">
        <v>97</v>
      </c>
      <c r="B56" s="66" t="n">
        <f aca="false">Assumptions!C84</f>
        <v>0</v>
      </c>
      <c r="C56" s="2"/>
    </row>
    <row r="57" customFormat="false" ht="15" hidden="false" customHeight="true" outlineLevel="0" collapsed="false">
      <c r="A57" s="7" t="s">
        <v>98</v>
      </c>
      <c r="B57" s="66" t="n">
        <f aca="false">Assumptions!C85</f>
        <v>0</v>
      </c>
      <c r="C57" s="2"/>
    </row>
    <row r="58" customFormat="false" ht="15" hidden="false" customHeight="true" outlineLevel="0" collapsed="false">
      <c r="A58" s="7" t="s">
        <v>99</v>
      </c>
      <c r="B58" s="66" t="n">
        <f aca="false">Assumptions!C86</f>
        <v>0</v>
      </c>
      <c r="C58" s="2"/>
    </row>
    <row r="59" customFormat="false" ht="15" hidden="false" customHeight="true" outlineLevel="0" collapsed="false">
      <c r="A59" s="7" t="s">
        <v>100</v>
      </c>
      <c r="B59" s="66" t="n">
        <f aca="false">Assumptions!C87</f>
        <v>0</v>
      </c>
      <c r="C59" s="2"/>
    </row>
    <row r="60" customFormat="false" ht="15" hidden="false" customHeight="true" outlineLevel="0" collapsed="false">
      <c r="A60" s="81" t="s">
        <v>102</v>
      </c>
      <c r="B60" s="82" t="n">
        <f aca="false">SUM(B54:B59)</f>
        <v>1750000</v>
      </c>
      <c r="C60" s="49"/>
    </row>
    <row r="61" customFormat="false" ht="15" hidden="false" customHeight="true" outlineLevel="0" collapsed="false">
      <c r="A61" s="2"/>
      <c r="B61" s="2"/>
      <c r="C61" s="2"/>
    </row>
    <row r="62" customFormat="false" ht="15" hidden="false" customHeight="true" outlineLevel="0" collapsed="false">
      <c r="A62" s="83" t="s">
        <v>253</v>
      </c>
      <c r="B62" s="47" t="n">
        <f aca="false">B60-B51</f>
        <v>-971950</v>
      </c>
      <c r="C62" s="2"/>
    </row>
  </sheetData>
  <mergeCells count="3">
    <mergeCell ref="A1:C1"/>
    <mergeCell ref="A2:C2"/>
    <mergeCell ref="A53:C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8A62"/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7" min="5" style="1" width="12"/>
    <col collapsed="false" customWidth="true" hidden="false" outlineLevel="0" max="8" min="8" style="1" width="10"/>
    <col collapsed="false" customWidth="true" hidden="false" outlineLevel="0" max="10" min="9" style="1" width="12"/>
  </cols>
  <sheetData>
    <row r="1" customFormat="false" ht="36" hidden="false" customHeight="true" outlineLevel="0" collapsed="false">
      <c r="A1" s="84" t="s">
        <v>254</v>
      </c>
      <c r="B1" s="84"/>
      <c r="C1" s="84"/>
      <c r="D1" s="84"/>
      <c r="E1" s="84"/>
      <c r="F1" s="84"/>
      <c r="G1" s="84"/>
      <c r="H1" s="84"/>
      <c r="I1" s="84"/>
      <c r="J1" s="84"/>
    </row>
    <row r="2" customFormat="false" ht="15" hidden="false" customHeight="true" outlineLevel="0" collapsed="false">
      <c r="A2" s="85" t="s">
        <v>255</v>
      </c>
      <c r="B2" s="85"/>
      <c r="C2" s="85"/>
      <c r="D2" s="85"/>
      <c r="E2" s="85"/>
      <c r="F2" s="85"/>
      <c r="G2" s="85"/>
      <c r="H2" s="85"/>
      <c r="I2" s="85"/>
      <c r="J2" s="85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25.5" hidden="false" customHeight="true" outlineLevel="0" collapsed="false">
      <c r="A4" s="25" t="s">
        <v>256</v>
      </c>
      <c r="B4" s="25"/>
      <c r="C4" s="25"/>
      <c r="D4" s="25"/>
      <c r="E4" s="25"/>
      <c r="F4" s="25"/>
      <c r="G4" s="25"/>
      <c r="H4" s="25"/>
      <c r="I4" s="25"/>
      <c r="J4" s="25"/>
    </row>
    <row r="5" customFormat="false" ht="15" hidden="false" customHeight="true" outlineLevel="0" collapsed="false">
      <c r="A5" s="63"/>
      <c r="B5" s="63" t="s">
        <v>257</v>
      </c>
      <c r="C5" s="63" t="s">
        <v>258</v>
      </c>
      <c r="D5" s="63" t="s">
        <v>259</v>
      </c>
      <c r="E5" s="63" t="s">
        <v>260</v>
      </c>
      <c r="F5" s="63" t="s">
        <v>261</v>
      </c>
      <c r="G5" s="63" t="s">
        <v>262</v>
      </c>
      <c r="H5" s="63" t="s">
        <v>263</v>
      </c>
      <c r="I5" s="63" t="s">
        <v>264</v>
      </c>
      <c r="J5" s="63" t="s">
        <v>265</v>
      </c>
    </row>
    <row r="6" customFormat="false" ht="15" hidden="false" customHeight="true" outlineLevel="0" collapsed="false">
      <c r="A6" s="65"/>
      <c r="B6" s="86" t="s">
        <v>266</v>
      </c>
      <c r="C6" s="87" t="s">
        <v>267</v>
      </c>
      <c r="D6" s="88" t="n">
        <v>450</v>
      </c>
      <c r="E6" s="89" t="n">
        <v>950</v>
      </c>
      <c r="F6" s="90" t="n">
        <f aca="false">IF(D6&gt;0,E6/D6,0)</f>
        <v>2.11111111111111</v>
      </c>
      <c r="G6" s="91" t="n">
        <f aca="false">E6*12</f>
        <v>11400</v>
      </c>
      <c r="H6" s="87" t="s">
        <v>268</v>
      </c>
      <c r="I6" s="87" t="s">
        <v>269</v>
      </c>
      <c r="J6" s="89" t="n">
        <v>1000</v>
      </c>
    </row>
    <row r="7" customFormat="false" ht="15" hidden="false" customHeight="true" outlineLevel="0" collapsed="false">
      <c r="A7" s="2"/>
      <c r="B7" s="92" t="s">
        <v>270</v>
      </c>
      <c r="C7" s="93" t="s">
        <v>267</v>
      </c>
      <c r="D7" s="94" t="n">
        <v>450</v>
      </c>
      <c r="E7" s="95" t="n">
        <v>950</v>
      </c>
      <c r="F7" s="96" t="n">
        <f aca="false">IF(D7&gt;0,E7/D7,0)</f>
        <v>2.11111111111111</v>
      </c>
      <c r="G7" s="97" t="n">
        <f aca="false">E7*12</f>
        <v>11400</v>
      </c>
      <c r="H7" s="93" t="s">
        <v>268</v>
      </c>
      <c r="I7" s="93" t="s">
        <v>269</v>
      </c>
      <c r="J7" s="95" t="n">
        <v>1000</v>
      </c>
    </row>
    <row r="8" customFormat="false" ht="15" hidden="false" customHeight="true" outlineLevel="0" collapsed="false">
      <c r="A8" s="65"/>
      <c r="B8" s="86" t="s">
        <v>271</v>
      </c>
      <c r="C8" s="87" t="s">
        <v>267</v>
      </c>
      <c r="D8" s="88" t="n">
        <v>450</v>
      </c>
      <c r="E8" s="89" t="n">
        <v>950</v>
      </c>
      <c r="F8" s="90" t="n">
        <f aca="false">IF(D8&gt;0,E8/D8,0)</f>
        <v>2.11111111111111</v>
      </c>
      <c r="G8" s="91" t="n">
        <f aca="false">E8*12</f>
        <v>11400</v>
      </c>
      <c r="H8" s="87" t="s">
        <v>268</v>
      </c>
      <c r="I8" s="87" t="s">
        <v>269</v>
      </c>
      <c r="J8" s="89" t="n">
        <v>1000</v>
      </c>
    </row>
    <row r="9" customFormat="false" ht="15" hidden="false" customHeight="true" outlineLevel="0" collapsed="false">
      <c r="A9" s="2"/>
      <c r="B9" s="92" t="s">
        <v>272</v>
      </c>
      <c r="C9" s="93" t="s">
        <v>267</v>
      </c>
      <c r="D9" s="94" t="n">
        <v>450</v>
      </c>
      <c r="E9" s="95" t="n">
        <v>950</v>
      </c>
      <c r="F9" s="96" t="n">
        <f aca="false">IF(D9&gt;0,E9/D9,0)</f>
        <v>2.11111111111111</v>
      </c>
      <c r="G9" s="97" t="n">
        <f aca="false">E9*12</f>
        <v>11400</v>
      </c>
      <c r="H9" s="93" t="s">
        <v>268</v>
      </c>
      <c r="I9" s="93" t="s">
        <v>269</v>
      </c>
      <c r="J9" s="95" t="n">
        <v>1000</v>
      </c>
    </row>
    <row r="10" customFormat="false" ht="15" hidden="false" customHeight="true" outlineLevel="0" collapsed="false">
      <c r="A10" s="65"/>
      <c r="B10" s="86" t="s">
        <v>273</v>
      </c>
      <c r="C10" s="87" t="s">
        <v>267</v>
      </c>
      <c r="D10" s="88" t="n">
        <v>450</v>
      </c>
      <c r="E10" s="89" t="n">
        <v>950</v>
      </c>
      <c r="F10" s="90" t="n">
        <f aca="false">IF(D10&gt;0,E10/D10,0)</f>
        <v>2.11111111111111</v>
      </c>
      <c r="G10" s="91" t="n">
        <f aca="false">E10*12</f>
        <v>11400</v>
      </c>
      <c r="H10" s="87" t="s">
        <v>274</v>
      </c>
      <c r="I10" s="87" t="s">
        <v>269</v>
      </c>
      <c r="J10" s="89" t="n">
        <v>1000</v>
      </c>
    </row>
    <row r="11" customFormat="false" ht="15" hidden="false" customHeight="true" outlineLevel="0" collapsed="false">
      <c r="A11" s="2"/>
      <c r="B11" s="92" t="s">
        <v>275</v>
      </c>
      <c r="C11" s="93" t="s">
        <v>276</v>
      </c>
      <c r="D11" s="94" t="n">
        <v>650</v>
      </c>
      <c r="E11" s="95" t="n">
        <v>1200</v>
      </c>
      <c r="F11" s="96" t="n">
        <f aca="false">IF(D11&gt;0,E11/D11,0)</f>
        <v>1.84615384615385</v>
      </c>
      <c r="G11" s="97" t="n">
        <f aca="false">E11*12</f>
        <v>14400</v>
      </c>
      <c r="H11" s="93" t="s">
        <v>268</v>
      </c>
      <c r="I11" s="93" t="s">
        <v>269</v>
      </c>
      <c r="J11" s="95" t="n">
        <v>1275</v>
      </c>
    </row>
    <row r="12" customFormat="false" ht="15" hidden="false" customHeight="true" outlineLevel="0" collapsed="false">
      <c r="A12" s="65"/>
      <c r="B12" s="86" t="s">
        <v>277</v>
      </c>
      <c r="C12" s="87" t="s">
        <v>276</v>
      </c>
      <c r="D12" s="88" t="n">
        <v>650</v>
      </c>
      <c r="E12" s="89" t="n">
        <v>1200</v>
      </c>
      <c r="F12" s="90" t="n">
        <f aca="false">IF(D12&gt;0,E12/D12,0)</f>
        <v>1.84615384615385</v>
      </c>
      <c r="G12" s="91" t="n">
        <f aca="false">E12*12</f>
        <v>14400</v>
      </c>
      <c r="H12" s="87" t="s">
        <v>268</v>
      </c>
      <c r="I12" s="87" t="s">
        <v>269</v>
      </c>
      <c r="J12" s="89" t="n">
        <v>1275</v>
      </c>
    </row>
    <row r="13" customFormat="false" ht="15" hidden="false" customHeight="true" outlineLevel="0" collapsed="false">
      <c r="A13" s="2"/>
      <c r="B13" s="92" t="s">
        <v>278</v>
      </c>
      <c r="C13" s="93" t="s">
        <v>276</v>
      </c>
      <c r="D13" s="94" t="n">
        <v>650</v>
      </c>
      <c r="E13" s="95" t="n">
        <v>1200</v>
      </c>
      <c r="F13" s="96" t="n">
        <f aca="false">IF(D13&gt;0,E13/D13,0)</f>
        <v>1.84615384615385</v>
      </c>
      <c r="G13" s="97" t="n">
        <f aca="false">E13*12</f>
        <v>14400</v>
      </c>
      <c r="H13" s="93" t="s">
        <v>268</v>
      </c>
      <c r="I13" s="93" t="s">
        <v>269</v>
      </c>
      <c r="J13" s="95" t="n">
        <v>1275</v>
      </c>
    </row>
    <row r="14" customFormat="false" ht="15" hidden="false" customHeight="true" outlineLevel="0" collapsed="false">
      <c r="A14" s="65"/>
      <c r="B14" s="86" t="s">
        <v>279</v>
      </c>
      <c r="C14" s="87" t="s">
        <v>276</v>
      </c>
      <c r="D14" s="88" t="n">
        <v>650</v>
      </c>
      <c r="E14" s="89" t="n">
        <v>1200</v>
      </c>
      <c r="F14" s="90" t="n">
        <f aca="false">IF(D14&gt;0,E14/D14,0)</f>
        <v>1.84615384615385</v>
      </c>
      <c r="G14" s="91" t="n">
        <f aca="false">E14*12</f>
        <v>14400</v>
      </c>
      <c r="H14" s="87" t="s">
        <v>268</v>
      </c>
      <c r="I14" s="87" t="s">
        <v>269</v>
      </c>
      <c r="J14" s="89" t="n">
        <v>1275</v>
      </c>
    </row>
    <row r="15" customFormat="false" ht="15" hidden="false" customHeight="true" outlineLevel="0" collapsed="false">
      <c r="A15" s="2"/>
      <c r="B15" s="92" t="s">
        <v>280</v>
      </c>
      <c r="C15" s="93" t="s">
        <v>276</v>
      </c>
      <c r="D15" s="94" t="n">
        <v>650</v>
      </c>
      <c r="E15" s="95" t="n">
        <v>1200</v>
      </c>
      <c r="F15" s="96" t="n">
        <f aca="false">IF(D15&gt;0,E15/D15,0)</f>
        <v>1.84615384615385</v>
      </c>
      <c r="G15" s="97" t="n">
        <f aca="false">E15*12</f>
        <v>14400</v>
      </c>
      <c r="H15" s="93" t="s">
        <v>274</v>
      </c>
      <c r="I15" s="93" t="s">
        <v>269</v>
      </c>
      <c r="J15" s="95" t="n">
        <v>1275</v>
      </c>
    </row>
    <row r="16" customFormat="false" ht="15" hidden="false" customHeight="true" outlineLevel="0" collapsed="false">
      <c r="A16" s="65"/>
      <c r="B16" s="86" t="s">
        <v>281</v>
      </c>
      <c r="C16" s="87" t="s">
        <v>282</v>
      </c>
      <c r="D16" s="88" t="n">
        <v>900</v>
      </c>
      <c r="E16" s="89" t="n">
        <v>1500</v>
      </c>
      <c r="F16" s="90" t="n">
        <f aca="false">IF(D16&gt;0,E16/D16,0)</f>
        <v>1.66666666666667</v>
      </c>
      <c r="G16" s="91" t="n">
        <f aca="false">E16*12</f>
        <v>18000</v>
      </c>
      <c r="H16" s="87" t="s">
        <v>268</v>
      </c>
      <c r="I16" s="87" t="s">
        <v>269</v>
      </c>
      <c r="J16" s="89" t="n">
        <v>1600</v>
      </c>
    </row>
    <row r="17" customFormat="false" ht="15" hidden="false" customHeight="true" outlineLevel="0" collapsed="false">
      <c r="A17" s="2"/>
      <c r="B17" s="92" t="s">
        <v>283</v>
      </c>
      <c r="C17" s="93" t="s">
        <v>282</v>
      </c>
      <c r="D17" s="94" t="n">
        <v>900</v>
      </c>
      <c r="E17" s="95" t="n">
        <v>1500</v>
      </c>
      <c r="F17" s="96" t="n">
        <f aca="false">IF(D17&gt;0,E17/D17,0)</f>
        <v>1.66666666666667</v>
      </c>
      <c r="G17" s="97" t="n">
        <f aca="false">E17*12</f>
        <v>18000</v>
      </c>
      <c r="H17" s="93" t="s">
        <v>268</v>
      </c>
      <c r="I17" s="93" t="s">
        <v>269</v>
      </c>
      <c r="J17" s="95" t="n">
        <v>1600</v>
      </c>
    </row>
    <row r="18" customFormat="false" ht="15" hidden="false" customHeight="true" outlineLevel="0" collapsed="false">
      <c r="A18" s="65"/>
      <c r="B18" s="86" t="s">
        <v>284</v>
      </c>
      <c r="C18" s="87" t="s">
        <v>282</v>
      </c>
      <c r="D18" s="88" t="n">
        <v>900</v>
      </c>
      <c r="E18" s="89" t="n">
        <v>1500</v>
      </c>
      <c r="F18" s="90" t="n">
        <f aca="false">IF(D18&gt;0,E18/D18,0)</f>
        <v>1.66666666666667</v>
      </c>
      <c r="G18" s="91" t="n">
        <f aca="false">E18*12</f>
        <v>18000</v>
      </c>
      <c r="H18" s="87" t="s">
        <v>268</v>
      </c>
      <c r="I18" s="87" t="s">
        <v>269</v>
      </c>
      <c r="J18" s="89" t="n">
        <v>1600</v>
      </c>
    </row>
    <row r="19" customFormat="false" ht="15" hidden="false" customHeight="true" outlineLevel="0" collapsed="false">
      <c r="A19" s="2"/>
      <c r="B19" s="92" t="s">
        <v>285</v>
      </c>
      <c r="C19" s="93" t="s">
        <v>282</v>
      </c>
      <c r="D19" s="94" t="n">
        <v>900</v>
      </c>
      <c r="E19" s="95" t="n">
        <v>1500</v>
      </c>
      <c r="F19" s="96" t="n">
        <f aca="false">IF(D19&gt;0,E19/D19,0)</f>
        <v>1.66666666666667</v>
      </c>
      <c r="G19" s="97" t="n">
        <f aca="false">E19*12</f>
        <v>18000</v>
      </c>
      <c r="H19" s="93" t="s">
        <v>268</v>
      </c>
      <c r="I19" s="93" t="s">
        <v>269</v>
      </c>
      <c r="J19" s="95" t="n">
        <v>1600</v>
      </c>
    </row>
    <row r="20" customFormat="false" ht="15" hidden="false" customHeight="true" outlineLevel="0" collapsed="false">
      <c r="A20" s="65"/>
      <c r="B20" s="86" t="s">
        <v>286</v>
      </c>
      <c r="C20" s="87" t="s">
        <v>282</v>
      </c>
      <c r="D20" s="88" t="n">
        <v>900</v>
      </c>
      <c r="E20" s="89" t="n">
        <v>1500</v>
      </c>
      <c r="F20" s="90" t="n">
        <f aca="false">IF(D20&gt;0,E20/D20,0)</f>
        <v>1.66666666666667</v>
      </c>
      <c r="G20" s="91" t="n">
        <f aca="false">E20*12</f>
        <v>18000</v>
      </c>
      <c r="H20" s="87" t="s">
        <v>274</v>
      </c>
      <c r="I20" s="87" t="s">
        <v>269</v>
      </c>
      <c r="J20" s="89" t="n">
        <v>1600</v>
      </c>
    </row>
    <row r="21" customFormat="false" ht="15" hidden="false" customHeight="true" outlineLevel="0" collapsed="false">
      <c r="A21" s="2"/>
      <c r="B21" s="92" t="s">
        <v>287</v>
      </c>
      <c r="C21" s="93" t="s">
        <v>288</v>
      </c>
      <c r="D21" s="94" t="n">
        <v>1100</v>
      </c>
      <c r="E21" s="95" t="n">
        <v>1800</v>
      </c>
      <c r="F21" s="96" t="n">
        <f aca="false">IF(D21&gt;0,E21/D21,0)</f>
        <v>1.63636363636364</v>
      </c>
      <c r="G21" s="97" t="n">
        <f aca="false">E21*12</f>
        <v>21600</v>
      </c>
      <c r="H21" s="93" t="s">
        <v>268</v>
      </c>
      <c r="I21" s="93" t="s">
        <v>269</v>
      </c>
      <c r="J21" s="95" t="n">
        <v>1900</v>
      </c>
    </row>
    <row r="22" customFormat="false" ht="15" hidden="false" customHeight="true" outlineLevel="0" collapsed="false">
      <c r="A22" s="65"/>
      <c r="B22" s="86" t="s">
        <v>289</v>
      </c>
      <c r="C22" s="87" t="s">
        <v>288</v>
      </c>
      <c r="D22" s="88" t="n">
        <v>1100</v>
      </c>
      <c r="E22" s="89" t="n">
        <v>1800</v>
      </c>
      <c r="F22" s="90" t="n">
        <f aca="false">IF(D22&gt;0,E22/D22,0)</f>
        <v>1.63636363636364</v>
      </c>
      <c r="G22" s="91" t="n">
        <f aca="false">E22*12</f>
        <v>21600</v>
      </c>
      <c r="H22" s="87" t="s">
        <v>268</v>
      </c>
      <c r="I22" s="87" t="s">
        <v>269</v>
      </c>
      <c r="J22" s="89" t="n">
        <v>1900</v>
      </c>
    </row>
    <row r="23" customFormat="false" ht="15" hidden="false" customHeight="true" outlineLevel="0" collapsed="false">
      <c r="A23" s="2"/>
      <c r="B23" s="92" t="s">
        <v>290</v>
      </c>
      <c r="C23" s="93" t="s">
        <v>288</v>
      </c>
      <c r="D23" s="94" t="n">
        <v>1100</v>
      </c>
      <c r="E23" s="95" t="n">
        <v>1800</v>
      </c>
      <c r="F23" s="96" t="n">
        <f aca="false">IF(D23&gt;0,E23/D23,0)</f>
        <v>1.63636363636364</v>
      </c>
      <c r="G23" s="97" t="n">
        <f aca="false">E23*12</f>
        <v>21600</v>
      </c>
      <c r="H23" s="93" t="s">
        <v>268</v>
      </c>
      <c r="I23" s="93" t="s">
        <v>269</v>
      </c>
      <c r="J23" s="95" t="n">
        <v>1900</v>
      </c>
    </row>
    <row r="24" customFormat="false" ht="15" hidden="false" customHeight="true" outlineLevel="0" collapsed="false">
      <c r="A24" s="65"/>
      <c r="B24" s="86" t="s">
        <v>291</v>
      </c>
      <c r="C24" s="87" t="s">
        <v>288</v>
      </c>
      <c r="D24" s="88" t="n">
        <v>1100</v>
      </c>
      <c r="E24" s="89" t="n">
        <v>1800</v>
      </c>
      <c r="F24" s="90" t="n">
        <f aca="false">IF(D24&gt;0,E24/D24,0)</f>
        <v>1.63636363636364</v>
      </c>
      <c r="G24" s="91" t="n">
        <f aca="false">E24*12</f>
        <v>21600</v>
      </c>
      <c r="H24" s="87" t="s">
        <v>268</v>
      </c>
      <c r="I24" s="87" t="s">
        <v>269</v>
      </c>
      <c r="J24" s="89" t="n">
        <v>1900</v>
      </c>
    </row>
    <row r="25" customFormat="false" ht="15" hidden="false" customHeight="true" outlineLevel="0" collapsed="false">
      <c r="A25" s="2"/>
      <c r="B25" s="92" t="s">
        <v>292</v>
      </c>
      <c r="C25" s="93" t="s">
        <v>288</v>
      </c>
      <c r="D25" s="94" t="n">
        <v>1100</v>
      </c>
      <c r="E25" s="95" t="n">
        <v>1800</v>
      </c>
      <c r="F25" s="96" t="n">
        <f aca="false">IF(D25&gt;0,E25/D25,0)</f>
        <v>1.63636363636364</v>
      </c>
      <c r="G25" s="97" t="n">
        <f aca="false">E25*12</f>
        <v>21600</v>
      </c>
      <c r="H25" s="93" t="s">
        <v>274</v>
      </c>
      <c r="I25" s="93" t="s">
        <v>269</v>
      </c>
      <c r="J25" s="95" t="n">
        <v>1900</v>
      </c>
    </row>
    <row r="26" customFormat="false" ht="1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true" outlineLevel="0" collapsed="false">
      <c r="A27" s="78"/>
      <c r="B27" s="98" t="s">
        <v>293</v>
      </c>
      <c r="C27" s="99" t="n">
        <f aca="false">COUNTA(C6:C25)</f>
        <v>20</v>
      </c>
      <c r="D27" s="100" t="n">
        <f aca="false">SUM(D6:D25)</f>
        <v>15500</v>
      </c>
      <c r="E27" s="79" t="n">
        <f aca="false">SUM(E6:E25)</f>
        <v>27250</v>
      </c>
      <c r="F27" s="101" t="n">
        <f aca="false">IF(D27&gt;0,E27/D27,0)</f>
        <v>1.75806451612903</v>
      </c>
      <c r="G27" s="79" t="n">
        <f aca="false">SUM(G6:G25)</f>
        <v>327000</v>
      </c>
      <c r="H27" s="98" t="str">
        <f aca="false">COUNTIF(H6:H25,"Occupied")&amp;"/"&amp;COUNTA(H6:H25)</f>
        <v>16/20</v>
      </c>
      <c r="I27" s="78"/>
      <c r="J27" s="79" t="n">
        <f aca="false">SUM(J6:J25)</f>
        <v>28875</v>
      </c>
    </row>
    <row r="28" customFormat="false" ht="1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5" hidden="false" customHeight="true" outlineLevel="0" collapsed="false">
      <c r="A29" s="2"/>
      <c r="B29" s="102" t="s">
        <v>294</v>
      </c>
      <c r="C29" s="2"/>
      <c r="D29" s="2"/>
      <c r="E29" s="103" t="n">
        <f aca="false">G27</f>
        <v>327000</v>
      </c>
      <c r="F29" s="2"/>
      <c r="G29" s="2"/>
      <c r="H29" s="2"/>
      <c r="I29" s="2"/>
      <c r="J29" s="2"/>
    </row>
    <row r="30" customFormat="false" ht="15" hidden="false" customHeight="true" outlineLevel="0" collapsed="false">
      <c r="A30" s="2"/>
      <c r="B30" s="102" t="s">
        <v>295</v>
      </c>
      <c r="C30" s="2"/>
      <c r="D30" s="2"/>
      <c r="E30" s="104" t="n">
        <f aca="false">IF(COUNTA(H6:H25)&gt;0,COUNTIF(H6:H25,"Occupied")/COUNTA(H6:H25),0)</f>
        <v>0.8</v>
      </c>
      <c r="F30" s="2"/>
      <c r="G30" s="2"/>
      <c r="H30" s="2"/>
      <c r="I30" s="2"/>
      <c r="J30" s="2"/>
    </row>
    <row r="31" customFormat="false" ht="15" hidden="false" customHeight="true" outlineLevel="0" collapsed="false">
      <c r="A31" s="2"/>
      <c r="B31" s="102" t="s">
        <v>296</v>
      </c>
      <c r="C31" s="2"/>
      <c r="D31" s="2"/>
      <c r="E31" s="103" t="n">
        <f aca="false">IF(C27&gt;0,E27/C27,0)</f>
        <v>1362.5</v>
      </c>
      <c r="F31" s="2"/>
      <c r="G31" s="2"/>
      <c r="H31" s="2"/>
      <c r="I31" s="2"/>
      <c r="J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25.5" hidden="false" customHeight="true" outlineLevel="0" collapsed="false">
      <c r="A33" s="25" t="s">
        <v>297</v>
      </c>
      <c r="B33" s="25"/>
      <c r="C33" s="25"/>
      <c r="D33" s="25"/>
      <c r="E33" s="25"/>
      <c r="F33" s="25"/>
      <c r="G33" s="25"/>
      <c r="H33" s="25"/>
      <c r="I33" s="25"/>
      <c r="J33" s="25"/>
    </row>
    <row r="34" customFormat="false" ht="15" hidden="false" customHeight="true" outlineLevel="0" collapsed="false">
      <c r="A34" s="63"/>
      <c r="B34" s="63" t="s">
        <v>298</v>
      </c>
      <c r="C34" s="63" t="s">
        <v>299</v>
      </c>
      <c r="D34" s="63" t="s">
        <v>259</v>
      </c>
      <c r="E34" s="63" t="s">
        <v>300</v>
      </c>
      <c r="F34" s="63" t="s">
        <v>262</v>
      </c>
      <c r="G34" s="63" t="s">
        <v>301</v>
      </c>
      <c r="H34" s="63" t="s">
        <v>302</v>
      </c>
      <c r="I34" s="63" t="s">
        <v>303</v>
      </c>
      <c r="J34" s="63" t="s">
        <v>304</v>
      </c>
    </row>
    <row r="35" customFormat="false" ht="15" hidden="false" customHeight="true" outlineLevel="0" collapsed="false">
      <c r="A35" s="2"/>
      <c r="B35" s="93"/>
      <c r="C35" s="93"/>
      <c r="D35" s="94" t="n">
        <v>0</v>
      </c>
      <c r="E35" s="105" t="n">
        <v>0</v>
      </c>
      <c r="F35" s="97" t="n">
        <f aca="false">D35*E35</f>
        <v>0</v>
      </c>
      <c r="G35" s="93"/>
      <c r="H35" s="93"/>
      <c r="I35" s="93"/>
      <c r="J35" s="105" t="n">
        <v>0</v>
      </c>
    </row>
    <row r="36" customFormat="false" ht="15" hidden="false" customHeight="true" outlineLevel="0" collapsed="false">
      <c r="A36" s="65"/>
      <c r="B36" s="87"/>
      <c r="C36" s="87"/>
      <c r="D36" s="88" t="n">
        <v>0</v>
      </c>
      <c r="E36" s="106" t="n">
        <v>0</v>
      </c>
      <c r="F36" s="91" t="n">
        <f aca="false">D36*E36</f>
        <v>0</v>
      </c>
      <c r="G36" s="87"/>
      <c r="H36" s="87"/>
      <c r="I36" s="87"/>
      <c r="J36" s="106" t="n">
        <v>0</v>
      </c>
    </row>
    <row r="37" customFormat="false" ht="15" hidden="false" customHeight="true" outlineLevel="0" collapsed="false">
      <c r="A37" s="2"/>
      <c r="B37" s="93"/>
      <c r="C37" s="93"/>
      <c r="D37" s="94" t="n">
        <v>0</v>
      </c>
      <c r="E37" s="105" t="n">
        <v>0</v>
      </c>
      <c r="F37" s="97" t="n">
        <f aca="false">D37*E37</f>
        <v>0</v>
      </c>
      <c r="G37" s="93"/>
      <c r="H37" s="93"/>
      <c r="I37" s="93"/>
      <c r="J37" s="105" t="n">
        <v>0</v>
      </c>
    </row>
    <row r="38" customFormat="false" ht="15" hidden="false" customHeight="true" outlineLevel="0" collapsed="false">
      <c r="A38" s="65"/>
      <c r="B38" s="87"/>
      <c r="C38" s="87"/>
      <c r="D38" s="88" t="n">
        <v>0</v>
      </c>
      <c r="E38" s="106" t="n">
        <v>0</v>
      </c>
      <c r="F38" s="91" t="n">
        <f aca="false">D38*E38</f>
        <v>0</v>
      </c>
      <c r="G38" s="87"/>
      <c r="H38" s="87"/>
      <c r="I38" s="87"/>
      <c r="J38" s="106" t="n">
        <v>0</v>
      </c>
    </row>
    <row r="39" customFormat="false" ht="15" hidden="false" customHeight="true" outlineLevel="0" collapsed="false">
      <c r="A39" s="2"/>
      <c r="B39" s="93"/>
      <c r="C39" s="93"/>
      <c r="D39" s="94" t="n">
        <v>0</v>
      </c>
      <c r="E39" s="105" t="n">
        <v>0</v>
      </c>
      <c r="F39" s="97" t="n">
        <f aca="false">D39*E39</f>
        <v>0</v>
      </c>
      <c r="G39" s="93"/>
      <c r="H39" s="93"/>
      <c r="I39" s="93"/>
      <c r="J39" s="105" t="n">
        <v>0</v>
      </c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customFormat="false" ht="15" hidden="false" customHeight="true" outlineLevel="0" collapsed="false">
      <c r="A41" s="78"/>
      <c r="B41" s="98" t="s">
        <v>293</v>
      </c>
      <c r="C41" s="78"/>
      <c r="D41" s="100" t="n">
        <f aca="false">SUM(D35:D39)</f>
        <v>0</v>
      </c>
      <c r="E41" s="101" t="n">
        <f aca="false">IF(D41&gt;0,F41/D41,0)</f>
        <v>0</v>
      </c>
      <c r="F41" s="79" t="n">
        <f aca="false">SUM(F35:F39)</f>
        <v>0</v>
      </c>
      <c r="G41" s="78"/>
      <c r="H41" s="78"/>
      <c r="I41" s="78"/>
      <c r="J41" s="78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customFormat="false" ht="15" hidden="false" customHeight="true" outlineLevel="0" collapsed="false">
      <c r="A43" s="2"/>
      <c r="B43" s="102" t="s">
        <v>305</v>
      </c>
      <c r="C43" s="2"/>
      <c r="D43" s="2"/>
      <c r="E43" s="103" t="n">
        <f aca="false">F41</f>
        <v>0</v>
      </c>
      <c r="F43" s="2"/>
      <c r="G43" s="2"/>
      <c r="H43" s="2"/>
      <c r="I43" s="2"/>
      <c r="J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5" hidden="false" customHeight="true" outlineLevel="0" collapsed="false">
      <c r="A45" s="107"/>
      <c r="B45" s="108" t="s">
        <v>306</v>
      </c>
      <c r="C45" s="107"/>
      <c r="D45" s="107"/>
      <c r="E45" s="109" t="n">
        <f aca="false">E29+E43</f>
        <v>327000</v>
      </c>
      <c r="F45" s="107"/>
      <c r="G45" s="107"/>
      <c r="H45" s="107"/>
      <c r="I45" s="107"/>
      <c r="J45" s="107"/>
    </row>
  </sheetData>
  <mergeCells count="4">
    <mergeCell ref="A1:J1"/>
    <mergeCell ref="A2:J2"/>
    <mergeCell ref="A4:J4"/>
    <mergeCell ref="A33:J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844"/>
    <pageSetUpPr fitToPage="false"/>
  </sheetPr>
  <dimension ref="A1:K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12" min="2" style="1" width="16"/>
  </cols>
  <sheetData>
    <row r="1" customFormat="false" ht="19.5" hidden="false" customHeight="true" outlineLevel="0" collapsed="false">
      <c r="A1" s="62" t="s">
        <v>307</v>
      </c>
      <c r="B1" s="62"/>
      <c r="C1" s="62"/>
      <c r="D1" s="62"/>
      <c r="E1" s="62"/>
      <c r="F1" s="62"/>
      <c r="G1" s="62"/>
      <c r="H1" s="62"/>
      <c r="I1" s="62"/>
      <c r="J1" s="62"/>
      <c r="K1" s="62"/>
    </row>
    <row r="2" customFormat="false" ht="15" hidden="false" customHeight="true" outlineLevel="0" collapsed="false">
      <c r="A2" s="20" t="s">
        <v>308</v>
      </c>
      <c r="B2" s="20"/>
      <c r="C2" s="20"/>
      <c r="D2" s="20"/>
      <c r="E2" s="20"/>
      <c r="F2" s="20"/>
      <c r="G2" s="20"/>
      <c r="H2" s="20"/>
      <c r="I2" s="20"/>
      <c r="J2" s="20"/>
      <c r="K2" s="20"/>
    </row>
    <row r="3" customFormat="false" ht="15" hidden="false" customHeight="true" outlineLevel="0" collapsed="false">
      <c r="A3" s="63"/>
      <c r="B3" s="63" t="s">
        <v>309</v>
      </c>
      <c r="C3" s="63" t="s">
        <v>310</v>
      </c>
      <c r="D3" s="63" t="s">
        <v>311</v>
      </c>
      <c r="E3" s="63" t="s">
        <v>312</v>
      </c>
      <c r="F3" s="63" t="s">
        <v>313</v>
      </c>
      <c r="G3" s="63" t="s">
        <v>314</v>
      </c>
      <c r="H3" s="63" t="s">
        <v>315</v>
      </c>
      <c r="I3" s="63" t="s">
        <v>316</v>
      </c>
      <c r="J3" s="63" t="s">
        <v>317</v>
      </c>
      <c r="K3" s="63" t="s">
        <v>318</v>
      </c>
    </row>
    <row r="4" customFormat="false" ht="15" hidden="false" customHeight="true" outlineLevel="0" collapsed="false">
      <c r="A4" s="110" t="s">
        <v>319</v>
      </c>
      <c r="B4" s="111" t="n">
        <f aca="false">IF(Assumptions!$C$172+Assumptions!$C$181=0,1,((12-MAX(0,MIN(Assumptions!$C$172,12)-MAX(0,0))-MAX(0,MIN(Assumptions!$C$172+Assumptions!$C$181,12)-MAX(Assumptions!$C$172,0)))+MAX(0,MIN(Assumptions!$C$172+Assumptions!$C$181,12)-MAX(Assumptions!$C$172,0))*(1-Assumptions!$C$182))/12)</f>
        <v>1</v>
      </c>
      <c r="C4" s="111" t="n">
        <f aca="false">IF(Assumptions!$C$172+Assumptions!$C$181=0,1,((12-MAX(0,MIN(Assumptions!$C$172,24)-MAX(0,12))-MAX(0,MIN(Assumptions!$C$172+Assumptions!$C$181,24)-MAX(Assumptions!$C$172,12)))+MAX(0,MIN(Assumptions!$C$172+Assumptions!$C$181,24)-MAX(Assumptions!$C$172,12))*(1-Assumptions!$C$182))/12)</f>
        <v>1</v>
      </c>
      <c r="D4" s="111" t="n">
        <f aca="false">IF(Assumptions!$C$172+Assumptions!$C$181=0,1,((12-MAX(0,MIN(Assumptions!$C$172,36)-MAX(0,24))-MAX(0,MIN(Assumptions!$C$172+Assumptions!$C$181,36)-MAX(Assumptions!$C$172,24)))+MAX(0,MIN(Assumptions!$C$172+Assumptions!$C$181,36)-MAX(Assumptions!$C$172,24))*(1-Assumptions!$C$182))/12)</f>
        <v>1</v>
      </c>
      <c r="E4" s="111" t="n">
        <f aca="false">IF(Assumptions!$C$172+Assumptions!$C$181=0,1,((12-MAX(0,MIN(Assumptions!$C$172,48)-MAX(0,36))-MAX(0,MIN(Assumptions!$C$172+Assumptions!$C$181,48)-MAX(Assumptions!$C$172,36)))+MAX(0,MIN(Assumptions!$C$172+Assumptions!$C$181,48)-MAX(Assumptions!$C$172,36))*(1-Assumptions!$C$182))/12)</f>
        <v>1</v>
      </c>
      <c r="F4" s="111" t="n">
        <f aca="false">IF(Assumptions!$C$172+Assumptions!$C$181=0,1,((12-MAX(0,MIN(Assumptions!$C$172,60)-MAX(0,48))-MAX(0,MIN(Assumptions!$C$172+Assumptions!$C$181,60)-MAX(Assumptions!$C$172,48)))+MAX(0,MIN(Assumptions!$C$172+Assumptions!$C$181,60)-MAX(Assumptions!$C$172,48))*(1-Assumptions!$C$182))/12)</f>
        <v>1</v>
      </c>
      <c r="G4" s="111" t="n">
        <f aca="false">IF(Assumptions!$C$172+Assumptions!$C$181=0,1,((12-MAX(0,MIN(Assumptions!$C$172,72)-MAX(0,60))-MAX(0,MIN(Assumptions!$C$172+Assumptions!$C$181,72)-MAX(Assumptions!$C$172,60)))+MAX(0,MIN(Assumptions!$C$172+Assumptions!$C$181,72)-MAX(Assumptions!$C$172,60))*(1-Assumptions!$C$182))/12)</f>
        <v>1</v>
      </c>
      <c r="H4" s="111" t="n">
        <f aca="false">IF(Assumptions!$C$172+Assumptions!$C$181=0,1,((12-MAX(0,MIN(Assumptions!$C$172,84)-MAX(0,72))-MAX(0,MIN(Assumptions!$C$172+Assumptions!$C$181,84)-MAX(Assumptions!$C$172,72)))+MAX(0,MIN(Assumptions!$C$172+Assumptions!$C$181,84)-MAX(Assumptions!$C$172,72))*(1-Assumptions!$C$182))/12)</f>
        <v>1</v>
      </c>
      <c r="I4" s="111" t="n">
        <f aca="false">IF(Assumptions!$C$172+Assumptions!$C$181=0,1,((12-MAX(0,MIN(Assumptions!$C$172,96)-MAX(0,84))-MAX(0,MIN(Assumptions!$C$172+Assumptions!$C$181,96)-MAX(Assumptions!$C$172,84)))+MAX(0,MIN(Assumptions!$C$172+Assumptions!$C$181,96)-MAX(Assumptions!$C$172,84))*(1-Assumptions!$C$182))/12)</f>
        <v>1</v>
      </c>
      <c r="J4" s="111" t="n">
        <f aca="false">IF(Assumptions!$C$172+Assumptions!$C$181=0,1,((12-MAX(0,MIN(Assumptions!$C$172,108)-MAX(0,96))-MAX(0,MIN(Assumptions!$C$172+Assumptions!$C$181,108)-MAX(Assumptions!$C$172,96)))+MAX(0,MIN(Assumptions!$C$172+Assumptions!$C$181,108)-MAX(Assumptions!$C$172,96))*(1-Assumptions!$C$182))/12)</f>
        <v>1</v>
      </c>
      <c r="K4" s="111" t="n">
        <f aca="false">IF(Assumptions!$C$172+Assumptions!$C$181=0,1,((12-MAX(0,MIN(Assumptions!$C$172,120)-MAX(0,108))-MAX(0,MIN(Assumptions!$C$172+Assumptions!$C$181,120)-MAX(Assumptions!$C$172,108)))+MAX(0,MIN(Assumptions!$C$172+Assumptions!$C$181,120)-MAX(Assumptions!$C$172,108))*(1-Assumptions!$C$182))/12)</f>
        <v>1</v>
      </c>
    </row>
    <row r="5" customFormat="false" ht="15" hidden="false" customHeight="true" outlineLevel="0" collapsed="false">
      <c r="A5" s="112" t="s">
        <v>320</v>
      </c>
    </row>
    <row r="6" customFormat="false" ht="15" hidden="false" customHeight="true" outlineLevel="0" collapsed="false">
      <c r="A6" s="7" t="s">
        <v>321</v>
      </c>
      <c r="B6" s="66" t="n">
        <f aca="false">'Rent Roll'!E45</f>
        <v>327000</v>
      </c>
      <c r="C6" s="35" t="n">
        <f aca="false">B6*(1+Assumptions!$C$135)</f>
        <v>336810</v>
      </c>
      <c r="D6" s="35" t="n">
        <f aca="false">C6*(1+Assumptions!$C$135)</f>
        <v>346914.3</v>
      </c>
      <c r="E6" s="35" t="n">
        <f aca="false">D6*(1+Assumptions!$C$135)</f>
        <v>357321.729</v>
      </c>
      <c r="F6" s="35" t="n">
        <f aca="false">E6*(1+Assumptions!$C$135)</f>
        <v>368041.38087</v>
      </c>
      <c r="G6" s="35" t="n">
        <f aca="false">F6*(1+Assumptions!$C$135)</f>
        <v>379082.6222961</v>
      </c>
      <c r="H6" s="35" t="n">
        <f aca="false">G6*(1+Assumptions!$C$135)</f>
        <v>390455.100964983</v>
      </c>
      <c r="I6" s="35" t="n">
        <f aca="false">H6*(1+Assumptions!$C$135)</f>
        <v>402168.753993933</v>
      </c>
      <c r="J6" s="35" t="n">
        <f aca="false">I6*(1+Assumptions!$C$135)</f>
        <v>414233.816613751</v>
      </c>
      <c r="K6" s="35" t="n">
        <f aca="false">J6*(1+Assumptions!$C$135)</f>
        <v>426660.831112163</v>
      </c>
    </row>
    <row r="7" customFormat="false" ht="15" hidden="false" customHeight="true" outlineLevel="0" collapsed="false">
      <c r="A7" s="7" t="s">
        <v>322</v>
      </c>
      <c r="B7" s="35" t="n">
        <f aca="false">-B6*Assumptions!$C$137</f>
        <v>-9810</v>
      </c>
      <c r="C7" s="35" t="n">
        <f aca="false">-C6*Assumptions!$C$137</f>
        <v>-10104.3</v>
      </c>
      <c r="D7" s="35" t="n">
        <f aca="false">-D6*Assumptions!$C$137</f>
        <v>-10407.429</v>
      </c>
      <c r="E7" s="35" t="n">
        <f aca="false">-E6*Assumptions!$C$137</f>
        <v>-10719.65187</v>
      </c>
      <c r="F7" s="35" t="n">
        <f aca="false">-F6*Assumptions!$C$137</f>
        <v>-11041.2414261</v>
      </c>
      <c r="G7" s="35" t="n">
        <f aca="false">-G6*Assumptions!$C$137</f>
        <v>-11372.478668883</v>
      </c>
      <c r="H7" s="35" t="n">
        <f aca="false">-H6*Assumptions!$C$137</f>
        <v>-11713.6530289495</v>
      </c>
      <c r="I7" s="35" t="n">
        <f aca="false">-I6*Assumptions!$C$137</f>
        <v>-12065.062619818</v>
      </c>
      <c r="J7" s="35" t="n">
        <f aca="false">-J6*Assumptions!$C$137</f>
        <v>-12427.0144984125</v>
      </c>
      <c r="K7" s="35" t="n">
        <f aca="false">-K6*Assumptions!$C$137</f>
        <v>-12799.8249333649</v>
      </c>
    </row>
    <row r="8" customFormat="false" ht="15" hidden="false" customHeight="true" outlineLevel="0" collapsed="false">
      <c r="A8" s="113" t="s">
        <v>323</v>
      </c>
      <c r="B8" s="34" t="n">
        <f aca="false">B6+B7</f>
        <v>317190</v>
      </c>
      <c r="C8" s="34" t="n">
        <f aca="false">C6+C7</f>
        <v>326705.7</v>
      </c>
      <c r="D8" s="34" t="n">
        <f aca="false">D6+D7</f>
        <v>336506.871</v>
      </c>
      <c r="E8" s="34" t="n">
        <f aca="false">E6+E7</f>
        <v>346602.07713</v>
      </c>
      <c r="F8" s="34" t="n">
        <f aca="false">F6+F7</f>
        <v>357000.1394439</v>
      </c>
      <c r="G8" s="34" t="n">
        <f aca="false">G6+G7</f>
        <v>367710.143627217</v>
      </c>
      <c r="H8" s="34" t="n">
        <f aca="false">H6+H7</f>
        <v>378741.447936034</v>
      </c>
      <c r="I8" s="34" t="n">
        <f aca="false">I6+I7</f>
        <v>390103.691374115</v>
      </c>
      <c r="J8" s="34" t="n">
        <f aca="false">J6+J7</f>
        <v>401806.802115338</v>
      </c>
      <c r="K8" s="34" t="n">
        <f aca="false">K6+K7</f>
        <v>413861.006178798</v>
      </c>
    </row>
    <row r="9" customFormat="false" ht="15" hidden="false" customHeight="tru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customFormat="false" ht="15" hidden="false" customHeight="true" outlineLevel="0" collapsed="false">
      <c r="A10" s="7" t="s">
        <v>324</v>
      </c>
      <c r="B10" s="66" t="n">
        <f aca="false">Assumptions!C138</f>
        <v>0</v>
      </c>
      <c r="C10" s="35" t="n">
        <f aca="false">B10*(1+Assumptions!$C$135)</f>
        <v>0</v>
      </c>
      <c r="D10" s="35" t="n">
        <f aca="false">C10*(1+Assumptions!$C$135)</f>
        <v>0</v>
      </c>
      <c r="E10" s="35" t="n">
        <f aca="false">D10*(1+Assumptions!$C$135)</f>
        <v>0</v>
      </c>
      <c r="F10" s="35" t="n">
        <f aca="false">E10*(1+Assumptions!$C$135)</f>
        <v>0</v>
      </c>
      <c r="G10" s="35" t="n">
        <f aca="false">F10*(1+Assumptions!$C$135)</f>
        <v>0</v>
      </c>
      <c r="H10" s="35" t="n">
        <f aca="false">G10*(1+Assumptions!$C$135)</f>
        <v>0</v>
      </c>
      <c r="I10" s="35" t="n">
        <f aca="false">H10*(1+Assumptions!$C$135)</f>
        <v>0</v>
      </c>
      <c r="J10" s="35" t="n">
        <f aca="false">I10*(1+Assumptions!$C$135)</f>
        <v>0</v>
      </c>
      <c r="K10" s="35" t="n">
        <f aca="false">J10*(1+Assumptions!$C$135)</f>
        <v>0</v>
      </c>
    </row>
    <row r="11" customFormat="false" ht="15" hidden="false" customHeight="true" outlineLevel="0" collapsed="false">
      <c r="A11" s="7" t="s">
        <v>325</v>
      </c>
      <c r="B11" s="66" t="n">
        <f aca="false">Assumptions!C139</f>
        <v>6000</v>
      </c>
      <c r="C11" s="35" t="n">
        <f aca="false">B11*(1+Assumptions!$C$135)</f>
        <v>6180</v>
      </c>
      <c r="D11" s="35" t="n">
        <f aca="false">C11*(1+Assumptions!$C$135)</f>
        <v>6365.4</v>
      </c>
      <c r="E11" s="35" t="n">
        <f aca="false">D11*(1+Assumptions!$C$135)</f>
        <v>6556.362</v>
      </c>
      <c r="F11" s="35" t="n">
        <f aca="false">E11*(1+Assumptions!$C$135)</f>
        <v>6753.05286</v>
      </c>
      <c r="G11" s="35" t="n">
        <f aca="false">F11*(1+Assumptions!$C$135)</f>
        <v>6955.6444458</v>
      </c>
      <c r="H11" s="35" t="n">
        <f aca="false">G11*(1+Assumptions!$C$135)</f>
        <v>7164.313779174</v>
      </c>
      <c r="I11" s="35" t="n">
        <f aca="false">H11*(1+Assumptions!$C$135)</f>
        <v>7379.24319254922</v>
      </c>
      <c r="J11" s="35" t="n">
        <f aca="false">I11*(1+Assumptions!$C$135)</f>
        <v>7600.6204883257</v>
      </c>
      <c r="K11" s="35" t="n">
        <f aca="false">J11*(1+Assumptions!$C$135)</f>
        <v>7828.63910297547</v>
      </c>
    </row>
    <row r="12" customFormat="false" ht="15" hidden="false" customHeight="true" outlineLevel="0" collapsed="false">
      <c r="A12" s="113" t="s">
        <v>326</v>
      </c>
      <c r="B12" s="34" t="n">
        <f aca="false">B10+B11</f>
        <v>6000</v>
      </c>
      <c r="C12" s="34" t="n">
        <f aca="false">C10+C11</f>
        <v>6180</v>
      </c>
      <c r="D12" s="34" t="n">
        <f aca="false">D10+D11</f>
        <v>6365.4</v>
      </c>
      <c r="E12" s="34" t="n">
        <f aca="false">E10+E11</f>
        <v>6556.362</v>
      </c>
      <c r="F12" s="34" t="n">
        <f aca="false">F10+F11</f>
        <v>6753.05286</v>
      </c>
      <c r="G12" s="34" t="n">
        <f aca="false">G10+G11</f>
        <v>6955.6444458</v>
      </c>
      <c r="H12" s="34" t="n">
        <f aca="false">H10+H11</f>
        <v>7164.313779174</v>
      </c>
      <c r="I12" s="34" t="n">
        <f aca="false">I10+I11</f>
        <v>7379.24319254922</v>
      </c>
      <c r="J12" s="34" t="n">
        <f aca="false">J10+J11</f>
        <v>7600.6204883257</v>
      </c>
      <c r="K12" s="34" t="n">
        <f aca="false">K10+K11</f>
        <v>7828.63910297547</v>
      </c>
    </row>
    <row r="13" customFormat="false" ht="15" hidden="false" customHeight="tru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true" outlineLevel="0" collapsed="false">
      <c r="A14" s="102" t="s">
        <v>327</v>
      </c>
      <c r="B14" s="114" t="n">
        <f aca="false">B8+B12</f>
        <v>323190</v>
      </c>
      <c r="C14" s="114" t="n">
        <f aca="false">C8+C12</f>
        <v>332885.7</v>
      </c>
      <c r="D14" s="114" t="n">
        <f aca="false">D8+D12</f>
        <v>342872.271</v>
      </c>
      <c r="E14" s="114" t="n">
        <f aca="false">E8+E12</f>
        <v>353158.43913</v>
      </c>
      <c r="F14" s="114" t="n">
        <f aca="false">F8+F12</f>
        <v>363753.1923039</v>
      </c>
      <c r="G14" s="114" t="n">
        <f aca="false">G8+G12</f>
        <v>374665.788073017</v>
      </c>
      <c r="H14" s="114" t="n">
        <f aca="false">H8+H12</f>
        <v>385905.761715208</v>
      </c>
      <c r="I14" s="114" t="n">
        <f aca="false">I8+I12</f>
        <v>397482.934566664</v>
      </c>
      <c r="J14" s="114" t="n">
        <f aca="false">J8+J12</f>
        <v>409407.422603664</v>
      </c>
      <c r="K14" s="114" t="n">
        <f aca="false">K8+K12</f>
        <v>421689.645281774</v>
      </c>
    </row>
    <row r="15" customFormat="false" ht="15" hidden="false" customHeight="true" outlineLevel="0" collapsed="false">
      <c r="A15" s="7" t="s">
        <v>328</v>
      </c>
      <c r="B15" s="35" t="n">
        <f aca="false">-B14*Assumptions!$C$134</f>
        <v>-24239.25</v>
      </c>
      <c r="C15" s="35" t="n">
        <f aca="false">-C14*Assumptions!$C$134</f>
        <v>-24966.4275</v>
      </c>
      <c r="D15" s="35" t="n">
        <f aca="false">-D14*Assumptions!$C$134</f>
        <v>-25715.420325</v>
      </c>
      <c r="E15" s="35" t="n">
        <f aca="false">-E14*Assumptions!$C$134</f>
        <v>-26486.88293475</v>
      </c>
      <c r="F15" s="35" t="n">
        <f aca="false">-F14*Assumptions!$C$134</f>
        <v>-27281.4894227925</v>
      </c>
      <c r="G15" s="35" t="n">
        <f aca="false">-G14*Assumptions!$C$134</f>
        <v>-28099.9341054763</v>
      </c>
      <c r="H15" s="35" t="n">
        <f aca="false">-H14*Assumptions!$C$134</f>
        <v>-28942.9321286406</v>
      </c>
      <c r="I15" s="35" t="n">
        <f aca="false">-I14*Assumptions!$C$134</f>
        <v>-29811.2200924998</v>
      </c>
      <c r="J15" s="35" t="n">
        <f aca="false">-J14*Assumptions!$C$134</f>
        <v>-30705.5566952748</v>
      </c>
      <c r="K15" s="35" t="n">
        <f aca="false">-K14*Assumptions!$C$134</f>
        <v>-31626.723396133</v>
      </c>
    </row>
    <row r="16" customFormat="false" ht="15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customFormat="false" ht="15" hidden="false" customHeight="true" outlineLevel="0" collapsed="false">
      <c r="A17" s="108" t="s">
        <v>329</v>
      </c>
      <c r="B17" s="45" t="n">
        <f aca="false">(B14+B15)*B4</f>
        <v>298950.75</v>
      </c>
      <c r="C17" s="45" t="n">
        <f aca="false">(C14+C15)*C4</f>
        <v>307919.2725</v>
      </c>
      <c r="D17" s="45" t="n">
        <f aca="false">(D14+D15)*D4</f>
        <v>317156.850675</v>
      </c>
      <c r="E17" s="45" t="n">
        <f aca="false">(E14+E15)*E4</f>
        <v>326671.55619525</v>
      </c>
      <c r="F17" s="45" t="n">
        <f aca="false">(F14+F15)*F4</f>
        <v>336471.702881107</v>
      </c>
      <c r="G17" s="45" t="n">
        <f aca="false">(G14+G15)*G4</f>
        <v>346565.853967541</v>
      </c>
      <c r="H17" s="45" t="n">
        <f aca="false">(H14+H15)*H4</f>
        <v>356962.829586567</v>
      </c>
      <c r="I17" s="45" t="n">
        <f aca="false">(I14+I15)*I4</f>
        <v>367671.714474164</v>
      </c>
      <c r="J17" s="45" t="n">
        <f aca="false">(J14+J15)*J4</f>
        <v>378701.865908389</v>
      </c>
      <c r="K17" s="45" t="n">
        <f aca="false">(K14+K15)*K4</f>
        <v>390062.921885641</v>
      </c>
    </row>
    <row r="18" customFormat="false" ht="15" hidden="false" customHeight="true" outlineLevel="0" collapsed="false">
      <c r="A18" s="115"/>
      <c r="B18" s="115"/>
      <c r="C18" s="115"/>
      <c r="D18" s="115"/>
      <c r="E18" s="115"/>
      <c r="F18" s="115"/>
      <c r="G18" s="115"/>
      <c r="H18" s="115"/>
      <c r="I18" s="115"/>
      <c r="J18" s="115"/>
      <c r="K18" s="115"/>
    </row>
    <row r="19" customFormat="false" ht="15" hidden="false" customHeight="true" outlineLevel="0" collapsed="false">
      <c r="A19" s="112" t="s">
        <v>330</v>
      </c>
    </row>
    <row r="20" customFormat="false" ht="15" hidden="false" customHeight="true" outlineLevel="0" collapsed="false">
      <c r="A20" s="7" t="s">
        <v>331</v>
      </c>
      <c r="B20" s="66" t="n">
        <f aca="false">Assumptions!C142</f>
        <v>45000</v>
      </c>
      <c r="C20" s="35" t="n">
        <f aca="false">B20*(1+Assumptions!$C$136)</f>
        <v>46350</v>
      </c>
      <c r="D20" s="35" t="n">
        <f aca="false">C20*(1+Assumptions!$C$136)</f>
        <v>47740.5</v>
      </c>
      <c r="E20" s="35" t="n">
        <f aca="false">D20*(1+Assumptions!$C$136)</f>
        <v>49172.715</v>
      </c>
      <c r="F20" s="35" t="n">
        <f aca="false">E20*(1+Assumptions!$C$136)</f>
        <v>50647.89645</v>
      </c>
      <c r="G20" s="35" t="n">
        <f aca="false">F20*(1+Assumptions!$C$136)</f>
        <v>52167.3333435</v>
      </c>
      <c r="H20" s="35" t="n">
        <f aca="false">G20*(1+Assumptions!$C$136)</f>
        <v>53732.353343805</v>
      </c>
      <c r="I20" s="35" t="n">
        <f aca="false">H20*(1+Assumptions!$C$136)</f>
        <v>55344.3239441192</v>
      </c>
      <c r="J20" s="35" t="n">
        <f aca="false">I20*(1+Assumptions!$C$136)</f>
        <v>57004.6536624427</v>
      </c>
      <c r="K20" s="35" t="n">
        <f aca="false">J20*(1+Assumptions!$C$136)</f>
        <v>58714.793272316</v>
      </c>
    </row>
    <row r="21" customFormat="false" ht="15" hidden="false" customHeight="true" outlineLevel="0" collapsed="false">
      <c r="A21" s="7" t="s">
        <v>332</v>
      </c>
      <c r="B21" s="66" t="n">
        <f aca="false">Assumptions!C143</f>
        <v>18000</v>
      </c>
      <c r="C21" s="35" t="n">
        <f aca="false">B21*(1+Assumptions!$C$136)</f>
        <v>18540</v>
      </c>
      <c r="D21" s="35" t="n">
        <f aca="false">C21*(1+Assumptions!$C$136)</f>
        <v>19096.2</v>
      </c>
      <c r="E21" s="35" t="n">
        <f aca="false">D21*(1+Assumptions!$C$136)</f>
        <v>19669.086</v>
      </c>
      <c r="F21" s="35" t="n">
        <f aca="false">E21*(1+Assumptions!$C$136)</f>
        <v>20259.15858</v>
      </c>
      <c r="G21" s="35" t="n">
        <f aca="false">F21*(1+Assumptions!$C$136)</f>
        <v>20866.9333374</v>
      </c>
      <c r="H21" s="35" t="n">
        <f aca="false">G21*(1+Assumptions!$C$136)</f>
        <v>21492.941337522</v>
      </c>
      <c r="I21" s="35" t="n">
        <f aca="false">H21*(1+Assumptions!$C$136)</f>
        <v>22137.7295776477</v>
      </c>
      <c r="J21" s="35" t="n">
        <f aca="false">I21*(1+Assumptions!$C$136)</f>
        <v>22801.8614649771</v>
      </c>
      <c r="K21" s="35" t="n">
        <f aca="false">J21*(1+Assumptions!$C$136)</f>
        <v>23485.9173089264</v>
      </c>
    </row>
    <row r="22" customFormat="false" ht="15" hidden="false" customHeight="true" outlineLevel="0" collapsed="false">
      <c r="A22" s="7" t="s">
        <v>333</v>
      </c>
      <c r="B22" s="66" t="n">
        <f aca="false">Assumptions!C144</f>
        <v>12000</v>
      </c>
      <c r="C22" s="35" t="n">
        <f aca="false">B22*(1+Assumptions!$C$136)</f>
        <v>12360</v>
      </c>
      <c r="D22" s="35" t="n">
        <f aca="false">C22*(1+Assumptions!$C$136)</f>
        <v>12730.8</v>
      </c>
      <c r="E22" s="35" t="n">
        <f aca="false">D22*(1+Assumptions!$C$136)</f>
        <v>13112.724</v>
      </c>
      <c r="F22" s="35" t="n">
        <f aca="false">E22*(1+Assumptions!$C$136)</f>
        <v>13506.10572</v>
      </c>
      <c r="G22" s="35" t="n">
        <f aca="false">F22*(1+Assumptions!$C$136)</f>
        <v>13911.2888916</v>
      </c>
      <c r="H22" s="35" t="n">
        <f aca="false">G22*(1+Assumptions!$C$136)</f>
        <v>14328.627558348</v>
      </c>
      <c r="I22" s="35" t="n">
        <f aca="false">H22*(1+Assumptions!$C$136)</f>
        <v>14758.4863850984</v>
      </c>
      <c r="J22" s="35" t="n">
        <f aca="false">I22*(1+Assumptions!$C$136)</f>
        <v>15201.2409766514</v>
      </c>
      <c r="K22" s="35" t="n">
        <f aca="false">J22*(1+Assumptions!$C$136)</f>
        <v>15657.2782059509</v>
      </c>
    </row>
    <row r="23" customFormat="false" ht="15" hidden="false" customHeight="true" outlineLevel="0" collapsed="false">
      <c r="A23" s="7" t="s">
        <v>334</v>
      </c>
      <c r="B23" s="66" t="n">
        <f aca="false">Assumptions!C145</f>
        <v>14000</v>
      </c>
      <c r="C23" s="35" t="n">
        <f aca="false">B23*(1+Assumptions!$C$136)</f>
        <v>14420</v>
      </c>
      <c r="D23" s="35" t="n">
        <f aca="false">C23*(1+Assumptions!$C$136)</f>
        <v>14852.6</v>
      </c>
      <c r="E23" s="35" t="n">
        <f aca="false">D23*(1+Assumptions!$C$136)</f>
        <v>15298.178</v>
      </c>
      <c r="F23" s="35" t="n">
        <f aca="false">E23*(1+Assumptions!$C$136)</f>
        <v>15757.12334</v>
      </c>
      <c r="G23" s="35" t="n">
        <f aca="false">F23*(1+Assumptions!$C$136)</f>
        <v>16229.8370402</v>
      </c>
      <c r="H23" s="35" t="n">
        <f aca="false">G23*(1+Assumptions!$C$136)</f>
        <v>16716.732151406</v>
      </c>
      <c r="I23" s="35" t="n">
        <f aca="false">H23*(1+Assumptions!$C$136)</f>
        <v>17218.2341159482</v>
      </c>
      <c r="J23" s="35" t="n">
        <f aca="false">I23*(1+Assumptions!$C$136)</f>
        <v>17734.7811394266</v>
      </c>
      <c r="K23" s="35" t="n">
        <f aca="false">J23*(1+Assumptions!$C$136)</f>
        <v>18266.8245736094</v>
      </c>
    </row>
    <row r="24" customFormat="false" ht="15" hidden="false" customHeight="true" outlineLevel="0" collapsed="false">
      <c r="A24" s="7" t="s">
        <v>335</v>
      </c>
      <c r="B24" s="66" t="n">
        <f aca="false">Assumptions!C146</f>
        <v>10000</v>
      </c>
      <c r="C24" s="35" t="n">
        <f aca="false">B24*(1+Assumptions!$C$136)</f>
        <v>10300</v>
      </c>
      <c r="D24" s="35" t="n">
        <f aca="false">C24*(1+Assumptions!$C$136)</f>
        <v>10609</v>
      </c>
      <c r="E24" s="35" t="n">
        <f aca="false">D24*(1+Assumptions!$C$136)</f>
        <v>10927.27</v>
      </c>
      <c r="F24" s="35" t="n">
        <f aca="false">E24*(1+Assumptions!$C$136)</f>
        <v>11255.0881</v>
      </c>
      <c r="G24" s="35" t="n">
        <f aca="false">F24*(1+Assumptions!$C$136)</f>
        <v>11592.740743</v>
      </c>
      <c r="H24" s="35" t="n">
        <f aca="false">G24*(1+Assumptions!$C$136)</f>
        <v>11940.52296529</v>
      </c>
      <c r="I24" s="35" t="n">
        <f aca="false">H24*(1+Assumptions!$C$136)</f>
        <v>12298.7386542487</v>
      </c>
      <c r="J24" s="35" t="n">
        <f aca="false">I24*(1+Assumptions!$C$136)</f>
        <v>12667.7008138762</v>
      </c>
      <c r="K24" s="35" t="n">
        <f aca="false">J24*(1+Assumptions!$C$136)</f>
        <v>13047.7318382924</v>
      </c>
    </row>
    <row r="25" customFormat="false" ht="15" hidden="false" customHeight="true" outlineLevel="0" collapsed="false">
      <c r="A25" s="7" t="s">
        <v>336</v>
      </c>
      <c r="B25" s="66" t="n">
        <f aca="false">Assumptions!C147</f>
        <v>2500</v>
      </c>
      <c r="C25" s="35" t="n">
        <f aca="false">B25*(1+Assumptions!$C$136)</f>
        <v>2575</v>
      </c>
      <c r="D25" s="35" t="n">
        <f aca="false">C25*(1+Assumptions!$C$136)</f>
        <v>2652.25</v>
      </c>
      <c r="E25" s="35" t="n">
        <f aca="false">D25*(1+Assumptions!$C$136)</f>
        <v>2731.8175</v>
      </c>
      <c r="F25" s="35" t="n">
        <f aca="false">E25*(1+Assumptions!$C$136)</f>
        <v>2813.772025</v>
      </c>
      <c r="G25" s="35" t="n">
        <f aca="false">F25*(1+Assumptions!$C$136)</f>
        <v>2898.18518575</v>
      </c>
      <c r="H25" s="35" t="n">
        <f aca="false">G25*(1+Assumptions!$C$136)</f>
        <v>2985.1307413225</v>
      </c>
      <c r="I25" s="35" t="n">
        <f aca="false">H25*(1+Assumptions!$C$136)</f>
        <v>3074.68466356218</v>
      </c>
      <c r="J25" s="35" t="n">
        <f aca="false">I25*(1+Assumptions!$C$136)</f>
        <v>3166.92520346904</v>
      </c>
      <c r="K25" s="35" t="n">
        <f aca="false">J25*(1+Assumptions!$C$136)</f>
        <v>3261.93295957311</v>
      </c>
    </row>
    <row r="26" customFormat="false" ht="15" hidden="false" customHeight="true" outlineLevel="0" collapsed="false">
      <c r="A26" s="7" t="s">
        <v>337</v>
      </c>
      <c r="B26" s="66" t="n">
        <f aca="false">Assumptions!C148</f>
        <v>8000</v>
      </c>
      <c r="C26" s="35" t="n">
        <f aca="false">B26*(1+Assumptions!$C$136)</f>
        <v>8240</v>
      </c>
      <c r="D26" s="35" t="n">
        <f aca="false">C26*(1+Assumptions!$C$136)</f>
        <v>8487.2</v>
      </c>
      <c r="E26" s="35" t="n">
        <f aca="false">D26*(1+Assumptions!$C$136)</f>
        <v>8741.816</v>
      </c>
      <c r="F26" s="35" t="n">
        <f aca="false">E26*(1+Assumptions!$C$136)</f>
        <v>9004.07048</v>
      </c>
      <c r="G26" s="35" t="n">
        <f aca="false">F26*(1+Assumptions!$C$136)</f>
        <v>9274.1925944</v>
      </c>
      <c r="H26" s="35" t="n">
        <f aca="false">G26*(1+Assumptions!$C$136)</f>
        <v>9552.418372232</v>
      </c>
      <c r="I26" s="35" t="n">
        <f aca="false">H26*(1+Assumptions!$C$136)</f>
        <v>9838.99092339896</v>
      </c>
      <c r="J26" s="35" t="n">
        <f aca="false">I26*(1+Assumptions!$C$136)</f>
        <v>10134.1606511009</v>
      </c>
      <c r="K26" s="35" t="n">
        <f aca="false">J26*(1+Assumptions!$C$136)</f>
        <v>10438.185470634</v>
      </c>
    </row>
    <row r="27" customFormat="false" ht="15" hidden="false" customHeight="true" outlineLevel="0" collapsed="false">
      <c r="A27" s="113" t="s">
        <v>157</v>
      </c>
      <c r="B27" s="34" t="n">
        <f aca="false">B20+B21+B22+B23+B24+B25+B26</f>
        <v>109500</v>
      </c>
      <c r="C27" s="34" t="n">
        <f aca="false">C20+C21+C22+C23+C24+C25+C26</f>
        <v>112785</v>
      </c>
      <c r="D27" s="34" t="n">
        <f aca="false">D20+D21+D22+D23+D24+D25+D26</f>
        <v>116168.55</v>
      </c>
      <c r="E27" s="34" t="n">
        <f aca="false">E20+E21+E22+E23+E24+E25+E26</f>
        <v>119653.6065</v>
      </c>
      <c r="F27" s="34" t="n">
        <f aca="false">F20+F21+F22+F23+F24+F25+F26</f>
        <v>123243.214695</v>
      </c>
      <c r="G27" s="34" t="n">
        <f aca="false">G20+G21+G22+G23+G24+G25+G26</f>
        <v>126940.51113585</v>
      </c>
      <c r="H27" s="34" t="n">
        <f aca="false">H20+H21+H22+H23+H24+H25+H26</f>
        <v>130748.726469926</v>
      </c>
      <c r="I27" s="34" t="n">
        <f aca="false">I20+I21+I22+I23+I24+I25+I26</f>
        <v>134671.188264023</v>
      </c>
      <c r="J27" s="34" t="n">
        <f aca="false">J20+J21+J22+J23+J24+J25+J26</f>
        <v>138711.323911944</v>
      </c>
      <c r="K27" s="34" t="n">
        <f aca="false">K20+K21+K22+K23+K24+K25+K26</f>
        <v>142872.663629302</v>
      </c>
    </row>
    <row r="28" customFormat="false" ht="15" hidden="false" customHeight="true" outlineLevel="0" collapsed="false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</row>
    <row r="29" customFormat="false" ht="15" hidden="false" customHeight="true" outlineLevel="0" collapsed="false">
      <c r="A29" s="112" t="s">
        <v>338</v>
      </c>
    </row>
    <row r="30" customFormat="false" ht="15" hidden="false" customHeight="true" outlineLevel="0" collapsed="false">
      <c r="A30" s="7" t="s">
        <v>339</v>
      </c>
      <c r="B30" s="35" t="n">
        <f aca="false">B17*Assumptions!$C$152</f>
        <v>17937.045</v>
      </c>
      <c r="C30" s="35" t="n">
        <f aca="false">C17*Assumptions!$C$152</f>
        <v>18475.15635</v>
      </c>
      <c r="D30" s="35" t="n">
        <f aca="false">D17*Assumptions!$C$152</f>
        <v>19029.4110405</v>
      </c>
      <c r="E30" s="35" t="n">
        <f aca="false">E17*Assumptions!$C$152</f>
        <v>19600.293371715</v>
      </c>
      <c r="F30" s="35" t="n">
        <f aca="false">F17*Assumptions!$C$152</f>
        <v>20188.3021728664</v>
      </c>
      <c r="G30" s="35" t="n">
        <f aca="false">G17*Assumptions!$C$152</f>
        <v>20793.9512380524</v>
      </c>
      <c r="H30" s="35" t="n">
        <f aca="false">H17*Assumptions!$C$152</f>
        <v>21417.769775194</v>
      </c>
      <c r="I30" s="35" t="n">
        <f aca="false">I17*Assumptions!$C$152</f>
        <v>22060.3028684498</v>
      </c>
      <c r="J30" s="35" t="n">
        <f aca="false">J17*Assumptions!$C$152</f>
        <v>22722.1119545033</v>
      </c>
      <c r="K30" s="35" t="n">
        <f aca="false">K17*Assumptions!$C$152</f>
        <v>23403.7753131384</v>
      </c>
    </row>
    <row r="31" customFormat="false" ht="15" hidden="false" customHeight="true" outlineLevel="0" collapsed="false">
      <c r="A31" s="7" t="s">
        <v>340</v>
      </c>
      <c r="B31" s="66" t="n">
        <f aca="false">Assumptions!C153</f>
        <v>24000</v>
      </c>
      <c r="C31" s="35" t="n">
        <f aca="false">B31*(1+Assumptions!$C$136)</f>
        <v>24720</v>
      </c>
      <c r="D31" s="35" t="n">
        <f aca="false">C31*(1+Assumptions!$C$136)</f>
        <v>25461.6</v>
      </c>
      <c r="E31" s="35" t="n">
        <f aca="false">D31*(1+Assumptions!$C$136)</f>
        <v>26225.448</v>
      </c>
      <c r="F31" s="35" t="n">
        <f aca="false">E31*(1+Assumptions!$C$136)</f>
        <v>27012.21144</v>
      </c>
      <c r="G31" s="35" t="n">
        <f aca="false">F31*(1+Assumptions!$C$136)</f>
        <v>27822.5777832</v>
      </c>
      <c r="H31" s="35" t="n">
        <f aca="false">G31*(1+Assumptions!$C$136)</f>
        <v>28657.255116696</v>
      </c>
      <c r="I31" s="35" t="n">
        <f aca="false">H31*(1+Assumptions!$C$136)</f>
        <v>29516.9727701969</v>
      </c>
      <c r="J31" s="35" t="n">
        <f aca="false">I31*(1+Assumptions!$C$136)</f>
        <v>30402.4819533028</v>
      </c>
      <c r="K31" s="35" t="n">
        <f aca="false">J31*(1+Assumptions!$C$136)</f>
        <v>31314.5564119019</v>
      </c>
    </row>
    <row r="32" customFormat="false" ht="15" hidden="false" customHeight="true" outlineLevel="0" collapsed="false">
      <c r="A32" s="116" t="s">
        <v>341</v>
      </c>
      <c r="B32" s="2"/>
      <c r="C32" s="2"/>
      <c r="D32" s="2"/>
      <c r="E32" s="2"/>
      <c r="F32" s="2"/>
      <c r="G32" s="2"/>
      <c r="H32" s="2"/>
      <c r="I32" s="2"/>
      <c r="J32" s="2"/>
      <c r="K32" s="2"/>
    </row>
    <row r="33" customFormat="false" ht="15" hidden="false" customHeight="true" outlineLevel="0" collapsed="false">
      <c r="A33" s="7" t="s">
        <v>342</v>
      </c>
      <c r="B33" s="66" t="n">
        <f aca="false">Assumptions!C154</f>
        <v>8000</v>
      </c>
      <c r="C33" s="35" t="n">
        <f aca="false">B33*(1+Assumptions!$C$136)</f>
        <v>8240</v>
      </c>
      <c r="D33" s="35" t="n">
        <f aca="false">C33*(1+Assumptions!$C$136)</f>
        <v>8487.2</v>
      </c>
      <c r="E33" s="35" t="n">
        <f aca="false">D33*(1+Assumptions!$C$136)</f>
        <v>8741.816</v>
      </c>
      <c r="F33" s="35" t="n">
        <f aca="false">E33*(1+Assumptions!$C$136)</f>
        <v>9004.07048</v>
      </c>
      <c r="G33" s="35" t="n">
        <f aca="false">F33*(1+Assumptions!$C$136)</f>
        <v>9274.1925944</v>
      </c>
      <c r="H33" s="35" t="n">
        <f aca="false">G33*(1+Assumptions!$C$136)</f>
        <v>9552.418372232</v>
      </c>
      <c r="I33" s="35" t="n">
        <f aca="false">H33*(1+Assumptions!$C$136)</f>
        <v>9838.99092339896</v>
      </c>
      <c r="J33" s="35" t="n">
        <f aca="false">I33*(1+Assumptions!$C$136)</f>
        <v>10134.1606511009</v>
      </c>
      <c r="K33" s="35" t="n">
        <f aca="false">J33*(1+Assumptions!$C$136)</f>
        <v>10438.185470634</v>
      </c>
    </row>
    <row r="34" customFormat="false" ht="15" hidden="false" customHeight="true" outlineLevel="0" collapsed="false">
      <c r="A34" s="7" t="s">
        <v>343</v>
      </c>
      <c r="B34" s="66" t="n">
        <f aca="false">Assumptions!C155</f>
        <v>3600</v>
      </c>
      <c r="C34" s="35" t="n">
        <f aca="false">B34*(1+Assumptions!$C$136)</f>
        <v>3708</v>
      </c>
      <c r="D34" s="35" t="n">
        <f aca="false">C34*(1+Assumptions!$C$136)</f>
        <v>3819.24</v>
      </c>
      <c r="E34" s="35" t="n">
        <f aca="false">D34*(1+Assumptions!$C$136)</f>
        <v>3933.8172</v>
      </c>
      <c r="F34" s="35" t="n">
        <f aca="false">E34*(1+Assumptions!$C$136)</f>
        <v>4051.831716</v>
      </c>
      <c r="G34" s="35" t="n">
        <f aca="false">F34*(1+Assumptions!$C$136)</f>
        <v>4173.38666748</v>
      </c>
      <c r="H34" s="35" t="n">
        <f aca="false">G34*(1+Assumptions!$C$136)</f>
        <v>4298.5882675044</v>
      </c>
      <c r="I34" s="35" t="n">
        <f aca="false">H34*(1+Assumptions!$C$136)</f>
        <v>4427.54591552953</v>
      </c>
      <c r="J34" s="35" t="n">
        <f aca="false">I34*(1+Assumptions!$C$136)</f>
        <v>4560.37229299542</v>
      </c>
      <c r="K34" s="35" t="n">
        <f aca="false">J34*(1+Assumptions!$C$136)</f>
        <v>4697.18346178528</v>
      </c>
    </row>
    <row r="35" customFormat="false" ht="15" hidden="false" customHeight="true" outlineLevel="0" collapsed="false">
      <c r="A35" s="7" t="s">
        <v>344</v>
      </c>
      <c r="B35" s="66" t="n">
        <f aca="false">Assumptions!C156</f>
        <v>6000</v>
      </c>
      <c r="C35" s="35" t="n">
        <f aca="false">B35*(1+Assumptions!$C$136)</f>
        <v>6180</v>
      </c>
      <c r="D35" s="35" t="n">
        <f aca="false">C35*(1+Assumptions!$C$136)</f>
        <v>6365.4</v>
      </c>
      <c r="E35" s="35" t="n">
        <f aca="false">D35*(1+Assumptions!$C$136)</f>
        <v>6556.362</v>
      </c>
      <c r="F35" s="35" t="n">
        <f aca="false">E35*(1+Assumptions!$C$136)</f>
        <v>6753.05286</v>
      </c>
      <c r="G35" s="35" t="n">
        <f aca="false">F35*(1+Assumptions!$C$136)</f>
        <v>6955.6444458</v>
      </c>
      <c r="H35" s="35" t="n">
        <f aca="false">G35*(1+Assumptions!$C$136)</f>
        <v>7164.313779174</v>
      </c>
      <c r="I35" s="35" t="n">
        <f aca="false">H35*(1+Assumptions!$C$136)</f>
        <v>7379.24319254922</v>
      </c>
      <c r="J35" s="35" t="n">
        <f aca="false">I35*(1+Assumptions!$C$136)</f>
        <v>7600.6204883257</v>
      </c>
      <c r="K35" s="35" t="n">
        <f aca="false">J35*(1+Assumptions!$C$136)</f>
        <v>7828.63910297547</v>
      </c>
    </row>
    <row r="36" customFormat="false" ht="15" hidden="false" customHeight="true" outlineLevel="0" collapsed="false">
      <c r="A36" s="7" t="s">
        <v>345</v>
      </c>
      <c r="B36" s="66" t="n">
        <f aca="false">Assumptions!C157</f>
        <v>5000</v>
      </c>
      <c r="C36" s="35" t="n">
        <f aca="false">B36*(1+Assumptions!$C$136)</f>
        <v>5150</v>
      </c>
      <c r="D36" s="35" t="n">
        <f aca="false">C36*(1+Assumptions!$C$136)</f>
        <v>5304.5</v>
      </c>
      <c r="E36" s="35" t="n">
        <f aca="false">D36*(1+Assumptions!$C$136)</f>
        <v>5463.635</v>
      </c>
      <c r="F36" s="35" t="n">
        <f aca="false">E36*(1+Assumptions!$C$136)</f>
        <v>5627.54405</v>
      </c>
      <c r="G36" s="35" t="n">
        <f aca="false">F36*(1+Assumptions!$C$136)</f>
        <v>5796.3703715</v>
      </c>
      <c r="H36" s="35" t="n">
        <f aca="false">G36*(1+Assumptions!$C$136)</f>
        <v>5970.261482645</v>
      </c>
      <c r="I36" s="35" t="n">
        <f aca="false">H36*(1+Assumptions!$C$136)</f>
        <v>6149.36932712435</v>
      </c>
      <c r="J36" s="35" t="n">
        <f aca="false">I36*(1+Assumptions!$C$136)</f>
        <v>6333.85040693808</v>
      </c>
      <c r="K36" s="35" t="n">
        <f aca="false">J36*(1+Assumptions!$C$136)</f>
        <v>6523.86591914622</v>
      </c>
    </row>
    <row r="37" customFormat="false" ht="15" hidden="false" customHeight="true" outlineLevel="0" collapsed="false">
      <c r="A37" s="7" t="s">
        <v>346</v>
      </c>
      <c r="B37" s="66" t="n">
        <f aca="false">Assumptions!C158</f>
        <v>4000</v>
      </c>
      <c r="C37" s="35" t="n">
        <f aca="false">B37*(1+Assumptions!$C$136)</f>
        <v>4120</v>
      </c>
      <c r="D37" s="35" t="n">
        <f aca="false">C37*(1+Assumptions!$C$136)</f>
        <v>4243.6</v>
      </c>
      <c r="E37" s="35" t="n">
        <f aca="false">D37*(1+Assumptions!$C$136)</f>
        <v>4370.908</v>
      </c>
      <c r="F37" s="35" t="n">
        <f aca="false">E37*(1+Assumptions!$C$136)</f>
        <v>4502.03524</v>
      </c>
      <c r="G37" s="35" t="n">
        <f aca="false">F37*(1+Assumptions!$C$136)</f>
        <v>4637.0962972</v>
      </c>
      <c r="H37" s="35" t="n">
        <f aca="false">G37*(1+Assumptions!$C$136)</f>
        <v>4776.209186116</v>
      </c>
      <c r="I37" s="35" t="n">
        <f aca="false">H37*(1+Assumptions!$C$136)</f>
        <v>4919.49546169948</v>
      </c>
      <c r="J37" s="35" t="n">
        <f aca="false">I37*(1+Assumptions!$C$136)</f>
        <v>5067.08032555047</v>
      </c>
      <c r="K37" s="35" t="n">
        <f aca="false">J37*(1+Assumptions!$C$136)</f>
        <v>5219.09273531698</v>
      </c>
    </row>
    <row r="38" customFormat="false" ht="15" hidden="false" customHeight="true" outlineLevel="0" collapsed="false">
      <c r="A38" s="7" t="s">
        <v>347</v>
      </c>
      <c r="B38" s="66" t="n">
        <f aca="false">Assumptions!C159</f>
        <v>6000</v>
      </c>
      <c r="C38" s="35" t="n">
        <f aca="false">B38*(1+Assumptions!$C$136)</f>
        <v>6180</v>
      </c>
      <c r="D38" s="35" t="n">
        <f aca="false">C38*(1+Assumptions!$C$136)</f>
        <v>6365.4</v>
      </c>
      <c r="E38" s="35" t="n">
        <f aca="false">D38*(1+Assumptions!$C$136)</f>
        <v>6556.362</v>
      </c>
      <c r="F38" s="35" t="n">
        <f aca="false">E38*(1+Assumptions!$C$136)</f>
        <v>6753.05286</v>
      </c>
      <c r="G38" s="35" t="n">
        <f aca="false">F38*(1+Assumptions!$C$136)</f>
        <v>6955.6444458</v>
      </c>
      <c r="H38" s="35" t="n">
        <f aca="false">G38*(1+Assumptions!$C$136)</f>
        <v>7164.313779174</v>
      </c>
      <c r="I38" s="35" t="n">
        <f aca="false">H38*(1+Assumptions!$C$136)</f>
        <v>7379.24319254922</v>
      </c>
      <c r="J38" s="35" t="n">
        <f aca="false">I38*(1+Assumptions!$C$136)</f>
        <v>7600.6204883257</v>
      </c>
      <c r="K38" s="35" t="n">
        <f aca="false">J38*(1+Assumptions!$C$136)</f>
        <v>7828.63910297547</v>
      </c>
    </row>
    <row r="39" customFormat="false" ht="15" hidden="false" customHeight="true" outlineLevel="0" collapsed="false">
      <c r="A39" s="116" t="s">
        <v>348</v>
      </c>
      <c r="B39" s="2"/>
      <c r="C39" s="2"/>
      <c r="D39" s="2"/>
      <c r="E39" s="2"/>
      <c r="F39" s="2"/>
      <c r="G39" s="2"/>
      <c r="H39" s="2"/>
      <c r="I39" s="2"/>
      <c r="J39" s="2"/>
      <c r="K39" s="2"/>
    </row>
    <row r="40" customFormat="false" ht="15" hidden="false" customHeight="true" outlineLevel="0" collapsed="false">
      <c r="A40" s="7" t="s">
        <v>349</v>
      </c>
      <c r="B40" s="66" t="n">
        <f aca="false">Assumptions!C160</f>
        <v>5000</v>
      </c>
      <c r="C40" s="35" t="n">
        <f aca="false">B40*(1+Assumptions!$C$136)</f>
        <v>5150</v>
      </c>
      <c r="D40" s="35" t="n">
        <f aca="false">C40*(1+Assumptions!$C$136)</f>
        <v>5304.5</v>
      </c>
      <c r="E40" s="35" t="n">
        <f aca="false">D40*(1+Assumptions!$C$136)</f>
        <v>5463.635</v>
      </c>
      <c r="F40" s="35" t="n">
        <f aca="false">E40*(1+Assumptions!$C$136)</f>
        <v>5627.54405</v>
      </c>
      <c r="G40" s="35" t="n">
        <f aca="false">F40*(1+Assumptions!$C$136)</f>
        <v>5796.3703715</v>
      </c>
      <c r="H40" s="35" t="n">
        <f aca="false">G40*(1+Assumptions!$C$136)</f>
        <v>5970.261482645</v>
      </c>
      <c r="I40" s="35" t="n">
        <f aca="false">H40*(1+Assumptions!$C$136)</f>
        <v>6149.36932712435</v>
      </c>
      <c r="J40" s="35" t="n">
        <f aca="false">I40*(1+Assumptions!$C$136)</f>
        <v>6333.85040693808</v>
      </c>
      <c r="K40" s="35" t="n">
        <f aca="false">J40*(1+Assumptions!$C$136)</f>
        <v>6523.86591914622</v>
      </c>
    </row>
    <row r="41" customFormat="false" ht="15" hidden="false" customHeight="true" outlineLevel="0" collapsed="false">
      <c r="A41" s="7" t="s">
        <v>350</v>
      </c>
      <c r="B41" s="66" t="n">
        <f aca="false">Assumptions!C161</f>
        <v>3000</v>
      </c>
      <c r="C41" s="35" t="n">
        <f aca="false">B41*(1+Assumptions!$C$136)</f>
        <v>3090</v>
      </c>
      <c r="D41" s="35" t="n">
        <f aca="false">C41*(1+Assumptions!$C$136)</f>
        <v>3182.7</v>
      </c>
      <c r="E41" s="35" t="n">
        <f aca="false">D41*(1+Assumptions!$C$136)</f>
        <v>3278.181</v>
      </c>
      <c r="F41" s="35" t="n">
        <f aca="false">E41*(1+Assumptions!$C$136)</f>
        <v>3376.52643</v>
      </c>
      <c r="G41" s="35" t="n">
        <f aca="false">F41*(1+Assumptions!$C$136)</f>
        <v>3477.8222229</v>
      </c>
      <c r="H41" s="35" t="n">
        <f aca="false">G41*(1+Assumptions!$C$136)</f>
        <v>3582.156889587</v>
      </c>
      <c r="I41" s="35" t="n">
        <f aca="false">H41*(1+Assumptions!$C$136)</f>
        <v>3689.62159627461</v>
      </c>
      <c r="J41" s="35" t="n">
        <f aca="false">I41*(1+Assumptions!$C$136)</f>
        <v>3800.31024416285</v>
      </c>
      <c r="K41" s="35" t="n">
        <f aca="false">J41*(1+Assumptions!$C$136)</f>
        <v>3914.31955148773</v>
      </c>
    </row>
    <row r="42" customFormat="false" ht="15" hidden="false" customHeight="true" outlineLevel="0" collapsed="false">
      <c r="A42" s="7" t="s">
        <v>351</v>
      </c>
      <c r="B42" s="66" t="n">
        <f aca="false">Assumptions!C162</f>
        <v>2000</v>
      </c>
      <c r="C42" s="35" t="n">
        <f aca="false">B42*(1+Assumptions!$C$136)</f>
        <v>2060</v>
      </c>
      <c r="D42" s="35" t="n">
        <f aca="false">C42*(1+Assumptions!$C$136)</f>
        <v>2121.8</v>
      </c>
      <c r="E42" s="35" t="n">
        <f aca="false">D42*(1+Assumptions!$C$136)</f>
        <v>2185.454</v>
      </c>
      <c r="F42" s="35" t="n">
        <f aca="false">E42*(1+Assumptions!$C$136)</f>
        <v>2251.01762</v>
      </c>
      <c r="G42" s="35" t="n">
        <f aca="false">F42*(1+Assumptions!$C$136)</f>
        <v>2318.5481486</v>
      </c>
      <c r="H42" s="35" t="n">
        <f aca="false">G42*(1+Assumptions!$C$136)</f>
        <v>2388.104593058</v>
      </c>
      <c r="I42" s="35" t="n">
        <f aca="false">H42*(1+Assumptions!$C$136)</f>
        <v>2459.74773084974</v>
      </c>
      <c r="J42" s="35" t="n">
        <f aca="false">I42*(1+Assumptions!$C$136)</f>
        <v>2533.54016277523</v>
      </c>
      <c r="K42" s="35" t="n">
        <f aca="false">J42*(1+Assumptions!$C$136)</f>
        <v>2609.54636765849</v>
      </c>
    </row>
    <row r="43" customFormat="false" ht="15" hidden="false" customHeight="true" outlineLevel="0" collapsed="false">
      <c r="A43" s="113" t="s">
        <v>352</v>
      </c>
      <c r="B43" s="34" t="n">
        <f aca="false">B30+B31+B33+B34+B35+B36+B37+B38+B40+B41+B42</f>
        <v>84537.045</v>
      </c>
      <c r="C43" s="34" t="n">
        <f aca="false">C30+C31+C33+C34+C35+C36+C37+C38+C40+C41+C42</f>
        <v>87073.15635</v>
      </c>
      <c r="D43" s="34" t="n">
        <f aca="false">D30+D31+D33+D34+D35+D36+D37+D38+D40+D41+D42</f>
        <v>89685.3510405</v>
      </c>
      <c r="E43" s="34" t="n">
        <f aca="false">E30+E31+E33+E34+E35+E36+E37+E38+E40+E41+E42</f>
        <v>92375.911571715</v>
      </c>
      <c r="F43" s="34" t="n">
        <f aca="false">F30+F31+F33+F34+F35+F36+F37+F38+F40+F41+F42</f>
        <v>95147.1889188664</v>
      </c>
      <c r="G43" s="34" t="n">
        <f aca="false">G30+G31+G33+G34+G35+G36+G37+G38+G40+G41+G42</f>
        <v>98001.6045864325</v>
      </c>
      <c r="H43" s="34" t="n">
        <f aca="false">H30+H31+H33+H34+H35+H36+H37+H38+H40+H41+H42</f>
        <v>100941.652724025</v>
      </c>
      <c r="I43" s="34" t="n">
        <f aca="false">I30+I31+I33+I34+I35+I36+I37+I38+I40+I41+I42</f>
        <v>103969.902305746</v>
      </c>
      <c r="J43" s="34" t="n">
        <f aca="false">J30+J31+J33+J34+J35+J36+J37+J38+J40+J41+J42</f>
        <v>107088.999374919</v>
      </c>
      <c r="K43" s="34" t="n">
        <f aca="false">K30+K31+K33+K34+K35+K36+K37+K38+K40+K41+K42</f>
        <v>110301.669356166</v>
      </c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customFormat="false" ht="15" hidden="false" customHeight="true" outlineLevel="0" collapsed="false">
      <c r="A45" s="117" t="s">
        <v>353</v>
      </c>
      <c r="B45" s="118" t="n">
        <f aca="false">B27+B43</f>
        <v>194037.045</v>
      </c>
      <c r="C45" s="118" t="n">
        <f aca="false">C27+C43</f>
        <v>199858.15635</v>
      </c>
      <c r="D45" s="118" t="n">
        <f aca="false">D27+D43</f>
        <v>205853.9010405</v>
      </c>
      <c r="E45" s="118" t="n">
        <f aca="false">E27+E43</f>
        <v>212029.518071715</v>
      </c>
      <c r="F45" s="118" t="n">
        <f aca="false">F27+F43</f>
        <v>218390.403613866</v>
      </c>
      <c r="G45" s="118" t="n">
        <f aca="false">G27+G43</f>
        <v>224942.115722283</v>
      </c>
      <c r="H45" s="118" t="n">
        <f aca="false">H27+H43</f>
        <v>231690.379193951</v>
      </c>
      <c r="I45" s="118" t="n">
        <f aca="false">I27+I43</f>
        <v>238641.09056977</v>
      </c>
      <c r="J45" s="118" t="n">
        <f aca="false">J27+J43</f>
        <v>245800.323286863</v>
      </c>
      <c r="K45" s="118" t="n">
        <f aca="false">K27+K43</f>
        <v>253174.332985468</v>
      </c>
    </row>
    <row r="46" customFormat="false" ht="15" hidden="false" customHeight="true" outlineLevel="0" collapsed="false">
      <c r="A46" s="7" t="s">
        <v>354</v>
      </c>
      <c r="B46" s="67" t="n">
        <f aca="false">IF(B17&gt;0,B45/B17,0)</f>
        <v>0.649060238183045</v>
      </c>
      <c r="C46" s="67" t="n">
        <f aca="false">IF(C17&gt;0,C45/C17,0)</f>
        <v>0.649060238183045</v>
      </c>
      <c r="D46" s="67" t="n">
        <f aca="false">IF(D17&gt;0,D45/D17,0)</f>
        <v>0.649060238183045</v>
      </c>
      <c r="E46" s="67" t="n">
        <f aca="false">IF(E17&gt;0,E45/E17,0)</f>
        <v>0.649060238183045</v>
      </c>
      <c r="F46" s="67" t="n">
        <f aca="false">IF(F17&gt;0,F45/F17,0)</f>
        <v>0.649060238183045</v>
      </c>
      <c r="G46" s="67" t="n">
        <f aca="false">IF(G17&gt;0,G45/G17,0)</f>
        <v>0.649060238183045</v>
      </c>
      <c r="H46" s="67" t="n">
        <f aca="false">IF(H17&gt;0,H45/H17,0)</f>
        <v>0.649060238183045</v>
      </c>
      <c r="I46" s="67" t="n">
        <f aca="false">IF(I17&gt;0,I45/I17,0)</f>
        <v>0.649060238183045</v>
      </c>
      <c r="J46" s="67" t="n">
        <f aca="false">IF(J17&gt;0,J45/J17,0)</f>
        <v>0.649060238183045</v>
      </c>
      <c r="K46" s="67" t="n">
        <f aca="false">IF(K17&gt;0,K45/K17,0)</f>
        <v>0.649060238183045</v>
      </c>
    </row>
    <row r="47" customFormat="false" ht="15" hidden="false" customHeight="true" outlineLevel="0" collapsed="false">
      <c r="A47" s="7" t="s">
        <v>355</v>
      </c>
      <c r="B47" s="35" t="n">
        <f aca="false">IF(Assumptions!$C$9&gt;0,B45/Assumptions!$C$9,0)</f>
        <v>9701.85225</v>
      </c>
      <c r="C47" s="35" t="n">
        <f aca="false">IF(Assumptions!$C$9&gt;0,C45/Assumptions!$C$9,0)</f>
        <v>9992.9078175</v>
      </c>
      <c r="D47" s="35" t="n">
        <f aca="false">IF(Assumptions!$C$9&gt;0,D45/Assumptions!$C$9,0)</f>
        <v>10292.695052025</v>
      </c>
      <c r="E47" s="35" t="n">
        <f aca="false">IF(Assumptions!$C$9&gt;0,E45/Assumptions!$C$9,0)</f>
        <v>10601.4759035858</v>
      </c>
      <c r="F47" s="35" t="n">
        <f aca="false">IF(Assumptions!$C$9&gt;0,F45/Assumptions!$C$9,0)</f>
        <v>10919.5201806933</v>
      </c>
      <c r="G47" s="35" t="n">
        <f aca="false">IF(Assumptions!$C$9&gt;0,G45/Assumptions!$C$9,0)</f>
        <v>11247.1057861141</v>
      </c>
      <c r="H47" s="35" t="n">
        <f aca="false">IF(Assumptions!$C$9&gt;0,H45/Assumptions!$C$9,0)</f>
        <v>11584.5189596975</v>
      </c>
      <c r="I47" s="35" t="n">
        <f aca="false">IF(Assumptions!$C$9&gt;0,I45/Assumptions!$C$9,0)</f>
        <v>11932.0545284885</v>
      </c>
      <c r="J47" s="35" t="n">
        <f aca="false">IF(Assumptions!$C$9&gt;0,J45/Assumptions!$C$9,0)</f>
        <v>12290.0161643431</v>
      </c>
      <c r="K47" s="35" t="n">
        <f aca="false">IF(Assumptions!$C$9&gt;0,K45/Assumptions!$C$9,0)</f>
        <v>12658.7166492734</v>
      </c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customFormat="false" ht="15" hidden="false" customHeight="true" outlineLevel="0" collapsed="false">
      <c r="A49" s="108" t="s">
        <v>356</v>
      </c>
      <c r="B49" s="45" t="n">
        <f aca="false">B17-B45</f>
        <v>104913.705</v>
      </c>
      <c r="C49" s="45" t="n">
        <f aca="false">C17-C45</f>
        <v>108061.11615</v>
      </c>
      <c r="D49" s="45" t="n">
        <f aca="false">D17-D45</f>
        <v>111302.9496345</v>
      </c>
      <c r="E49" s="45" t="n">
        <f aca="false">E17-E45</f>
        <v>114642.038123535</v>
      </c>
      <c r="F49" s="45" t="n">
        <f aca="false">F17-F45</f>
        <v>118081.299267241</v>
      </c>
      <c r="G49" s="45" t="n">
        <f aca="false">G17-G45</f>
        <v>121623.738245258</v>
      </c>
      <c r="H49" s="45" t="n">
        <f aca="false">H17-H45</f>
        <v>125272.450392616</v>
      </c>
      <c r="I49" s="45" t="n">
        <f aca="false">I17-I45</f>
        <v>129030.623904394</v>
      </c>
      <c r="J49" s="45" t="n">
        <f aca="false">J17-J45</f>
        <v>132901.542621526</v>
      </c>
      <c r="K49" s="45" t="n">
        <f aca="false">K17-K45</f>
        <v>136888.588900172</v>
      </c>
    </row>
    <row r="50" customFormat="false" ht="15" hidden="false" customHeight="true" outlineLevel="0" collapsed="false">
      <c r="A50" s="7" t="s">
        <v>357</v>
      </c>
      <c r="B50" s="119" t="n">
        <f aca="false">IF(Assumptions!$C$17&gt;0,B49/Assumptions!$C$17,0)</f>
        <v>0.041965482</v>
      </c>
      <c r="C50" s="119" t="n">
        <f aca="false">IF(Assumptions!$C$17&gt;0,C49/Assumptions!$C$17,0)</f>
        <v>0.04322444646</v>
      </c>
      <c r="D50" s="119" t="n">
        <f aca="false">IF(Assumptions!$C$17&gt;0,D49/Assumptions!$C$17,0)</f>
        <v>0.0445211798538</v>
      </c>
      <c r="E50" s="119" t="n">
        <f aca="false">IF(Assumptions!$C$17&gt;0,E49/Assumptions!$C$17,0)</f>
        <v>0.045856815249414</v>
      </c>
      <c r="F50" s="119" t="n">
        <f aca="false">IF(Assumptions!$C$17&gt;0,F49/Assumptions!$C$17,0)</f>
        <v>0.0472325197068964</v>
      </c>
      <c r="G50" s="119" t="n">
        <f aca="false">IF(Assumptions!$C$17&gt;0,G49/Assumptions!$C$17,0)</f>
        <v>0.0486494952981033</v>
      </c>
      <c r="H50" s="119" t="n">
        <f aca="false">IF(Assumptions!$C$17&gt;0,H49/Assumptions!$C$17,0)</f>
        <v>0.0501089801570464</v>
      </c>
      <c r="I50" s="119" t="n">
        <f aca="false">IF(Assumptions!$C$17&gt;0,I49/Assumptions!$C$17,0)</f>
        <v>0.0516122495617578</v>
      </c>
      <c r="J50" s="119" t="n">
        <f aca="false">IF(Assumptions!$C$17&gt;0,J49/Assumptions!$C$17,0)</f>
        <v>0.0531606170486105</v>
      </c>
      <c r="K50" s="119" t="n">
        <f aca="false">IF(Assumptions!$C$17&gt;0,K49/Assumptions!$C$17,0)</f>
        <v>0.0547554355600689</v>
      </c>
    </row>
    <row r="51" customFormat="false" ht="15" hidden="false" customHeight="true" outlineLevel="0" collapsed="false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</row>
    <row r="52" customFormat="false" ht="15" hidden="false" customHeight="true" outlineLevel="0" collapsed="false">
      <c r="A52" s="112" t="s">
        <v>358</v>
      </c>
    </row>
    <row r="53" customFormat="false" ht="15" hidden="false" customHeight="true" outlineLevel="0" collapsed="false">
      <c r="A53" s="7" t="s">
        <v>359</v>
      </c>
      <c r="B53" s="66" t="n">
        <f aca="false">Assumptions!C166</f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</row>
    <row r="54" customFormat="false" ht="15" hidden="false" customHeight="true" outlineLevel="0" collapsed="false">
      <c r="A54" s="7" t="s">
        <v>360</v>
      </c>
      <c r="B54" s="35" t="n">
        <f aca="false">Assumptions!$C167*Assumptions!$C9</f>
        <v>8000</v>
      </c>
      <c r="C54" s="35" t="n">
        <f aca="false">Assumptions!$C$167*Assumptions!$C$9</f>
        <v>8000</v>
      </c>
      <c r="D54" s="35" t="n">
        <f aca="false">Assumptions!$C$167*Assumptions!$C$9</f>
        <v>8000</v>
      </c>
      <c r="E54" s="35" t="n">
        <f aca="false">Assumptions!$C$167*Assumptions!$C$9</f>
        <v>8000</v>
      </c>
      <c r="F54" s="35" t="n">
        <f aca="false">Assumptions!$C$167*Assumptions!$C$9</f>
        <v>8000</v>
      </c>
      <c r="G54" s="35" t="n">
        <f aca="false">Assumptions!$C$167*Assumptions!$C$9</f>
        <v>8000</v>
      </c>
      <c r="H54" s="35" t="n">
        <f aca="false">Assumptions!$C$167*Assumptions!$C$9</f>
        <v>8000</v>
      </c>
      <c r="I54" s="35" t="n">
        <f aca="false">Assumptions!$C$167*Assumptions!$C$9</f>
        <v>8000</v>
      </c>
      <c r="J54" s="35" t="n">
        <f aca="false">Assumptions!$C$167*Assumptions!$C$9</f>
        <v>8000</v>
      </c>
      <c r="K54" s="35" t="n">
        <f aca="false">Assumptions!$C$167*Assumptions!$C$9</f>
        <v>8000</v>
      </c>
    </row>
    <row r="55" customFormat="false" ht="15" hidden="false" customHeight="true" outlineLevel="0" collapsed="false">
      <c r="A55" s="7" t="s">
        <v>361</v>
      </c>
      <c r="B55" s="66" t="n">
        <f aca="false">Assumptions!C168</f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customFormat="false" ht="15" hidden="false" customHeight="true" outlineLevel="0" collapsed="false">
      <c r="A57" s="108" t="s">
        <v>362</v>
      </c>
      <c r="B57" s="45" t="n">
        <f aca="false">B49-B53-B54-B55</f>
        <v>96913.705</v>
      </c>
      <c r="C57" s="45" t="n">
        <f aca="false">C49-C53-C54-C55</f>
        <v>100061.11615</v>
      </c>
      <c r="D57" s="45" t="n">
        <f aca="false">D49-D53-D54-D55</f>
        <v>103302.9496345</v>
      </c>
      <c r="E57" s="45" t="n">
        <f aca="false">E49-E53-E54-E55</f>
        <v>106642.038123535</v>
      </c>
      <c r="F57" s="45" t="n">
        <f aca="false">F49-F53-F54-F55</f>
        <v>110081.299267241</v>
      </c>
      <c r="G57" s="45" t="n">
        <f aca="false">G49-G53-G54-G55</f>
        <v>113623.738245258</v>
      </c>
      <c r="H57" s="45" t="n">
        <f aca="false">H49-H53-H54-H55</f>
        <v>117272.450392616</v>
      </c>
      <c r="I57" s="45" t="n">
        <f aca="false">I49-I53-I54-I55</f>
        <v>121030.623904394</v>
      </c>
      <c r="J57" s="45" t="n">
        <f aca="false">J49-J53-J54-J55</f>
        <v>124901.542621526</v>
      </c>
      <c r="K57" s="45" t="n">
        <f aca="false">K49-K53-K54-K55</f>
        <v>128888.588900172</v>
      </c>
    </row>
    <row r="58" customFormat="false" ht="15" hidden="false" customHeight="true" outlineLevel="0" collapsed="false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</row>
    <row r="59" customFormat="false" ht="15" hidden="false" customHeight="true" outlineLevel="0" collapsed="false">
      <c r="A59" s="112" t="s">
        <v>363</v>
      </c>
    </row>
    <row r="60" customFormat="false" ht="15" hidden="false" customHeight="true" outlineLevel="0" collapsed="false">
      <c r="A60" s="7" t="s">
        <v>93</v>
      </c>
      <c r="B60" s="35" t="n">
        <f aca="false">IF(AND(Assumptions!$C95=1,1&gt;=Assumptions!$C96),PMT(Assumptions!$C100/12,Assumptions!$C101*12,-Assumptions!$C99)*12,Assumptions!$C79)</f>
        <v>132734.284933522</v>
      </c>
      <c r="C60" s="35" t="n">
        <f aca="false">IF(AND(Assumptions!$C95=1,2&gt;=Assumptions!$C96),PMT(Assumptions!$C100/12,Assumptions!$C101*12,-Assumptions!$C99)*12,Assumptions!$C79)</f>
        <v>132734.284933522</v>
      </c>
      <c r="D60" s="35" t="n">
        <f aca="false">IF(AND(Assumptions!$C95=1,3&gt;=Assumptions!$C96),PMT(Assumptions!$C100/12,Assumptions!$C101*12,-Assumptions!$C99)*12,Assumptions!$C79)</f>
        <v>132734.284933522</v>
      </c>
      <c r="E60" s="35" t="n">
        <f aca="false">IF(AND(Assumptions!$C95=1,4&gt;=Assumptions!$C96),PMT(Assumptions!$C100/12,Assumptions!$C101*12,-Assumptions!$C99)*12,Assumptions!$C79)</f>
        <v>132734.284933522</v>
      </c>
      <c r="F60" s="35" t="n">
        <f aca="false">IF(AND(Assumptions!$C95=1,5&gt;=Assumptions!$C96),PMT(Assumptions!$C100/12,Assumptions!$C101*12,-Assumptions!$C99)*12,Assumptions!$C79)</f>
        <v>132734.284933522</v>
      </c>
      <c r="G60" s="35" t="n">
        <f aca="false">IF(AND(Assumptions!$C95=1,6&gt;=Assumptions!$C96),PMT(Assumptions!$C100/12,Assumptions!$C101*12,-Assumptions!$C99)*12,Assumptions!$C79)</f>
        <v>132734.284933522</v>
      </c>
      <c r="H60" s="35" t="n">
        <f aca="false">IF(AND(Assumptions!$C95=1,7&gt;=Assumptions!$C96),PMT(Assumptions!$C100/12,Assumptions!$C101*12,-Assumptions!$C99)*12,Assumptions!$C79)</f>
        <v>132734.284933522</v>
      </c>
      <c r="I60" s="35" t="n">
        <f aca="false">IF(AND(Assumptions!$C95=1,8&gt;=Assumptions!$C96),PMT(Assumptions!$C100/12,Assumptions!$C101*12,-Assumptions!$C99)*12,Assumptions!$C79)</f>
        <v>132734.284933522</v>
      </c>
      <c r="J60" s="35" t="n">
        <f aca="false">IF(AND(Assumptions!$C95=1,9&gt;=Assumptions!$C96),PMT(Assumptions!$C100/12,Assumptions!$C101*12,-Assumptions!$C99)*12,Assumptions!$C79)</f>
        <v>132734.284933522</v>
      </c>
      <c r="K60" s="35" t="n">
        <f aca="false">IF(AND(Assumptions!$C95=1,10&gt;=Assumptions!$C96),PMT(Assumptions!$C100/12,Assumptions!$C101*12,-Assumptions!$C99)*12,Assumptions!$C79)</f>
        <v>132734.284933522</v>
      </c>
    </row>
    <row r="61" customFormat="false" ht="15" hidden="false" customHeight="true" outlineLevel="0" collapsed="false">
      <c r="A61" s="102" t="s">
        <v>364</v>
      </c>
      <c r="B61" s="16" t="n">
        <f aca="false">IF(B60&gt;0,B49/B60,0)</f>
        <v>0.790403964224798</v>
      </c>
      <c r="C61" s="16" t="n">
        <f aca="false">IF(C60&gt;0,C49/C60,0)</f>
        <v>0.814116083151542</v>
      </c>
      <c r="D61" s="16" t="n">
        <f aca="false">IF(D60&gt;0,D49/D60,0)</f>
        <v>0.838539565646088</v>
      </c>
      <c r="E61" s="16" t="n">
        <f aca="false">IF(E60&gt;0,E49/E60,0)</f>
        <v>0.863695752615471</v>
      </c>
      <c r="F61" s="16" t="n">
        <f aca="false">IF(F60&gt;0,F49/F60,0)</f>
        <v>0.889606625193935</v>
      </c>
      <c r="G61" s="16" t="n">
        <f aca="false">IF(G60&gt;0,G49/G60,0)</f>
        <v>0.916294823949753</v>
      </c>
      <c r="H61" s="16" t="n">
        <f aca="false">IF(H60&gt;0,H49/H60,0)</f>
        <v>0.943783668668245</v>
      </c>
      <c r="I61" s="16" t="n">
        <f aca="false">IF(I60&gt;0,I49/I60,0)</f>
        <v>0.972097178728293</v>
      </c>
      <c r="J61" s="16" t="n">
        <f aca="false">IF(J60&gt;0,J49/J60,0)</f>
        <v>1.00126009409014</v>
      </c>
      <c r="K61" s="16" t="n">
        <f aca="false">IF(K60&gt;0,K49/K60,0)</f>
        <v>1.03129789691285</v>
      </c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customFormat="false" ht="15" hidden="false" customHeight="true" outlineLevel="0" collapsed="false">
      <c r="A63" s="120" t="s">
        <v>365</v>
      </c>
      <c r="B63" s="109" t="n">
        <f aca="false">B57-B60</f>
        <v>-35820.5799335224</v>
      </c>
      <c r="C63" s="109" t="n">
        <f aca="false">C57-C60</f>
        <v>-32673.1687835224</v>
      </c>
      <c r="D63" s="109" t="n">
        <f aca="false">D57-D60</f>
        <v>-29431.3352990224</v>
      </c>
      <c r="E63" s="109" t="n">
        <f aca="false">E57-E60</f>
        <v>-26092.2468099874</v>
      </c>
      <c r="F63" s="109" t="n">
        <f aca="false">F57-F60</f>
        <v>-22652.9856662814</v>
      </c>
      <c r="G63" s="109" t="n">
        <f aca="false">G57-G60</f>
        <v>-19110.5466882641</v>
      </c>
      <c r="H63" s="109" t="n">
        <f aca="false">H57-H60</f>
        <v>-15461.8345409064</v>
      </c>
      <c r="I63" s="109" t="n">
        <f aca="false">I57-I60</f>
        <v>-11703.6610291279</v>
      </c>
      <c r="J63" s="109" t="n">
        <f aca="false">J57-J60</f>
        <v>-7832.74231199603</v>
      </c>
      <c r="K63" s="109" t="n">
        <f aca="false">K57-K60</f>
        <v>-3845.69603335022</v>
      </c>
    </row>
  </sheetData>
  <mergeCells count="6">
    <mergeCell ref="A1:K1"/>
    <mergeCell ref="A2:K2"/>
    <mergeCell ref="A18:K18"/>
    <mergeCell ref="A28:K28"/>
    <mergeCell ref="A51:K51"/>
    <mergeCell ref="A58:K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844"/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" min="2" style="1" width="20"/>
  </cols>
  <sheetData>
    <row r="1" customFormat="false" ht="19.5" hidden="false" customHeight="true" outlineLevel="0" collapsed="false">
      <c r="A1" s="62" t="s">
        <v>366</v>
      </c>
      <c r="B1" s="62"/>
      <c r="C1" s="62"/>
      <c r="D1" s="62"/>
    </row>
    <row r="2" customFormat="false" ht="15" hidden="false" customHeight="true" outlineLevel="0" collapsed="false">
      <c r="A2" s="2"/>
      <c r="B2" s="2"/>
      <c r="C2" s="2"/>
      <c r="D2" s="2"/>
    </row>
    <row r="3" customFormat="false" ht="15" hidden="false" customHeight="true" outlineLevel="0" collapsed="false">
      <c r="A3" s="63"/>
      <c r="B3" s="63" t="s">
        <v>367</v>
      </c>
      <c r="C3" s="63" t="s">
        <v>368</v>
      </c>
      <c r="D3" s="63" t="s">
        <v>369</v>
      </c>
    </row>
    <row r="4" customFormat="false" ht="15" hidden="false" customHeight="true" outlineLevel="0" collapsed="false">
      <c r="A4" s="7" t="s">
        <v>370</v>
      </c>
      <c r="B4" s="121" t="n">
        <f aca="false">Assumptions!C95</f>
        <v>0</v>
      </c>
      <c r="C4" s="121" t="n">
        <f aca="false">Assumptions!C108</f>
        <v>0</v>
      </c>
      <c r="D4" s="121" t="n">
        <f aca="false">Assumptions!C121</f>
        <v>0</v>
      </c>
    </row>
    <row r="5" customFormat="false" ht="15" hidden="false" customHeight="true" outlineLevel="0" collapsed="false">
      <c r="A5" s="7" t="s">
        <v>371</v>
      </c>
      <c r="B5" s="121" t="n">
        <f aca="false">Assumptions!C96</f>
        <v>5</v>
      </c>
      <c r="C5" s="121" t="n">
        <f aca="false">Assumptions!C109</f>
        <v>8</v>
      </c>
      <c r="D5" s="121" t="n">
        <f aca="false">Assumptions!C122</f>
        <v>0</v>
      </c>
    </row>
    <row r="6" customFormat="false" ht="15" hidden="false" customHeight="true" outlineLevel="0" collapsed="false">
      <c r="A6" s="7" t="s">
        <v>372</v>
      </c>
      <c r="B6" s="66" t="n">
        <f aca="false">Assumptions!C97</f>
        <v>3200000</v>
      </c>
      <c r="C6" s="66" t="n">
        <f aca="false">Assumptions!C110</f>
        <v>3800000</v>
      </c>
      <c r="D6" s="66" t="n">
        <f aca="false">Assumptions!C123</f>
        <v>0</v>
      </c>
    </row>
    <row r="7" customFormat="false" ht="15" hidden="false" customHeight="true" outlineLevel="0" collapsed="false">
      <c r="A7" s="7" t="s">
        <v>373</v>
      </c>
      <c r="B7" s="122" t="n">
        <f aca="false">Assumptions!C98</f>
        <v>0.7</v>
      </c>
      <c r="C7" s="122" t="n">
        <f aca="false">Assumptions!C111</f>
        <v>0.65</v>
      </c>
      <c r="D7" s="122" t="n">
        <f aca="false">Assumptions!C124</f>
        <v>0.65</v>
      </c>
    </row>
    <row r="8" customFormat="false" ht="15" hidden="false" customHeight="true" outlineLevel="0" collapsed="false">
      <c r="A8" s="7" t="s">
        <v>374</v>
      </c>
      <c r="B8" s="66" t="n">
        <f aca="false">Assumptions!C99</f>
        <v>2240000</v>
      </c>
      <c r="C8" s="66" t="n">
        <f aca="false">Assumptions!C112</f>
        <v>2470000</v>
      </c>
      <c r="D8" s="66" t="n">
        <f aca="false">Assumptions!C125</f>
        <v>0</v>
      </c>
    </row>
    <row r="9" customFormat="false" ht="15" hidden="false" customHeight="true" outlineLevel="0" collapsed="false">
      <c r="A9" s="7" t="s">
        <v>86</v>
      </c>
      <c r="B9" s="123" t="n">
        <f aca="false">Assumptions!C100</f>
        <v>0.06</v>
      </c>
      <c r="C9" s="123" t="n">
        <f aca="false">Assumptions!C113</f>
        <v>0.055</v>
      </c>
      <c r="D9" s="123" t="n">
        <f aca="false">Assumptions!C126</f>
        <v>0.055</v>
      </c>
    </row>
    <row r="10" customFormat="false" ht="15" hidden="false" customHeight="true" outlineLevel="0" collapsed="false">
      <c r="A10" s="7" t="s">
        <v>375</v>
      </c>
      <c r="B10" s="121" t="n">
        <f aca="false">Assumptions!C101</f>
        <v>30</v>
      </c>
      <c r="C10" s="121" t="n">
        <f aca="false">Assumptions!C114</f>
        <v>30</v>
      </c>
      <c r="D10" s="121" t="n">
        <f aca="false">Assumptions!C127</f>
        <v>30</v>
      </c>
    </row>
    <row r="11" customFormat="false" ht="15" hidden="false" customHeight="true" outlineLevel="0" collapsed="false">
      <c r="A11" s="7" t="s">
        <v>376</v>
      </c>
      <c r="B11" s="121" t="n">
        <f aca="false">Assumptions!C102</f>
        <v>10</v>
      </c>
      <c r="C11" s="121" t="n">
        <f aca="false">Assumptions!C115</f>
        <v>10</v>
      </c>
      <c r="D11" s="121" t="n">
        <f aca="false">Assumptions!C128</f>
        <v>10</v>
      </c>
    </row>
    <row r="12" customFormat="false" ht="15" hidden="false" customHeight="true" outlineLevel="0" collapsed="false">
      <c r="A12" s="7" t="s">
        <v>377</v>
      </c>
      <c r="B12" s="122" t="n">
        <f aca="false">Assumptions!C103</f>
        <v>0.01</v>
      </c>
      <c r="C12" s="122" t="n">
        <f aca="false">Assumptions!C116</f>
        <v>0.01</v>
      </c>
      <c r="D12" s="122" t="n">
        <f aca="false">Assumptions!C129</f>
        <v>0.01</v>
      </c>
    </row>
    <row r="13" customFormat="false" ht="15" hidden="false" customHeight="true" outlineLevel="0" collapsed="false">
      <c r="A13" s="7" t="s">
        <v>378</v>
      </c>
      <c r="B13" s="122" t="n">
        <f aca="false">Assumptions!C104</f>
        <v>0.01</v>
      </c>
      <c r="C13" s="122" t="n">
        <f aca="false">Assumptions!C117</f>
        <v>0.01</v>
      </c>
      <c r="D13" s="122" t="n">
        <f aca="false">Assumptions!C130</f>
        <v>0</v>
      </c>
    </row>
    <row r="14" customFormat="false" ht="15" hidden="false" customHeight="true" outlineLevel="0" collapsed="false">
      <c r="A14" s="7" t="s">
        <v>42</v>
      </c>
      <c r="B14" s="66" t="n">
        <f aca="false">Assumptions!C105</f>
        <v>25000</v>
      </c>
      <c r="C14" s="66" t="n">
        <f aca="false">Assumptions!C118</f>
        <v>25000</v>
      </c>
      <c r="D14" s="66" t="n">
        <f aca="false">Assumptions!C131</f>
        <v>0</v>
      </c>
    </row>
    <row r="15" customFormat="false" ht="15" hidden="false" customHeight="true" outlineLevel="0" collapsed="false">
      <c r="A15" s="2"/>
      <c r="B15" s="2"/>
      <c r="C15" s="2"/>
      <c r="D15" s="2"/>
    </row>
    <row r="16" customFormat="false" ht="15" hidden="false" customHeight="true" outlineLevel="0" collapsed="false">
      <c r="A16" s="10" t="s">
        <v>379</v>
      </c>
      <c r="B16" s="10"/>
      <c r="C16" s="10"/>
      <c r="D16" s="10"/>
    </row>
    <row r="17" customFormat="false" ht="15" hidden="false" customHeight="true" outlineLevel="0" collapsed="false">
      <c r="A17" s="7" t="s">
        <v>380</v>
      </c>
      <c r="B17" s="35" t="n">
        <f aca="false">IF(B4=1,Assumptions!C71,0)</f>
        <v>0</v>
      </c>
      <c r="C17" s="35" t="n">
        <f aca="false">IF(C4=1,IF(B4=1,B8,Assumptions!C71),0)</f>
        <v>0</v>
      </c>
      <c r="D17" s="35" t="n">
        <f aca="false">IF(D4=1,IF(C4=1,C8,IF(B4=1,B8,Assumptions!C71)),0)</f>
        <v>0</v>
      </c>
    </row>
    <row r="18" customFormat="false" ht="15" hidden="false" customHeight="true" outlineLevel="0" collapsed="false">
      <c r="A18" s="7" t="s">
        <v>381</v>
      </c>
      <c r="B18" s="35" t="n">
        <f aca="false">B17*B13</f>
        <v>0</v>
      </c>
      <c r="C18" s="35" t="n">
        <f aca="false">C17*C13</f>
        <v>0</v>
      </c>
      <c r="D18" s="35" t="n">
        <f aca="false">D17*D13</f>
        <v>0</v>
      </c>
    </row>
    <row r="19" customFormat="false" ht="15" hidden="false" customHeight="true" outlineLevel="0" collapsed="false">
      <c r="A19" s="7" t="s">
        <v>90</v>
      </c>
      <c r="B19" s="35" t="n">
        <f aca="false">B8*B12</f>
        <v>22400</v>
      </c>
      <c r="C19" s="35" t="n">
        <f aca="false">C8*C12</f>
        <v>24700</v>
      </c>
      <c r="D19" s="35" t="n">
        <f aca="false">D8*D12</f>
        <v>0</v>
      </c>
    </row>
    <row r="20" customFormat="false" ht="15" hidden="false" customHeight="true" outlineLevel="0" collapsed="false">
      <c r="A20" s="113" t="s">
        <v>382</v>
      </c>
      <c r="B20" s="34" t="n">
        <f aca="false">B18+B19+B14</f>
        <v>47400</v>
      </c>
      <c r="C20" s="34" t="n">
        <f aca="false">C18+C19+C14</f>
        <v>49700</v>
      </c>
      <c r="D20" s="34" t="n">
        <f aca="false">D18+D19+D14</f>
        <v>0</v>
      </c>
    </row>
    <row r="21" customFormat="false" ht="15" hidden="false" customHeight="true" outlineLevel="0" collapsed="false">
      <c r="A21" s="2"/>
      <c r="B21" s="2"/>
      <c r="C21" s="2"/>
      <c r="D21" s="2"/>
    </row>
    <row r="22" customFormat="false" ht="15" hidden="false" customHeight="true" outlineLevel="0" collapsed="false">
      <c r="A22" s="108" t="s">
        <v>383</v>
      </c>
      <c r="B22" s="45" t="n">
        <f aca="false">IF(B4=1,B8-B17-B20,0)</f>
        <v>0</v>
      </c>
      <c r="C22" s="45" t="n">
        <f aca="false">IF(C4=1,C8-C17-C20,0)</f>
        <v>0</v>
      </c>
      <c r="D22" s="45" t="n">
        <f aca="false">IF(D4=1,D8-D17-D20,0)</f>
        <v>0</v>
      </c>
    </row>
  </sheetData>
  <mergeCells count="2">
    <mergeCell ref="A1:D1"/>
    <mergeCell ref="A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844"/>
    <pageSetUpPr fitToPage="false"/>
  </sheetPr>
  <dimension ref="A1:E3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6"/>
    <col collapsed="false" customWidth="true" hidden="false" outlineLevel="0" max="5" min="5" style="1" width="18"/>
  </cols>
  <sheetData>
    <row r="1" customFormat="false" ht="19.5" hidden="false" customHeight="true" outlineLevel="0" collapsed="false">
      <c r="A1" s="62" t="s">
        <v>384</v>
      </c>
      <c r="B1" s="62"/>
      <c r="C1" s="62"/>
      <c r="D1" s="62"/>
      <c r="E1" s="62"/>
    </row>
    <row r="2" customFormat="false" ht="15" hidden="false" customHeight="true" outlineLevel="0" collapsed="false">
      <c r="A2" s="20" t="s">
        <v>385</v>
      </c>
      <c r="B2" s="20"/>
      <c r="C2" s="20"/>
      <c r="D2" s="20"/>
      <c r="E2" s="20"/>
    </row>
    <row r="3" customFormat="false" ht="15" hidden="false" customHeight="true" outlineLevel="0" collapsed="false">
      <c r="A3" s="7" t="s">
        <v>386</v>
      </c>
      <c r="B3" s="124" t="n">
        <f aca="false">Assumptions!C71</f>
        <v>1750000</v>
      </c>
      <c r="C3" s="2"/>
      <c r="D3" s="2"/>
      <c r="E3" s="2"/>
    </row>
    <row r="4" customFormat="false" ht="15" hidden="false" customHeight="true" outlineLevel="0" collapsed="false">
      <c r="A4" s="7" t="s">
        <v>387</v>
      </c>
      <c r="B4" s="125" t="n">
        <f aca="false">Assumptions!C72</f>
        <v>0.065</v>
      </c>
      <c r="C4" s="2"/>
      <c r="D4" s="2"/>
      <c r="E4" s="2"/>
    </row>
    <row r="5" customFormat="false" ht="15" hidden="false" customHeight="true" outlineLevel="0" collapsed="false">
      <c r="A5" s="7" t="s">
        <v>388</v>
      </c>
      <c r="B5" s="9" t="n">
        <f aca="false">Assumptions!C73</f>
        <v>30</v>
      </c>
      <c r="C5" s="2"/>
      <c r="D5" s="2"/>
      <c r="E5" s="2"/>
    </row>
    <row r="6" customFormat="false" ht="15" hidden="false" customHeight="true" outlineLevel="0" collapsed="false">
      <c r="A6" s="102" t="s">
        <v>389</v>
      </c>
      <c r="B6" s="126" t="n">
        <f aca="false">IF(B5&gt;0,PMT(B4/12,B5*12,-B3),0)</f>
        <v>11061.1904111269</v>
      </c>
      <c r="C6" s="2"/>
      <c r="D6" s="2"/>
      <c r="E6" s="2"/>
    </row>
    <row r="7" customFormat="false" ht="15" hidden="false" customHeight="true" outlineLevel="0" collapsed="false">
      <c r="A7" s="2"/>
      <c r="B7" s="2"/>
      <c r="C7" s="2"/>
      <c r="D7" s="2"/>
      <c r="E7" s="2"/>
    </row>
    <row r="8" customFormat="false" ht="15" hidden="false" customHeight="true" outlineLevel="0" collapsed="false">
      <c r="A8" s="63" t="s">
        <v>390</v>
      </c>
      <c r="B8" s="63" t="s">
        <v>391</v>
      </c>
      <c r="C8" s="63" t="s">
        <v>392</v>
      </c>
      <c r="D8" s="63" t="s">
        <v>393</v>
      </c>
      <c r="E8" s="63" t="s">
        <v>394</v>
      </c>
    </row>
    <row r="9" customFormat="false" ht="15" hidden="false" customHeight="true" outlineLevel="0" collapsed="false">
      <c r="A9" s="127" t="n">
        <v>1</v>
      </c>
      <c r="B9" s="36" t="n">
        <f aca="false">$B$6</f>
        <v>11061.1904111269</v>
      </c>
      <c r="C9" s="36" t="n">
        <f aca="false">B9-D9</f>
        <v>1582.0237444602</v>
      </c>
      <c r="D9" s="36" t="n">
        <f aca="false">$B$3*$B$4/12</f>
        <v>9479.16666666667</v>
      </c>
      <c r="E9" s="36" t="n">
        <f aca="false">$B$3-C9</f>
        <v>1748417.97625554</v>
      </c>
    </row>
    <row r="10" customFormat="false" ht="15" hidden="false" customHeight="true" outlineLevel="0" collapsed="false">
      <c r="A10" s="128" t="n">
        <v>2</v>
      </c>
      <c r="B10" s="129" t="n">
        <f aca="false">$B$6</f>
        <v>11061.1904111269</v>
      </c>
      <c r="C10" s="129" t="n">
        <f aca="false">B10-D10</f>
        <v>1590.59303974269</v>
      </c>
      <c r="D10" s="129" t="n">
        <f aca="false">E9*$B$4/12</f>
        <v>9470.59737138417</v>
      </c>
      <c r="E10" s="129" t="n">
        <f aca="false">E9-C10</f>
        <v>1746827.3832158</v>
      </c>
    </row>
    <row r="11" customFormat="false" ht="15" hidden="false" customHeight="true" outlineLevel="0" collapsed="false">
      <c r="A11" s="127" t="n">
        <v>3</v>
      </c>
      <c r="B11" s="36" t="n">
        <f aca="false">$B$6</f>
        <v>11061.1904111269</v>
      </c>
      <c r="C11" s="36" t="n">
        <f aca="false">B11-D11</f>
        <v>1599.2087520413</v>
      </c>
      <c r="D11" s="36" t="n">
        <f aca="false">E10*$B$4/12</f>
        <v>9461.98165908557</v>
      </c>
      <c r="E11" s="36" t="n">
        <f aca="false">E10-C11</f>
        <v>1745228.17446376</v>
      </c>
    </row>
    <row r="12" customFormat="false" ht="15" hidden="false" customHeight="true" outlineLevel="0" collapsed="false">
      <c r="A12" s="128" t="n">
        <v>4</v>
      </c>
      <c r="B12" s="129" t="n">
        <f aca="false">$B$6</f>
        <v>11061.1904111269</v>
      </c>
      <c r="C12" s="129" t="n">
        <f aca="false">B12-D12</f>
        <v>1607.87113278152</v>
      </c>
      <c r="D12" s="129" t="n">
        <f aca="false">E11*$B$4/12</f>
        <v>9453.31927834535</v>
      </c>
      <c r="E12" s="129" t="n">
        <f aca="false">E11-C12</f>
        <v>1743620.30333097</v>
      </c>
    </row>
    <row r="13" customFormat="false" ht="15" hidden="false" customHeight="true" outlineLevel="0" collapsed="false">
      <c r="A13" s="127" t="n">
        <v>5</v>
      </c>
      <c r="B13" s="36" t="n">
        <f aca="false">$B$6</f>
        <v>11061.1904111269</v>
      </c>
      <c r="C13" s="36" t="n">
        <f aca="false">B13-D13</f>
        <v>1616.58043475075</v>
      </c>
      <c r="D13" s="36" t="n">
        <f aca="false">E12*$B$4/12</f>
        <v>9444.60997637611</v>
      </c>
      <c r="E13" s="36" t="n">
        <f aca="false">E12-C13</f>
        <v>1742003.72289622</v>
      </c>
    </row>
    <row r="14" customFormat="false" ht="15" hidden="false" customHeight="true" outlineLevel="0" collapsed="false">
      <c r="A14" s="128" t="n">
        <v>6</v>
      </c>
      <c r="B14" s="129" t="n">
        <f aca="false">$B$6</f>
        <v>11061.1904111269</v>
      </c>
      <c r="C14" s="129" t="n">
        <f aca="false">B14-D14</f>
        <v>1625.33691210565</v>
      </c>
      <c r="D14" s="129" t="n">
        <f aca="false">E13*$B$4/12</f>
        <v>9435.85349902121</v>
      </c>
      <c r="E14" s="129" t="n">
        <f aca="false">E13-C14</f>
        <v>1740378.38598412</v>
      </c>
    </row>
    <row r="15" customFormat="false" ht="15" hidden="false" customHeight="true" outlineLevel="0" collapsed="false">
      <c r="A15" s="127" t="n">
        <v>7</v>
      </c>
      <c r="B15" s="36" t="n">
        <f aca="false">$B$6</f>
        <v>11061.1904111269</v>
      </c>
      <c r="C15" s="36" t="n">
        <f aca="false">B15-D15</f>
        <v>1634.14082037956</v>
      </c>
      <c r="D15" s="36" t="n">
        <f aca="false">E14*$B$4/12</f>
        <v>9427.04959074731</v>
      </c>
      <c r="E15" s="36" t="n">
        <f aca="false">E14-C15</f>
        <v>1738744.24516374</v>
      </c>
    </row>
    <row r="16" customFormat="false" ht="15" hidden="false" customHeight="true" outlineLevel="0" collapsed="false">
      <c r="A16" s="128" t="n">
        <v>8</v>
      </c>
      <c r="B16" s="129" t="n">
        <f aca="false">$B$6</f>
        <v>11061.1904111269</v>
      </c>
      <c r="C16" s="129" t="n">
        <f aca="false">B16-D16</f>
        <v>1642.99241648995</v>
      </c>
      <c r="D16" s="129" t="n">
        <f aca="false">E15*$B$4/12</f>
        <v>9418.19799463692</v>
      </c>
      <c r="E16" s="129" t="n">
        <f aca="false">E15-C16</f>
        <v>1737101.25274725</v>
      </c>
    </row>
    <row r="17" customFormat="false" ht="15" hidden="false" customHeight="true" outlineLevel="0" collapsed="false">
      <c r="A17" s="127" t="n">
        <v>9</v>
      </c>
      <c r="B17" s="36" t="n">
        <f aca="false">$B$6</f>
        <v>11061.1904111269</v>
      </c>
      <c r="C17" s="36" t="n">
        <f aca="false">B17-D17</f>
        <v>1651.89195874594</v>
      </c>
      <c r="D17" s="36" t="n">
        <f aca="false">E16*$B$4/12</f>
        <v>9409.29845238093</v>
      </c>
      <c r="E17" s="36" t="n">
        <f aca="false">E16-C17</f>
        <v>1735449.3607885</v>
      </c>
    </row>
    <row r="18" customFormat="false" ht="15" hidden="false" customHeight="true" outlineLevel="0" collapsed="false">
      <c r="A18" s="128" t="n">
        <v>10</v>
      </c>
      <c r="B18" s="129" t="n">
        <f aca="false">$B$6</f>
        <v>11061.1904111269</v>
      </c>
      <c r="C18" s="129" t="n">
        <f aca="false">B18-D18</f>
        <v>1660.83970685581</v>
      </c>
      <c r="D18" s="129" t="n">
        <f aca="false">E17*$B$4/12</f>
        <v>9400.35070427106</v>
      </c>
      <c r="E18" s="129" t="n">
        <f aca="false">E17-C18</f>
        <v>1733788.52108165</v>
      </c>
    </row>
    <row r="19" customFormat="false" ht="15" hidden="false" customHeight="true" outlineLevel="0" collapsed="false">
      <c r="A19" s="127" t="n">
        <v>11</v>
      </c>
      <c r="B19" s="36" t="n">
        <f aca="false">$B$6</f>
        <v>11061.1904111269</v>
      </c>
      <c r="C19" s="36" t="n">
        <f aca="false">B19-D19</f>
        <v>1669.83592193461</v>
      </c>
      <c r="D19" s="36" t="n">
        <f aca="false">E18*$B$4/12</f>
        <v>9391.35448919225</v>
      </c>
      <c r="E19" s="36" t="n">
        <f aca="false">E18-C19</f>
        <v>1732118.68515971</v>
      </c>
    </row>
    <row r="20" customFormat="false" ht="15" hidden="false" customHeight="true" outlineLevel="0" collapsed="false">
      <c r="A20" s="128" t="n">
        <v>12</v>
      </c>
      <c r="B20" s="129" t="n">
        <f aca="false">$B$6</f>
        <v>11061.1904111269</v>
      </c>
      <c r="C20" s="129" t="n">
        <f aca="false">B20-D20</f>
        <v>1678.88086651176</v>
      </c>
      <c r="D20" s="129" t="n">
        <f aca="false">E19*$B$4/12</f>
        <v>9382.30954461511</v>
      </c>
      <c r="E20" s="129" t="n">
        <f aca="false">E19-C20</f>
        <v>1730439.8042932</v>
      </c>
    </row>
    <row r="21" customFormat="false" ht="15" hidden="false" customHeight="true" outlineLevel="0" collapsed="false">
      <c r="A21" s="127" t="n">
        <v>13</v>
      </c>
      <c r="B21" s="36" t="n">
        <f aca="false">$B$6</f>
        <v>11061.1904111269</v>
      </c>
      <c r="C21" s="36" t="n">
        <f aca="false">B21-D21</f>
        <v>1687.9748045387</v>
      </c>
      <c r="D21" s="36" t="n">
        <f aca="false">E20*$B$4/12</f>
        <v>9373.21560658817</v>
      </c>
      <c r="E21" s="36" t="n">
        <f aca="false">E20-C21</f>
        <v>1728751.82948866</v>
      </c>
    </row>
    <row r="22" customFormat="false" ht="15" hidden="false" customHeight="true" outlineLevel="0" collapsed="false">
      <c r="A22" s="128" t="n">
        <v>14</v>
      </c>
      <c r="B22" s="129" t="n">
        <f aca="false">$B$6</f>
        <v>11061.1904111269</v>
      </c>
      <c r="C22" s="129" t="n">
        <f aca="false">B22-D22</f>
        <v>1697.11800139662</v>
      </c>
      <c r="D22" s="129" t="n">
        <f aca="false">E21*$B$4/12</f>
        <v>9364.07240973025</v>
      </c>
      <c r="E22" s="129" t="n">
        <f aca="false">E21-C22</f>
        <v>1727054.71148727</v>
      </c>
    </row>
    <row r="23" customFormat="false" ht="15" hidden="false" customHeight="true" outlineLevel="0" collapsed="false">
      <c r="A23" s="127" t="n">
        <v>15</v>
      </c>
      <c r="B23" s="36" t="n">
        <f aca="false">$B$6</f>
        <v>11061.1904111269</v>
      </c>
      <c r="C23" s="36" t="n">
        <f aca="false">B23-D23</f>
        <v>1706.31072390418</v>
      </c>
      <c r="D23" s="36" t="n">
        <f aca="false">E22*$B$4/12</f>
        <v>9354.87968722269</v>
      </c>
      <c r="E23" s="36" t="n">
        <f aca="false">E22-C23</f>
        <v>1725348.40076336</v>
      </c>
    </row>
    <row r="24" customFormat="false" ht="15" hidden="false" customHeight="true" outlineLevel="0" collapsed="false">
      <c r="A24" s="128" t="n">
        <v>16</v>
      </c>
      <c r="B24" s="129" t="n">
        <f aca="false">$B$6</f>
        <v>11061.1904111269</v>
      </c>
      <c r="C24" s="129" t="n">
        <f aca="false">B24-D24</f>
        <v>1715.55324032533</v>
      </c>
      <c r="D24" s="129" t="n">
        <f aca="false">E23*$B$4/12</f>
        <v>9345.63717080154</v>
      </c>
      <c r="E24" s="129" t="n">
        <f aca="false">E23-C24</f>
        <v>1723632.84752304</v>
      </c>
    </row>
    <row r="25" customFormat="false" ht="15" hidden="false" customHeight="true" outlineLevel="0" collapsed="false">
      <c r="A25" s="127" t="n">
        <v>17</v>
      </c>
      <c r="B25" s="36" t="n">
        <f aca="false">$B$6</f>
        <v>11061.1904111269</v>
      </c>
      <c r="C25" s="36" t="n">
        <f aca="false">B25-D25</f>
        <v>1724.84582037709</v>
      </c>
      <c r="D25" s="36" t="n">
        <f aca="false">E24*$B$4/12</f>
        <v>9336.34459074978</v>
      </c>
      <c r="E25" s="36" t="n">
        <f aca="false">E24-C25</f>
        <v>1721908.00170266</v>
      </c>
    </row>
    <row r="26" customFormat="false" ht="15" hidden="false" customHeight="true" outlineLevel="0" collapsed="false">
      <c r="A26" s="128" t="n">
        <v>18</v>
      </c>
      <c r="B26" s="129" t="n">
        <f aca="false">$B$6</f>
        <v>11061.1904111269</v>
      </c>
      <c r="C26" s="129" t="n">
        <f aca="false">B26-D26</f>
        <v>1734.18873523747</v>
      </c>
      <c r="D26" s="129" t="n">
        <f aca="false">E25*$B$4/12</f>
        <v>9327.0016758894</v>
      </c>
      <c r="E26" s="129" t="n">
        <f aca="false">E25-C26</f>
        <v>1720173.81296742</v>
      </c>
    </row>
    <row r="27" customFormat="false" ht="15" hidden="false" customHeight="true" outlineLevel="0" collapsed="false">
      <c r="A27" s="127" t="n">
        <v>19</v>
      </c>
      <c r="B27" s="36" t="n">
        <f aca="false">$B$6</f>
        <v>11061.1904111269</v>
      </c>
      <c r="C27" s="36" t="n">
        <f aca="false">B27-D27</f>
        <v>1743.58225755334</v>
      </c>
      <c r="D27" s="36" t="n">
        <f aca="false">E26*$B$4/12</f>
        <v>9317.60815357353</v>
      </c>
      <c r="E27" s="36" t="n">
        <f aca="false">E26-C27</f>
        <v>1718430.23070987</v>
      </c>
    </row>
    <row r="28" customFormat="false" ht="15" hidden="false" customHeight="true" outlineLevel="0" collapsed="false">
      <c r="A28" s="128" t="n">
        <v>20</v>
      </c>
      <c r="B28" s="129" t="n">
        <f aca="false">$B$6</f>
        <v>11061.1904111269</v>
      </c>
      <c r="C28" s="129" t="n">
        <f aca="false">B28-D28</f>
        <v>1753.02666144842</v>
      </c>
      <c r="D28" s="129" t="n">
        <f aca="false">E27*$B$4/12</f>
        <v>9308.16374967845</v>
      </c>
      <c r="E28" s="129" t="n">
        <f aca="false">E27-C28</f>
        <v>1716677.20404842</v>
      </c>
    </row>
    <row r="29" customFormat="false" ht="15" hidden="false" customHeight="true" outlineLevel="0" collapsed="false">
      <c r="A29" s="127" t="n">
        <v>21</v>
      </c>
      <c r="B29" s="36" t="n">
        <f aca="false">$B$6</f>
        <v>11061.1904111269</v>
      </c>
      <c r="C29" s="36" t="n">
        <f aca="false">B29-D29</f>
        <v>1762.52222253126</v>
      </c>
      <c r="D29" s="36" t="n">
        <f aca="false">E28*$B$4/12</f>
        <v>9298.6681885956</v>
      </c>
      <c r="E29" s="36" t="n">
        <f aca="false">E28-C29</f>
        <v>1714914.68182589</v>
      </c>
    </row>
    <row r="30" customFormat="false" ht="15" hidden="false" customHeight="true" outlineLevel="0" collapsed="false">
      <c r="A30" s="128" t="n">
        <v>22</v>
      </c>
      <c r="B30" s="129" t="n">
        <f aca="false">$B$6</f>
        <v>11061.1904111269</v>
      </c>
      <c r="C30" s="129" t="n">
        <f aca="false">B30-D30</f>
        <v>1772.06921790331</v>
      </c>
      <c r="D30" s="129" t="n">
        <f aca="false">E29*$B$4/12</f>
        <v>9289.12119322356</v>
      </c>
      <c r="E30" s="129" t="n">
        <f aca="false">E29-C30</f>
        <v>1713142.61260798</v>
      </c>
    </row>
    <row r="31" customFormat="false" ht="15" hidden="false" customHeight="true" outlineLevel="0" collapsed="false">
      <c r="A31" s="127" t="n">
        <v>23</v>
      </c>
      <c r="B31" s="36" t="n">
        <f aca="false">$B$6</f>
        <v>11061.1904111269</v>
      </c>
      <c r="C31" s="36" t="n">
        <f aca="false">B31-D31</f>
        <v>1781.66792616695</v>
      </c>
      <c r="D31" s="36" t="n">
        <f aca="false">E30*$B$4/12</f>
        <v>9279.52248495992</v>
      </c>
      <c r="E31" s="36" t="n">
        <f aca="false">E30-C31</f>
        <v>1711360.94468182</v>
      </c>
    </row>
    <row r="32" customFormat="false" ht="15" hidden="false" customHeight="true" outlineLevel="0" collapsed="false">
      <c r="A32" s="128" t="n">
        <v>24</v>
      </c>
      <c r="B32" s="129" t="n">
        <f aca="false">$B$6</f>
        <v>11061.1904111269</v>
      </c>
      <c r="C32" s="129" t="n">
        <f aca="false">B32-D32</f>
        <v>1791.31862743369</v>
      </c>
      <c r="D32" s="129" t="n">
        <f aca="false">E31*$B$4/12</f>
        <v>9269.87178369318</v>
      </c>
      <c r="E32" s="129" t="n">
        <f aca="false">E31-C32</f>
        <v>1709569.62605438</v>
      </c>
    </row>
    <row r="33" customFormat="false" ht="15" hidden="false" customHeight="true" outlineLevel="0" collapsed="false">
      <c r="A33" s="127" t="n">
        <v>25</v>
      </c>
      <c r="B33" s="36" t="n">
        <f aca="false">$B$6</f>
        <v>11061.1904111269</v>
      </c>
      <c r="C33" s="36" t="n">
        <f aca="false">B33-D33</f>
        <v>1801.02160333229</v>
      </c>
      <c r="D33" s="36" t="n">
        <f aca="false">E32*$B$4/12</f>
        <v>9260.16880779458</v>
      </c>
      <c r="E33" s="36" t="n">
        <f aca="false">E32-C33</f>
        <v>1707768.60445105</v>
      </c>
    </row>
    <row r="34" customFormat="false" ht="15" hidden="false" customHeight="true" outlineLevel="0" collapsed="false">
      <c r="A34" s="128" t="n">
        <v>26</v>
      </c>
      <c r="B34" s="129" t="n">
        <f aca="false">$B$6</f>
        <v>11061.1904111269</v>
      </c>
      <c r="C34" s="129" t="n">
        <f aca="false">B34-D34</f>
        <v>1810.777137017</v>
      </c>
      <c r="D34" s="129" t="n">
        <f aca="false">E33*$B$4/12</f>
        <v>9250.41327410986</v>
      </c>
      <c r="E34" s="129" t="n">
        <f aca="false">E33-C34</f>
        <v>1705957.82731403</v>
      </c>
    </row>
    <row r="35" customFormat="false" ht="15" hidden="false" customHeight="true" outlineLevel="0" collapsed="false">
      <c r="A35" s="127" t="n">
        <v>27</v>
      </c>
      <c r="B35" s="36" t="n">
        <f aca="false">$B$6</f>
        <v>11061.1904111269</v>
      </c>
      <c r="C35" s="36" t="n">
        <f aca="false">B35-D35</f>
        <v>1820.58551317585</v>
      </c>
      <c r="D35" s="36" t="n">
        <f aca="false">E34*$B$4/12</f>
        <v>9240.60489795102</v>
      </c>
      <c r="E35" s="36" t="n">
        <f aca="false">E34-C35</f>
        <v>1704137.24180086</v>
      </c>
    </row>
    <row r="36" customFormat="false" ht="15" hidden="false" customHeight="true" outlineLevel="0" collapsed="false">
      <c r="A36" s="128" t="n">
        <v>28</v>
      </c>
      <c r="B36" s="129" t="n">
        <f aca="false">$B$6</f>
        <v>11061.1904111269</v>
      </c>
      <c r="C36" s="129" t="n">
        <f aca="false">B36-D36</f>
        <v>1830.44701803888</v>
      </c>
      <c r="D36" s="129" t="n">
        <f aca="false">E35*$B$4/12</f>
        <v>9230.74339308799</v>
      </c>
      <c r="E36" s="129" t="n">
        <f aca="false">E35-C36</f>
        <v>1702306.79478282</v>
      </c>
    </row>
    <row r="37" customFormat="false" ht="15" hidden="false" customHeight="true" outlineLevel="0" collapsed="false">
      <c r="A37" s="127" t="n">
        <v>29</v>
      </c>
      <c r="B37" s="36" t="n">
        <f aca="false">$B$6</f>
        <v>11061.1904111269</v>
      </c>
      <c r="C37" s="36" t="n">
        <f aca="false">B37-D37</f>
        <v>1840.36193938659</v>
      </c>
      <c r="D37" s="36" t="n">
        <f aca="false">E36*$B$4/12</f>
        <v>9220.82847174028</v>
      </c>
      <c r="E37" s="36" t="n">
        <f aca="false">E36-C37</f>
        <v>1700466.43284343</v>
      </c>
    </row>
    <row r="38" customFormat="false" ht="15" hidden="false" customHeight="true" outlineLevel="0" collapsed="false">
      <c r="A38" s="128" t="n">
        <v>30</v>
      </c>
      <c r="B38" s="129" t="n">
        <f aca="false">$B$6</f>
        <v>11061.1904111269</v>
      </c>
      <c r="C38" s="129" t="n">
        <f aca="false">B38-D38</f>
        <v>1850.33056655827</v>
      </c>
      <c r="D38" s="129" t="n">
        <f aca="false">E37*$B$4/12</f>
        <v>9210.8598445686</v>
      </c>
      <c r="E38" s="129" t="n">
        <f aca="false">E37-C38</f>
        <v>1698616.10227688</v>
      </c>
    </row>
    <row r="39" customFormat="false" ht="15" hidden="false" customHeight="true" outlineLevel="0" collapsed="false">
      <c r="A39" s="127" t="n">
        <v>31</v>
      </c>
      <c r="B39" s="36" t="n">
        <f aca="false">$B$6</f>
        <v>11061.1904111269</v>
      </c>
      <c r="C39" s="36" t="n">
        <f aca="false">B39-D39</f>
        <v>1860.35319046046</v>
      </c>
      <c r="D39" s="36" t="n">
        <f aca="false">E38*$B$4/12</f>
        <v>9200.83722066641</v>
      </c>
      <c r="E39" s="36" t="n">
        <f aca="false">E38-C39</f>
        <v>1696755.74908641</v>
      </c>
    </row>
    <row r="40" customFormat="false" ht="15" hidden="false" customHeight="true" outlineLevel="0" collapsed="false">
      <c r="A40" s="128" t="n">
        <v>32</v>
      </c>
      <c r="B40" s="129" t="n">
        <f aca="false">$B$6</f>
        <v>11061.1904111269</v>
      </c>
      <c r="C40" s="129" t="n">
        <f aca="false">B40-D40</f>
        <v>1870.43010357545</v>
      </c>
      <c r="D40" s="129" t="n">
        <f aca="false">E39*$B$4/12</f>
        <v>9190.76030755141</v>
      </c>
      <c r="E40" s="129" t="n">
        <f aca="false">E39-C40</f>
        <v>1694885.31898284</v>
      </c>
    </row>
    <row r="41" customFormat="false" ht="15" hidden="false" customHeight="true" outlineLevel="0" collapsed="false">
      <c r="A41" s="127" t="n">
        <v>33</v>
      </c>
      <c r="B41" s="36" t="n">
        <f aca="false">$B$6</f>
        <v>11061.1904111269</v>
      </c>
      <c r="C41" s="36" t="n">
        <f aca="false">B41-D41</f>
        <v>1880.56159996982</v>
      </c>
      <c r="D41" s="36" t="n">
        <f aca="false">E40*$B$4/12</f>
        <v>9180.62881115705</v>
      </c>
      <c r="E41" s="36" t="n">
        <f aca="false">E40-C41</f>
        <v>1693004.75738287</v>
      </c>
    </row>
    <row r="42" customFormat="false" ht="15" hidden="false" customHeight="true" outlineLevel="0" collapsed="false">
      <c r="A42" s="128" t="n">
        <v>34</v>
      </c>
      <c r="B42" s="129" t="n">
        <f aca="false">$B$6</f>
        <v>11061.1904111269</v>
      </c>
      <c r="C42" s="129" t="n">
        <f aca="false">B42-D42</f>
        <v>1890.74797530299</v>
      </c>
      <c r="D42" s="129" t="n">
        <f aca="false">E41*$B$4/12</f>
        <v>9170.44243582388</v>
      </c>
      <c r="E42" s="129" t="n">
        <f aca="false">E41-C42</f>
        <v>1691114.00940757</v>
      </c>
    </row>
    <row r="43" customFormat="false" ht="15" hidden="false" customHeight="true" outlineLevel="0" collapsed="false">
      <c r="A43" s="127" t="n">
        <v>35</v>
      </c>
      <c r="B43" s="36" t="n">
        <f aca="false">$B$6</f>
        <v>11061.1904111269</v>
      </c>
      <c r="C43" s="36" t="n">
        <f aca="false">B43-D43</f>
        <v>1900.98952683588</v>
      </c>
      <c r="D43" s="36" t="n">
        <f aca="false">E42*$B$4/12</f>
        <v>9160.20088429098</v>
      </c>
      <c r="E43" s="36" t="n">
        <f aca="false">E42-C43</f>
        <v>1689213.01988073</v>
      </c>
    </row>
    <row r="44" customFormat="false" ht="15" hidden="false" customHeight="true" outlineLevel="0" collapsed="false">
      <c r="A44" s="128" t="n">
        <v>36</v>
      </c>
      <c r="B44" s="129" t="n">
        <f aca="false">$B$6</f>
        <v>11061.1904111269</v>
      </c>
      <c r="C44" s="129" t="n">
        <f aca="false">B44-D44</f>
        <v>1911.28655343958</v>
      </c>
      <c r="D44" s="129" t="n">
        <f aca="false">E43*$B$4/12</f>
        <v>9149.90385768729</v>
      </c>
      <c r="E44" s="129" t="n">
        <f aca="false">E43-C44</f>
        <v>1687301.73332729</v>
      </c>
    </row>
    <row r="45" customFormat="false" ht="15" hidden="false" customHeight="true" outlineLevel="0" collapsed="false">
      <c r="A45" s="127" t="n">
        <v>37</v>
      </c>
      <c r="B45" s="36" t="n">
        <f aca="false">$B$6</f>
        <v>11061.1904111269</v>
      </c>
      <c r="C45" s="36" t="n">
        <f aca="false">B45-D45</f>
        <v>1921.63935560404</v>
      </c>
      <c r="D45" s="36" t="n">
        <f aca="false">E44*$B$4/12</f>
        <v>9139.55105552282</v>
      </c>
      <c r="E45" s="36" t="n">
        <f aca="false">E44-C45</f>
        <v>1685380.09397169</v>
      </c>
    </row>
    <row r="46" customFormat="false" ht="15" hidden="false" customHeight="true" outlineLevel="0" collapsed="false">
      <c r="A46" s="128" t="n">
        <v>38</v>
      </c>
      <c r="B46" s="129" t="n">
        <f aca="false">$B$6</f>
        <v>11061.1904111269</v>
      </c>
      <c r="C46" s="129" t="n">
        <f aca="false">B46-D46</f>
        <v>1932.0482354469</v>
      </c>
      <c r="D46" s="129" t="n">
        <f aca="false">E45*$B$4/12</f>
        <v>9129.14217567997</v>
      </c>
      <c r="E46" s="129" t="n">
        <f aca="false">E45-C46</f>
        <v>1683448.04573624</v>
      </c>
    </row>
    <row r="47" customFormat="false" ht="15" hidden="false" customHeight="true" outlineLevel="0" collapsed="false">
      <c r="A47" s="127" t="n">
        <v>39</v>
      </c>
      <c r="B47" s="36" t="n">
        <f aca="false">$B$6</f>
        <v>11061.1904111269</v>
      </c>
      <c r="C47" s="36" t="n">
        <f aca="false">B47-D47</f>
        <v>1942.51349672223</v>
      </c>
      <c r="D47" s="36" t="n">
        <f aca="false">E46*$B$4/12</f>
        <v>9118.67691440463</v>
      </c>
      <c r="E47" s="36" t="n">
        <f aca="false">E46-C47</f>
        <v>1681505.53223952</v>
      </c>
    </row>
    <row r="48" customFormat="false" ht="15" hidden="false" customHeight="true" outlineLevel="0" collapsed="false">
      <c r="A48" s="128" t="n">
        <v>40</v>
      </c>
      <c r="B48" s="129" t="n">
        <f aca="false">$B$6</f>
        <v>11061.1904111269</v>
      </c>
      <c r="C48" s="129" t="n">
        <f aca="false">B48-D48</f>
        <v>1953.03544482948</v>
      </c>
      <c r="D48" s="129" t="n">
        <f aca="false">E47*$B$4/12</f>
        <v>9108.15496629739</v>
      </c>
      <c r="E48" s="129" t="n">
        <f aca="false">E47-C48</f>
        <v>1679552.49679469</v>
      </c>
    </row>
    <row r="49" customFormat="false" ht="15" hidden="false" customHeight="true" outlineLevel="0" collapsed="false">
      <c r="A49" s="127" t="n">
        <v>41</v>
      </c>
      <c r="B49" s="36" t="n">
        <f aca="false">$B$6</f>
        <v>11061.1904111269</v>
      </c>
      <c r="C49" s="36" t="n">
        <f aca="false">B49-D49</f>
        <v>1963.61438682231</v>
      </c>
      <c r="D49" s="36" t="n">
        <f aca="false">E48*$B$4/12</f>
        <v>9097.57602430456</v>
      </c>
      <c r="E49" s="36" t="n">
        <f aca="false">E48-C49</f>
        <v>1677588.88240787</v>
      </c>
    </row>
    <row r="50" customFormat="false" ht="15" hidden="false" customHeight="true" outlineLevel="0" collapsed="false">
      <c r="A50" s="128" t="n">
        <v>42</v>
      </c>
      <c r="B50" s="129" t="n">
        <f aca="false">$B$6</f>
        <v>11061.1904111269</v>
      </c>
      <c r="C50" s="129" t="n">
        <f aca="false">B50-D50</f>
        <v>1974.2506314176</v>
      </c>
      <c r="D50" s="129" t="n">
        <f aca="false">E49*$B$4/12</f>
        <v>9086.93977970927</v>
      </c>
      <c r="E50" s="129" t="n">
        <f aca="false">E49-C50</f>
        <v>1675614.63177645</v>
      </c>
    </row>
    <row r="51" customFormat="false" ht="15" hidden="false" customHeight="true" outlineLevel="0" collapsed="false">
      <c r="A51" s="127" t="n">
        <v>43</v>
      </c>
      <c r="B51" s="36" t="n">
        <f aca="false">$B$6</f>
        <v>11061.1904111269</v>
      </c>
      <c r="C51" s="36" t="n">
        <f aca="false">B51-D51</f>
        <v>1984.94448900444</v>
      </c>
      <c r="D51" s="36" t="n">
        <f aca="false">E50*$B$4/12</f>
        <v>9076.24592212243</v>
      </c>
      <c r="E51" s="36" t="n">
        <f aca="false">E50-C51</f>
        <v>1673629.68728744</v>
      </c>
    </row>
    <row r="52" customFormat="false" ht="15" hidden="false" customHeight="true" outlineLevel="0" collapsed="false">
      <c r="A52" s="128" t="n">
        <v>44</v>
      </c>
      <c r="B52" s="129" t="n">
        <f aca="false">$B$6</f>
        <v>11061.1904111269</v>
      </c>
      <c r="C52" s="129" t="n">
        <f aca="false">B52-D52</f>
        <v>1995.69627165322</v>
      </c>
      <c r="D52" s="129" t="n">
        <f aca="false">E51*$B$4/12</f>
        <v>9065.49413947365</v>
      </c>
      <c r="E52" s="129" t="n">
        <f aca="false">E51-C52</f>
        <v>1671633.99101579</v>
      </c>
    </row>
    <row r="53" customFormat="false" ht="15" hidden="false" customHeight="true" outlineLevel="0" collapsed="false">
      <c r="A53" s="127" t="n">
        <v>45</v>
      </c>
      <c r="B53" s="36" t="n">
        <f aca="false">$B$6</f>
        <v>11061.1904111269</v>
      </c>
      <c r="C53" s="36" t="n">
        <f aca="false">B53-D53</f>
        <v>2006.50629312467</v>
      </c>
      <c r="D53" s="36" t="n">
        <f aca="false">E52*$B$4/12</f>
        <v>9054.6841180022</v>
      </c>
      <c r="E53" s="36" t="n">
        <f aca="false">E52-C53</f>
        <v>1669627.48472267</v>
      </c>
    </row>
    <row r="54" customFormat="false" ht="15" hidden="false" customHeight="true" outlineLevel="0" collapsed="false">
      <c r="A54" s="128" t="n">
        <v>46</v>
      </c>
      <c r="B54" s="129" t="n">
        <f aca="false">$B$6</f>
        <v>11061.1904111269</v>
      </c>
      <c r="C54" s="129" t="n">
        <f aca="false">B54-D54</f>
        <v>2017.3748688791</v>
      </c>
      <c r="D54" s="129" t="n">
        <f aca="false">E53*$B$4/12</f>
        <v>9043.81554224777</v>
      </c>
      <c r="E54" s="129" t="n">
        <f aca="false">E53-C54</f>
        <v>1667610.10985379</v>
      </c>
    </row>
    <row r="55" customFormat="false" ht="15" hidden="false" customHeight="true" outlineLevel="0" collapsed="false">
      <c r="A55" s="127" t="n">
        <v>47</v>
      </c>
      <c r="B55" s="36" t="n">
        <f aca="false">$B$6</f>
        <v>11061.1904111269</v>
      </c>
      <c r="C55" s="36" t="n">
        <f aca="false">B55-D55</f>
        <v>2028.30231608552</v>
      </c>
      <c r="D55" s="36" t="n">
        <f aca="false">E54*$B$4/12</f>
        <v>9032.88809504134</v>
      </c>
      <c r="E55" s="36" t="n">
        <f aca="false">E54-C55</f>
        <v>1665581.8075377</v>
      </c>
    </row>
    <row r="56" customFormat="false" ht="15" hidden="false" customHeight="true" outlineLevel="0" collapsed="false">
      <c r="A56" s="128" t="n">
        <v>48</v>
      </c>
      <c r="B56" s="129" t="n">
        <f aca="false">$B$6</f>
        <v>11061.1904111269</v>
      </c>
      <c r="C56" s="129" t="n">
        <f aca="false">B56-D56</f>
        <v>2039.28895363099</v>
      </c>
      <c r="D56" s="129" t="n">
        <f aca="false">E55*$B$4/12</f>
        <v>9021.90145749588</v>
      </c>
      <c r="E56" s="129" t="n">
        <f aca="false">E55-C56</f>
        <v>1663542.51858407</v>
      </c>
    </row>
    <row r="57" customFormat="false" ht="15" hidden="false" customHeight="true" outlineLevel="0" collapsed="false">
      <c r="A57" s="127" t="n">
        <v>49</v>
      </c>
      <c r="B57" s="36" t="n">
        <f aca="false">$B$6</f>
        <v>11061.1904111269</v>
      </c>
      <c r="C57" s="36" t="n">
        <f aca="false">B57-D57</f>
        <v>2050.33510212982</v>
      </c>
      <c r="D57" s="36" t="n">
        <f aca="false">E56*$B$4/12</f>
        <v>9010.85530899705</v>
      </c>
      <c r="E57" s="36" t="n">
        <f aca="false">E56-C57</f>
        <v>1661492.18348194</v>
      </c>
    </row>
    <row r="58" customFormat="false" ht="15" hidden="false" customHeight="true" outlineLevel="0" collapsed="false">
      <c r="A58" s="128" t="n">
        <v>50</v>
      </c>
      <c r="B58" s="129" t="n">
        <f aca="false">$B$6</f>
        <v>11061.1904111269</v>
      </c>
      <c r="C58" s="129" t="n">
        <f aca="false">B58-D58</f>
        <v>2061.44108393303</v>
      </c>
      <c r="D58" s="129" t="n">
        <f aca="false">E57*$B$4/12</f>
        <v>8999.74932719384</v>
      </c>
      <c r="E58" s="129" t="n">
        <f aca="false">E57-C58</f>
        <v>1659430.74239801</v>
      </c>
    </row>
    <row r="59" customFormat="false" ht="15" hidden="false" customHeight="true" outlineLevel="0" collapsed="false">
      <c r="A59" s="127" t="n">
        <v>51</v>
      </c>
      <c r="B59" s="36" t="n">
        <f aca="false">$B$6</f>
        <v>11061.1904111269</v>
      </c>
      <c r="C59" s="36" t="n">
        <f aca="false">B59-D59</f>
        <v>2072.60722313766</v>
      </c>
      <c r="D59" s="36" t="n">
        <f aca="false">E58*$B$4/12</f>
        <v>8988.58318798921</v>
      </c>
      <c r="E59" s="36" t="n">
        <f aca="false">E58-C59</f>
        <v>1657358.13517487</v>
      </c>
    </row>
    <row r="60" customFormat="false" ht="15" hidden="false" customHeight="true" outlineLevel="0" collapsed="false">
      <c r="A60" s="128" t="n">
        <v>52</v>
      </c>
      <c r="B60" s="129" t="n">
        <f aca="false">$B$6</f>
        <v>11061.1904111269</v>
      </c>
      <c r="C60" s="129" t="n">
        <f aca="false">B60-D60</f>
        <v>2083.83384559632</v>
      </c>
      <c r="D60" s="129" t="n">
        <f aca="false">E59*$B$4/12</f>
        <v>8977.35656553054</v>
      </c>
      <c r="E60" s="129" t="n">
        <f aca="false">E59-C60</f>
        <v>1655274.30132927</v>
      </c>
    </row>
    <row r="61" customFormat="false" ht="15" hidden="false" customHeight="true" outlineLevel="0" collapsed="false">
      <c r="A61" s="127" t="n">
        <v>53</v>
      </c>
      <c r="B61" s="36" t="n">
        <f aca="false">$B$6</f>
        <v>11061.1904111269</v>
      </c>
      <c r="C61" s="36" t="n">
        <f aca="false">B61-D61</f>
        <v>2095.12127892664</v>
      </c>
      <c r="D61" s="36" t="n">
        <f aca="false">E60*$B$4/12</f>
        <v>8966.06913220023</v>
      </c>
      <c r="E61" s="36" t="n">
        <f aca="false">E60-C61</f>
        <v>1653179.18005035</v>
      </c>
    </row>
    <row r="62" customFormat="false" ht="15" hidden="false" customHeight="true" outlineLevel="0" collapsed="false">
      <c r="A62" s="128" t="n">
        <v>54</v>
      </c>
      <c r="B62" s="129" t="n">
        <f aca="false">$B$6</f>
        <v>11061.1904111269</v>
      </c>
      <c r="C62" s="129" t="n">
        <f aca="false">B62-D62</f>
        <v>2106.46985252082</v>
      </c>
      <c r="D62" s="129" t="n">
        <f aca="false">E61*$B$4/12</f>
        <v>8954.72055860604</v>
      </c>
      <c r="E62" s="129" t="n">
        <f aca="false">E61-C62</f>
        <v>1651072.71019783</v>
      </c>
    </row>
    <row r="63" customFormat="false" ht="15" hidden="false" customHeight="true" outlineLevel="0" collapsed="false">
      <c r="A63" s="127" t="n">
        <v>55</v>
      </c>
      <c r="B63" s="36" t="n">
        <f aca="false">$B$6</f>
        <v>11061.1904111269</v>
      </c>
      <c r="C63" s="36" t="n">
        <f aca="false">B63-D63</f>
        <v>2117.87989755531</v>
      </c>
      <c r="D63" s="36" t="n">
        <f aca="false">E62*$B$4/12</f>
        <v>8943.31051357155</v>
      </c>
      <c r="E63" s="36" t="n">
        <f aca="false">E62-C63</f>
        <v>1648954.83030027</v>
      </c>
    </row>
    <row r="64" customFormat="false" ht="15" hidden="false" customHeight="true" outlineLevel="0" collapsed="false">
      <c r="A64" s="128" t="n">
        <v>56</v>
      </c>
      <c r="B64" s="129" t="n">
        <f aca="false">$B$6</f>
        <v>11061.1904111269</v>
      </c>
      <c r="C64" s="129" t="n">
        <f aca="false">B64-D64</f>
        <v>2129.3517470004</v>
      </c>
      <c r="D64" s="129" t="n">
        <f aca="false">E63*$B$4/12</f>
        <v>8931.83866412646</v>
      </c>
      <c r="E64" s="129" t="n">
        <f aca="false">E63-C64</f>
        <v>1646825.47855327</v>
      </c>
    </row>
    <row r="65" customFormat="false" ht="15" hidden="false" customHeight="true" outlineLevel="0" collapsed="false">
      <c r="A65" s="127" t="n">
        <v>57</v>
      </c>
      <c r="B65" s="36" t="n">
        <f aca="false">$B$6</f>
        <v>11061.1904111269</v>
      </c>
      <c r="C65" s="36" t="n">
        <f aca="false">B65-D65</f>
        <v>2140.88573562999</v>
      </c>
      <c r="D65" s="36" t="n">
        <f aca="false">E64*$B$4/12</f>
        <v>8920.30467549688</v>
      </c>
      <c r="E65" s="36" t="n">
        <f aca="false">E64-C65</f>
        <v>1644684.59281764</v>
      </c>
    </row>
    <row r="66" customFormat="false" ht="15" hidden="false" customHeight="true" outlineLevel="0" collapsed="false">
      <c r="A66" s="128" t="n">
        <v>58</v>
      </c>
      <c r="B66" s="129" t="n">
        <f aca="false">$B$6</f>
        <v>11061.1904111269</v>
      </c>
      <c r="C66" s="129" t="n">
        <f aca="false">B66-D66</f>
        <v>2152.48220003132</v>
      </c>
      <c r="D66" s="129" t="n">
        <f aca="false">E65*$B$4/12</f>
        <v>8908.70821109555</v>
      </c>
      <c r="E66" s="129" t="n">
        <f aca="false">E65-C66</f>
        <v>1642532.11061761</v>
      </c>
    </row>
    <row r="67" customFormat="false" ht="15" hidden="false" customHeight="true" outlineLevel="0" collapsed="false">
      <c r="A67" s="127" t="n">
        <v>59</v>
      </c>
      <c r="B67" s="36" t="n">
        <f aca="false">$B$6</f>
        <v>11061.1904111269</v>
      </c>
      <c r="C67" s="36" t="n">
        <f aca="false">B67-D67</f>
        <v>2164.14147861482</v>
      </c>
      <c r="D67" s="36" t="n">
        <f aca="false">E66*$B$4/12</f>
        <v>8897.04893251205</v>
      </c>
      <c r="E67" s="36" t="n">
        <f aca="false">E66-C67</f>
        <v>1640367.96913899</v>
      </c>
    </row>
    <row r="68" customFormat="false" ht="15" hidden="false" customHeight="true" outlineLevel="0" collapsed="false">
      <c r="A68" s="128" t="n">
        <v>60</v>
      </c>
      <c r="B68" s="129" t="n">
        <f aca="false">$B$6</f>
        <v>11061.1904111269</v>
      </c>
      <c r="C68" s="129" t="n">
        <f aca="false">B68-D68</f>
        <v>2175.86391162398</v>
      </c>
      <c r="D68" s="129" t="n">
        <f aca="false">E67*$B$4/12</f>
        <v>8885.32649950288</v>
      </c>
      <c r="E68" s="129" t="n">
        <f aca="false">E67-C68</f>
        <v>1638192.10522737</v>
      </c>
    </row>
    <row r="69" customFormat="false" ht="15" hidden="false" customHeight="true" outlineLevel="0" collapsed="false">
      <c r="A69" s="127" t="n">
        <v>61</v>
      </c>
      <c r="B69" s="36" t="n">
        <f aca="false">$B$6</f>
        <v>11061.1904111269</v>
      </c>
      <c r="C69" s="36" t="n">
        <f aca="false">B69-D69</f>
        <v>2187.64984114528</v>
      </c>
      <c r="D69" s="36" t="n">
        <f aca="false">E68*$B$4/12</f>
        <v>8873.54056998158</v>
      </c>
      <c r="E69" s="36" t="n">
        <f aca="false">E68-C69</f>
        <v>1636004.45538622</v>
      </c>
    </row>
    <row r="70" customFormat="false" ht="15" hidden="false" customHeight="true" outlineLevel="0" collapsed="false">
      <c r="A70" s="128" t="n">
        <v>62</v>
      </c>
      <c r="B70" s="129" t="n">
        <f aca="false">$B$6</f>
        <v>11061.1904111269</v>
      </c>
      <c r="C70" s="129" t="n">
        <f aca="false">B70-D70</f>
        <v>2199.49961111815</v>
      </c>
      <c r="D70" s="129" t="n">
        <f aca="false">E69*$B$4/12</f>
        <v>8861.69080000871</v>
      </c>
      <c r="E70" s="129" t="n">
        <f aca="false">E69-C70</f>
        <v>1633804.95577511</v>
      </c>
    </row>
    <row r="71" customFormat="false" ht="15" hidden="false" customHeight="true" outlineLevel="0" collapsed="false">
      <c r="A71" s="127" t="n">
        <v>63</v>
      </c>
      <c r="B71" s="36" t="n">
        <f aca="false">$B$6</f>
        <v>11061.1904111269</v>
      </c>
      <c r="C71" s="36" t="n">
        <f aca="false">B71-D71</f>
        <v>2211.41356734504</v>
      </c>
      <c r="D71" s="36" t="n">
        <f aca="false">E70*$B$4/12</f>
        <v>8849.77684378182</v>
      </c>
      <c r="E71" s="36" t="n">
        <f aca="false">E70-C71</f>
        <v>1631593.54220776</v>
      </c>
    </row>
    <row r="72" customFormat="false" ht="15" hidden="false" customHeight="true" outlineLevel="0" collapsed="false">
      <c r="A72" s="128" t="n">
        <v>64</v>
      </c>
      <c r="B72" s="129" t="n">
        <f aca="false">$B$6</f>
        <v>11061.1904111269</v>
      </c>
      <c r="C72" s="129" t="n">
        <f aca="false">B72-D72</f>
        <v>2223.3920575015</v>
      </c>
      <c r="D72" s="129" t="n">
        <f aca="false">E71*$B$4/12</f>
        <v>8837.79835362537</v>
      </c>
      <c r="E72" s="129" t="n">
        <f aca="false">E71-C72</f>
        <v>1629370.15015026</v>
      </c>
    </row>
    <row r="73" customFormat="false" ht="15" hidden="false" customHeight="true" outlineLevel="0" collapsed="false">
      <c r="A73" s="127" t="n">
        <v>65</v>
      </c>
      <c r="B73" s="36" t="n">
        <f aca="false">$B$6</f>
        <v>11061.1904111269</v>
      </c>
      <c r="C73" s="36" t="n">
        <f aca="false">B73-D73</f>
        <v>2235.4354311463</v>
      </c>
      <c r="D73" s="36" t="n">
        <f aca="false">E72*$B$4/12</f>
        <v>8825.75497998057</v>
      </c>
      <c r="E73" s="36" t="n">
        <f aca="false">E72-C73</f>
        <v>1627134.71471911</v>
      </c>
    </row>
    <row r="74" customFormat="false" ht="15" hidden="false" customHeight="true" outlineLevel="0" collapsed="false">
      <c r="A74" s="128" t="n">
        <v>66</v>
      </c>
      <c r="B74" s="129" t="n">
        <f aca="false">$B$6</f>
        <v>11061.1904111269</v>
      </c>
      <c r="C74" s="129" t="n">
        <f aca="false">B74-D74</f>
        <v>2247.54403973167</v>
      </c>
      <c r="D74" s="129" t="n">
        <f aca="false">E73*$B$4/12</f>
        <v>8813.64637139519</v>
      </c>
      <c r="E74" s="129" t="n">
        <f aca="false">E73-C74</f>
        <v>1624887.17067938</v>
      </c>
    </row>
    <row r="75" customFormat="false" ht="15" hidden="false" customHeight="true" outlineLevel="0" collapsed="false">
      <c r="A75" s="127" t="n">
        <v>67</v>
      </c>
      <c r="B75" s="36" t="n">
        <f aca="false">$B$6</f>
        <v>11061.1904111269</v>
      </c>
      <c r="C75" s="36" t="n">
        <f aca="false">B75-D75</f>
        <v>2259.71823661355</v>
      </c>
      <c r="D75" s="36" t="n">
        <f aca="false">E74*$B$4/12</f>
        <v>8801.47217451332</v>
      </c>
      <c r="E75" s="36" t="n">
        <f aca="false">E74-C75</f>
        <v>1622627.45244277</v>
      </c>
    </row>
    <row r="76" customFormat="false" ht="15" hidden="false" customHeight="true" outlineLevel="0" collapsed="false">
      <c r="A76" s="128" t="n">
        <v>68</v>
      </c>
      <c r="B76" s="129" t="n">
        <f aca="false">$B$6</f>
        <v>11061.1904111269</v>
      </c>
      <c r="C76" s="129" t="n">
        <f aca="false">B76-D76</f>
        <v>2271.95837706187</v>
      </c>
      <c r="D76" s="129" t="n">
        <f aca="false">E75*$B$4/12</f>
        <v>8789.23203406499</v>
      </c>
      <c r="E76" s="129" t="n">
        <f aca="false">E75-C76</f>
        <v>1620355.49406571</v>
      </c>
    </row>
    <row r="77" customFormat="false" ht="15" hidden="false" customHeight="true" outlineLevel="0" collapsed="false">
      <c r="A77" s="127" t="n">
        <v>69</v>
      </c>
      <c r="B77" s="36" t="n">
        <f aca="false">$B$6</f>
        <v>11061.1904111269</v>
      </c>
      <c r="C77" s="36" t="n">
        <f aca="false">B77-D77</f>
        <v>2284.26481827096</v>
      </c>
      <c r="D77" s="36" t="n">
        <f aca="false">E76*$B$4/12</f>
        <v>8776.92559285591</v>
      </c>
      <c r="E77" s="36" t="n">
        <f aca="false">E76-C77</f>
        <v>1618071.22924744</v>
      </c>
    </row>
    <row r="78" customFormat="false" ht="15" hidden="false" customHeight="true" outlineLevel="0" collapsed="false">
      <c r="A78" s="128" t="n">
        <v>70</v>
      </c>
      <c r="B78" s="129" t="n">
        <f aca="false">$B$6</f>
        <v>11061.1904111269</v>
      </c>
      <c r="C78" s="129" t="n">
        <f aca="false">B78-D78</f>
        <v>2296.63791936993</v>
      </c>
      <c r="D78" s="129" t="n">
        <f aca="false">E77*$B$4/12</f>
        <v>8764.55249175694</v>
      </c>
      <c r="E78" s="129" t="n">
        <f aca="false">E77-C78</f>
        <v>1615774.59132807</v>
      </c>
    </row>
    <row r="79" customFormat="false" ht="15" hidden="false" customHeight="true" outlineLevel="0" collapsed="false">
      <c r="A79" s="127" t="n">
        <v>71</v>
      </c>
      <c r="B79" s="36" t="n">
        <f aca="false">$B$6</f>
        <v>11061.1904111269</v>
      </c>
      <c r="C79" s="36" t="n">
        <f aca="false">B79-D79</f>
        <v>2309.07804143318</v>
      </c>
      <c r="D79" s="36" t="n">
        <f aca="false">E78*$B$4/12</f>
        <v>8752.11236969369</v>
      </c>
      <c r="E79" s="36" t="n">
        <f aca="false">E78-C79</f>
        <v>1613465.51328663</v>
      </c>
    </row>
    <row r="80" customFormat="false" ht="15" hidden="false" customHeight="true" outlineLevel="0" collapsed="false">
      <c r="A80" s="128" t="n">
        <v>72</v>
      </c>
      <c r="B80" s="129" t="n">
        <f aca="false">$B$6</f>
        <v>11061.1904111269</v>
      </c>
      <c r="C80" s="129" t="n">
        <f aca="false">B80-D80</f>
        <v>2321.58554749094</v>
      </c>
      <c r="D80" s="129" t="n">
        <f aca="false">E79*$B$4/12</f>
        <v>8739.60486363593</v>
      </c>
      <c r="E80" s="129" t="n">
        <f aca="false">E79-C80</f>
        <v>1611143.92773914</v>
      </c>
    </row>
    <row r="81" customFormat="false" ht="15" hidden="false" customHeight="true" outlineLevel="0" collapsed="false">
      <c r="A81" s="127" t="n">
        <v>73</v>
      </c>
      <c r="B81" s="36" t="n">
        <f aca="false">$B$6</f>
        <v>11061.1904111269</v>
      </c>
      <c r="C81" s="36" t="n">
        <f aca="false">B81-D81</f>
        <v>2334.16080253985</v>
      </c>
      <c r="D81" s="36" t="n">
        <f aca="false">E80*$B$4/12</f>
        <v>8727.02960858701</v>
      </c>
      <c r="E81" s="36" t="n">
        <f aca="false">E80-C81</f>
        <v>1608809.7669366</v>
      </c>
    </row>
    <row r="82" customFormat="false" ht="15" hidden="false" customHeight="true" outlineLevel="0" collapsed="false">
      <c r="A82" s="128" t="n">
        <v>74</v>
      </c>
      <c r="B82" s="129" t="n">
        <f aca="false">$B$6</f>
        <v>11061.1904111269</v>
      </c>
      <c r="C82" s="129" t="n">
        <f aca="false">B82-D82</f>
        <v>2346.80417355361</v>
      </c>
      <c r="D82" s="129" t="n">
        <f aca="false">E81*$B$4/12</f>
        <v>8714.38623757326</v>
      </c>
      <c r="E82" s="129" t="n">
        <f aca="false">E81-C82</f>
        <v>1606462.96276305</v>
      </c>
    </row>
    <row r="83" customFormat="false" ht="15" hidden="false" customHeight="true" outlineLevel="0" collapsed="false">
      <c r="A83" s="127" t="n">
        <v>75</v>
      </c>
      <c r="B83" s="36" t="n">
        <f aca="false">$B$6</f>
        <v>11061.1904111269</v>
      </c>
      <c r="C83" s="36" t="n">
        <f aca="false">B83-D83</f>
        <v>2359.51602949369</v>
      </c>
      <c r="D83" s="36" t="n">
        <f aca="false">E82*$B$4/12</f>
        <v>8701.67438163318</v>
      </c>
      <c r="E83" s="36" t="n">
        <f aca="false">E82-C83</f>
        <v>1604103.44673355</v>
      </c>
    </row>
    <row r="84" customFormat="false" ht="15" hidden="false" customHeight="true" outlineLevel="0" collapsed="false">
      <c r="A84" s="128" t="n">
        <v>76</v>
      </c>
      <c r="B84" s="129" t="n">
        <f aca="false">$B$6</f>
        <v>11061.1904111269</v>
      </c>
      <c r="C84" s="129" t="n">
        <f aca="false">B84-D84</f>
        <v>2372.29674132012</v>
      </c>
      <c r="D84" s="129" t="n">
        <f aca="false">E83*$B$4/12</f>
        <v>8688.89366980675</v>
      </c>
      <c r="E84" s="129" t="n">
        <f aca="false">E83-C84</f>
        <v>1601731.14999223</v>
      </c>
    </row>
    <row r="85" customFormat="false" ht="15" hidden="false" customHeight="true" outlineLevel="0" collapsed="false">
      <c r="A85" s="127" t="n">
        <v>77</v>
      </c>
      <c r="B85" s="36" t="n">
        <f aca="false">$B$6</f>
        <v>11061.1904111269</v>
      </c>
      <c r="C85" s="36" t="n">
        <f aca="false">B85-D85</f>
        <v>2385.14668200227</v>
      </c>
      <c r="D85" s="36" t="n">
        <f aca="false">E84*$B$4/12</f>
        <v>8676.0437291246</v>
      </c>
      <c r="E85" s="36" t="n">
        <f aca="false">E84-C85</f>
        <v>1599346.00331023</v>
      </c>
    </row>
    <row r="86" customFormat="false" ht="15" hidden="false" customHeight="true" outlineLevel="0" collapsed="false">
      <c r="A86" s="128" t="n">
        <v>78</v>
      </c>
      <c r="B86" s="129" t="n">
        <f aca="false">$B$6</f>
        <v>11061.1904111269</v>
      </c>
      <c r="C86" s="129" t="n">
        <f aca="false">B86-D86</f>
        <v>2398.06622652978</v>
      </c>
      <c r="D86" s="129" t="n">
        <f aca="false">E85*$B$4/12</f>
        <v>8663.12418459709</v>
      </c>
      <c r="E86" s="129" t="n">
        <f aca="false">E85-C86</f>
        <v>1596947.9370837</v>
      </c>
    </row>
    <row r="87" customFormat="false" ht="15" hidden="false" customHeight="true" outlineLevel="0" collapsed="false">
      <c r="A87" s="127" t="n">
        <v>79</v>
      </c>
      <c r="B87" s="36" t="n">
        <f aca="false">$B$6</f>
        <v>11061.1904111269</v>
      </c>
      <c r="C87" s="36" t="n">
        <f aca="false">B87-D87</f>
        <v>2411.05575192348</v>
      </c>
      <c r="D87" s="36" t="n">
        <f aca="false">E86*$B$4/12</f>
        <v>8650.13465920338</v>
      </c>
      <c r="E87" s="36" t="n">
        <f aca="false">E86-C87</f>
        <v>1594536.88133178</v>
      </c>
    </row>
    <row r="88" customFormat="false" ht="15" hidden="false" customHeight="true" outlineLevel="0" collapsed="false">
      <c r="A88" s="128" t="n">
        <v>80</v>
      </c>
      <c r="B88" s="129" t="n">
        <f aca="false">$B$6</f>
        <v>11061.1904111269</v>
      </c>
      <c r="C88" s="129" t="n">
        <f aca="false">B88-D88</f>
        <v>2424.1156372464</v>
      </c>
      <c r="D88" s="129" t="n">
        <f aca="false">E87*$B$4/12</f>
        <v>8637.07477388047</v>
      </c>
      <c r="E88" s="129" t="n">
        <f aca="false">E87-C88</f>
        <v>1592112.76569453</v>
      </c>
    </row>
    <row r="89" customFormat="false" ht="15" hidden="false" customHeight="true" outlineLevel="0" collapsed="false">
      <c r="A89" s="127" t="n">
        <v>81</v>
      </c>
      <c r="B89" s="36" t="n">
        <f aca="false">$B$6</f>
        <v>11061.1904111269</v>
      </c>
      <c r="C89" s="36" t="n">
        <f aca="false">B89-D89</f>
        <v>2437.24626361482</v>
      </c>
      <c r="D89" s="36" t="n">
        <f aca="false">E88*$B$4/12</f>
        <v>8623.94414751205</v>
      </c>
      <c r="E89" s="36" t="n">
        <f aca="false">E88-C89</f>
        <v>1589675.51943092</v>
      </c>
    </row>
    <row r="90" customFormat="false" ht="15" hidden="false" customHeight="true" outlineLevel="0" collapsed="false">
      <c r="A90" s="128" t="n">
        <v>82</v>
      </c>
      <c r="B90" s="129" t="n">
        <f aca="false">$B$6</f>
        <v>11061.1904111269</v>
      </c>
      <c r="C90" s="129" t="n">
        <f aca="false">B90-D90</f>
        <v>2450.4480142094</v>
      </c>
      <c r="D90" s="129" t="n">
        <f aca="false">E89*$B$4/12</f>
        <v>8610.74239691747</v>
      </c>
      <c r="E90" s="129" t="n">
        <f aca="false">E89-C90</f>
        <v>1587225.07141671</v>
      </c>
    </row>
    <row r="91" customFormat="false" ht="15" hidden="false" customHeight="true" outlineLevel="0" collapsed="false">
      <c r="A91" s="127" t="n">
        <v>83</v>
      </c>
      <c r="B91" s="36" t="n">
        <f aca="false">$B$6</f>
        <v>11061.1904111269</v>
      </c>
      <c r="C91" s="36" t="n">
        <f aca="false">B91-D91</f>
        <v>2463.72127428637</v>
      </c>
      <c r="D91" s="36" t="n">
        <f aca="false">E90*$B$4/12</f>
        <v>8597.4691368405</v>
      </c>
      <c r="E91" s="36" t="n">
        <f aca="false">E90-C91</f>
        <v>1584761.35014242</v>
      </c>
    </row>
    <row r="92" customFormat="false" ht="15" hidden="false" customHeight="true" outlineLevel="0" collapsed="false">
      <c r="A92" s="128" t="n">
        <v>84</v>
      </c>
      <c r="B92" s="129" t="n">
        <f aca="false">$B$6</f>
        <v>11061.1904111269</v>
      </c>
      <c r="C92" s="129" t="n">
        <f aca="false">B92-D92</f>
        <v>2477.06643118875</v>
      </c>
      <c r="D92" s="129" t="n">
        <f aca="false">E91*$B$4/12</f>
        <v>8584.12397993812</v>
      </c>
      <c r="E92" s="129" t="n">
        <f aca="false">E91-C92</f>
        <v>1582284.28371123</v>
      </c>
    </row>
    <row r="93" customFormat="false" ht="15" hidden="false" customHeight="true" outlineLevel="0" collapsed="false">
      <c r="A93" s="127" t="n">
        <v>85</v>
      </c>
      <c r="B93" s="36" t="n">
        <f aca="false">$B$6</f>
        <v>11061.1904111269</v>
      </c>
      <c r="C93" s="36" t="n">
        <f aca="false">B93-D93</f>
        <v>2490.48387435769</v>
      </c>
      <c r="D93" s="36" t="n">
        <f aca="false">E92*$B$4/12</f>
        <v>8570.70653676918</v>
      </c>
      <c r="E93" s="36" t="n">
        <f aca="false">E92-C93</f>
        <v>1579793.79983687</v>
      </c>
    </row>
    <row r="94" customFormat="false" ht="15" hidden="false" customHeight="true" outlineLevel="0" collapsed="false">
      <c r="A94" s="128" t="n">
        <v>86</v>
      </c>
      <c r="B94" s="129" t="n">
        <f aca="false">$B$6</f>
        <v>11061.1904111269</v>
      </c>
      <c r="C94" s="129" t="n">
        <f aca="false">B94-D94</f>
        <v>2503.97399534379</v>
      </c>
      <c r="D94" s="129" t="n">
        <f aca="false">E93*$B$4/12</f>
        <v>8557.21641578307</v>
      </c>
      <c r="E94" s="129" t="n">
        <f aca="false">E93-C94</f>
        <v>1577289.82584153</v>
      </c>
    </row>
    <row r="95" customFormat="false" ht="15" hidden="false" customHeight="true" outlineLevel="0" collapsed="false">
      <c r="A95" s="127" t="n">
        <v>87</v>
      </c>
      <c r="B95" s="36" t="n">
        <f aca="false">$B$6</f>
        <v>11061.1904111269</v>
      </c>
      <c r="C95" s="36" t="n">
        <f aca="false">B95-D95</f>
        <v>2517.53718781857</v>
      </c>
      <c r="D95" s="36" t="n">
        <f aca="false">E94*$B$4/12</f>
        <v>8543.65322330829</v>
      </c>
      <c r="E95" s="36" t="n">
        <f aca="false">E94-C95</f>
        <v>1574772.28865371</v>
      </c>
    </row>
    <row r="96" customFormat="false" ht="15" hidden="false" customHeight="true" outlineLevel="0" collapsed="false">
      <c r="A96" s="128" t="n">
        <v>88</v>
      </c>
      <c r="B96" s="129" t="n">
        <f aca="false">$B$6</f>
        <v>11061.1904111269</v>
      </c>
      <c r="C96" s="129" t="n">
        <f aca="false">B96-D96</f>
        <v>2531.17384758593</v>
      </c>
      <c r="D96" s="129" t="n">
        <f aca="false">E95*$B$4/12</f>
        <v>8530.01656354094</v>
      </c>
      <c r="E96" s="129" t="n">
        <f aca="false">E95-C96</f>
        <v>1572241.11480613</v>
      </c>
    </row>
    <row r="97" customFormat="false" ht="15" hidden="false" customHeight="true" outlineLevel="0" collapsed="false">
      <c r="A97" s="127" t="n">
        <v>89</v>
      </c>
      <c r="B97" s="36" t="n">
        <f aca="false">$B$6</f>
        <v>11061.1904111269</v>
      </c>
      <c r="C97" s="36" t="n">
        <f aca="false">B97-D97</f>
        <v>2544.88437259368</v>
      </c>
      <c r="D97" s="36" t="n">
        <f aca="false">E96*$B$4/12</f>
        <v>8516.30603853319</v>
      </c>
      <c r="E97" s="36" t="n">
        <f aca="false">E96-C97</f>
        <v>1569696.23043353</v>
      </c>
    </row>
    <row r="98" customFormat="false" ht="15" hidden="false" customHeight="true" outlineLevel="0" collapsed="false">
      <c r="A98" s="128" t="n">
        <v>90</v>
      </c>
      <c r="B98" s="129" t="n">
        <f aca="false">$B$6</f>
        <v>11061.1904111269</v>
      </c>
      <c r="C98" s="129" t="n">
        <f aca="false">B98-D98</f>
        <v>2558.66916294523</v>
      </c>
      <c r="D98" s="129" t="n">
        <f aca="false">E97*$B$4/12</f>
        <v>8502.52124818164</v>
      </c>
      <c r="E98" s="129" t="n">
        <f aca="false">E97-C98</f>
        <v>1567137.56127059</v>
      </c>
    </row>
    <row r="99" customFormat="false" ht="15" hidden="false" customHeight="true" outlineLevel="0" collapsed="false">
      <c r="A99" s="127" t="n">
        <v>91</v>
      </c>
      <c r="B99" s="36" t="n">
        <f aca="false">$B$6</f>
        <v>11061.1904111269</v>
      </c>
      <c r="C99" s="36" t="n">
        <f aca="false">B99-D99</f>
        <v>2572.52862091118</v>
      </c>
      <c r="D99" s="36" t="n">
        <f aca="false">E98*$B$4/12</f>
        <v>8488.66179021568</v>
      </c>
      <c r="E99" s="36" t="n">
        <f aca="false">E98-C99</f>
        <v>1564565.03264968</v>
      </c>
    </row>
    <row r="100" customFormat="false" ht="15" hidden="false" customHeight="true" outlineLevel="0" collapsed="false">
      <c r="A100" s="128" t="n">
        <v>92</v>
      </c>
      <c r="B100" s="129" t="n">
        <f aca="false">$B$6</f>
        <v>11061.1904111269</v>
      </c>
      <c r="C100" s="129" t="n">
        <f aca="false">B100-D100</f>
        <v>2586.46315094112</v>
      </c>
      <c r="D100" s="129" t="n">
        <f aca="false">E99*$B$4/12</f>
        <v>8474.72726018575</v>
      </c>
      <c r="E100" s="129" t="n">
        <f aca="false">E99-C100</f>
        <v>1561978.56949874</v>
      </c>
    </row>
    <row r="101" customFormat="false" ht="15" hidden="false" customHeight="true" outlineLevel="0" collapsed="false">
      <c r="A101" s="127" t="n">
        <v>93</v>
      </c>
      <c r="B101" s="36" t="n">
        <f aca="false">$B$6</f>
        <v>11061.1904111269</v>
      </c>
      <c r="C101" s="36" t="n">
        <f aca="false">B101-D101</f>
        <v>2600.47315967538</v>
      </c>
      <c r="D101" s="36" t="n">
        <f aca="false">E100*$B$4/12</f>
        <v>8460.71725145148</v>
      </c>
      <c r="E101" s="36" t="n">
        <f aca="false">E100-C101</f>
        <v>1559378.09633906</v>
      </c>
    </row>
    <row r="102" customFormat="false" ht="15" hidden="false" customHeight="true" outlineLevel="0" collapsed="false">
      <c r="A102" s="128" t="n">
        <v>94</v>
      </c>
      <c r="B102" s="129" t="n">
        <f aca="false">$B$6</f>
        <v>11061.1904111269</v>
      </c>
      <c r="C102" s="129" t="n">
        <f aca="false">B102-D102</f>
        <v>2614.55905595696</v>
      </c>
      <c r="D102" s="129" t="n">
        <f aca="false">E101*$B$4/12</f>
        <v>8446.63135516991</v>
      </c>
      <c r="E102" s="129" t="n">
        <f aca="false">E101-C102</f>
        <v>1556763.5372831</v>
      </c>
    </row>
    <row r="103" customFormat="false" ht="15" hidden="false" customHeight="true" outlineLevel="0" collapsed="false">
      <c r="A103" s="127" t="n">
        <v>95</v>
      </c>
      <c r="B103" s="36" t="n">
        <f aca="false">$B$6</f>
        <v>11061.1904111269</v>
      </c>
      <c r="C103" s="36" t="n">
        <f aca="false">B103-D103</f>
        <v>2628.72125084339</v>
      </c>
      <c r="D103" s="36" t="n">
        <f aca="false">E102*$B$4/12</f>
        <v>8432.46916028347</v>
      </c>
      <c r="E103" s="36" t="n">
        <f aca="false">E102-C103</f>
        <v>1554134.81603226</v>
      </c>
    </row>
    <row r="104" customFormat="false" ht="15" hidden="false" customHeight="true" outlineLevel="0" collapsed="false">
      <c r="A104" s="128" t="n">
        <v>96</v>
      </c>
      <c r="B104" s="129" t="n">
        <f aca="false">$B$6</f>
        <v>11061.1904111269</v>
      </c>
      <c r="C104" s="129" t="n">
        <f aca="false">B104-D104</f>
        <v>2642.9601576188</v>
      </c>
      <c r="D104" s="129" t="n">
        <f aca="false">E103*$B$4/12</f>
        <v>8418.23025350807</v>
      </c>
      <c r="E104" s="129" t="n">
        <f aca="false">E103-C104</f>
        <v>1551491.85587464</v>
      </c>
    </row>
    <row r="105" customFormat="false" ht="15" hidden="false" customHeight="true" outlineLevel="0" collapsed="false">
      <c r="A105" s="127" t="n">
        <v>97</v>
      </c>
      <c r="B105" s="36" t="n">
        <f aca="false">$B$6</f>
        <v>11061.1904111269</v>
      </c>
      <c r="C105" s="36" t="n">
        <f aca="false">B105-D105</f>
        <v>2657.2761918059</v>
      </c>
      <c r="D105" s="36" t="n">
        <f aca="false">E104*$B$4/12</f>
        <v>8403.91421932097</v>
      </c>
      <c r="E105" s="36" t="n">
        <f aca="false">E104-C105</f>
        <v>1548834.57968283</v>
      </c>
    </row>
    <row r="106" customFormat="false" ht="15" hidden="false" customHeight="true" outlineLevel="0" collapsed="false">
      <c r="A106" s="128" t="n">
        <v>98</v>
      </c>
      <c r="B106" s="129" t="n">
        <f aca="false">$B$6</f>
        <v>11061.1904111269</v>
      </c>
      <c r="C106" s="129" t="n">
        <f aca="false">B106-D106</f>
        <v>2671.66977117818</v>
      </c>
      <c r="D106" s="129" t="n">
        <f aca="false">E105*$B$4/12</f>
        <v>8389.52063994869</v>
      </c>
      <c r="E106" s="129" t="n">
        <f aca="false">E105-C106</f>
        <v>1546162.90991166</v>
      </c>
    </row>
    <row r="107" customFormat="false" ht="15" hidden="false" customHeight="true" outlineLevel="0" collapsed="false">
      <c r="A107" s="127" t="n">
        <v>99</v>
      </c>
      <c r="B107" s="36" t="n">
        <f aca="false">$B$6</f>
        <v>11061.1904111269</v>
      </c>
      <c r="C107" s="36" t="n">
        <f aca="false">B107-D107</f>
        <v>2686.14131577206</v>
      </c>
      <c r="D107" s="36" t="n">
        <f aca="false">E106*$B$4/12</f>
        <v>8375.04909535481</v>
      </c>
      <c r="E107" s="36" t="n">
        <f aca="false">E106-C107</f>
        <v>1543476.76859588</v>
      </c>
    </row>
    <row r="108" customFormat="false" ht="15" hidden="false" customHeight="true" outlineLevel="0" collapsed="false">
      <c r="A108" s="128" t="n">
        <v>100</v>
      </c>
      <c r="B108" s="129" t="n">
        <f aca="false">$B$6</f>
        <v>11061.1904111269</v>
      </c>
      <c r="C108" s="129" t="n">
        <f aca="false">B108-D108</f>
        <v>2700.69124789916</v>
      </c>
      <c r="D108" s="129" t="n">
        <f aca="false">E107*$B$4/12</f>
        <v>8360.49916322771</v>
      </c>
      <c r="E108" s="129" t="n">
        <f aca="false">E107-C108</f>
        <v>1540776.07734799</v>
      </c>
    </row>
    <row r="109" customFormat="false" ht="15" hidden="false" customHeight="true" outlineLevel="0" collapsed="false">
      <c r="A109" s="127" t="n">
        <v>101</v>
      </c>
      <c r="B109" s="36" t="n">
        <f aca="false">$B$6</f>
        <v>11061.1904111269</v>
      </c>
      <c r="C109" s="36" t="n">
        <f aca="false">B109-D109</f>
        <v>2715.31999215861</v>
      </c>
      <c r="D109" s="36" t="n">
        <f aca="false">E108*$B$4/12</f>
        <v>8345.87041896825</v>
      </c>
      <c r="E109" s="36" t="n">
        <f aca="false">E108-C109</f>
        <v>1538060.75735583</v>
      </c>
    </row>
    <row r="110" customFormat="false" ht="15" hidden="false" customHeight="true" outlineLevel="0" collapsed="false">
      <c r="A110" s="128" t="n">
        <v>102</v>
      </c>
      <c r="B110" s="129" t="n">
        <f aca="false">$B$6</f>
        <v>11061.1904111269</v>
      </c>
      <c r="C110" s="129" t="n">
        <f aca="false">B110-D110</f>
        <v>2730.02797544947</v>
      </c>
      <c r="D110" s="129" t="n">
        <f aca="false">E109*$B$4/12</f>
        <v>8331.1624356774</v>
      </c>
      <c r="E110" s="129" t="n">
        <f aca="false">E109-C110</f>
        <v>1535330.72938038</v>
      </c>
    </row>
    <row r="111" customFormat="false" ht="15" hidden="false" customHeight="true" outlineLevel="0" collapsed="false">
      <c r="A111" s="127" t="n">
        <v>103</v>
      </c>
      <c r="B111" s="36" t="n">
        <f aca="false">$B$6</f>
        <v>11061.1904111269</v>
      </c>
      <c r="C111" s="36" t="n">
        <f aca="false">B111-D111</f>
        <v>2744.81562698316</v>
      </c>
      <c r="D111" s="36" t="n">
        <f aca="false">E110*$B$4/12</f>
        <v>8316.37478414371</v>
      </c>
      <c r="E111" s="36" t="n">
        <f aca="false">E110-C111</f>
        <v>1532585.91375339</v>
      </c>
    </row>
    <row r="112" customFormat="false" ht="15" hidden="false" customHeight="true" outlineLevel="0" collapsed="false">
      <c r="A112" s="128" t="n">
        <v>104</v>
      </c>
      <c r="B112" s="129" t="n">
        <f aca="false">$B$6</f>
        <v>11061.1904111269</v>
      </c>
      <c r="C112" s="129" t="n">
        <f aca="false">B112-D112</f>
        <v>2759.68337829598</v>
      </c>
      <c r="D112" s="129" t="n">
        <f aca="false">E111*$B$4/12</f>
        <v>8301.50703283089</v>
      </c>
      <c r="E112" s="129" t="n">
        <f aca="false">E111-C112</f>
        <v>1529826.2303751</v>
      </c>
    </row>
    <row r="113" customFormat="false" ht="15" hidden="false" customHeight="true" outlineLevel="0" collapsed="false">
      <c r="A113" s="127" t="n">
        <v>105</v>
      </c>
      <c r="B113" s="36" t="n">
        <f aca="false">$B$6</f>
        <v>11061.1904111269</v>
      </c>
      <c r="C113" s="36" t="n">
        <f aca="false">B113-D113</f>
        <v>2774.63166326175</v>
      </c>
      <c r="D113" s="36" t="n">
        <f aca="false">E112*$B$4/12</f>
        <v>8286.55874786512</v>
      </c>
      <c r="E113" s="36" t="n">
        <f aca="false">E112-C113</f>
        <v>1527051.59871184</v>
      </c>
    </row>
    <row r="114" customFormat="false" ht="15" hidden="false" customHeight="true" outlineLevel="0" collapsed="false">
      <c r="A114" s="128" t="n">
        <v>106</v>
      </c>
      <c r="B114" s="129" t="n">
        <f aca="false">$B$6</f>
        <v>11061.1904111269</v>
      </c>
      <c r="C114" s="129" t="n">
        <f aca="false">B114-D114</f>
        <v>2789.66091810442</v>
      </c>
      <c r="D114" s="129" t="n">
        <f aca="false">E113*$B$4/12</f>
        <v>8271.52949302245</v>
      </c>
      <c r="E114" s="129" t="n">
        <f aca="false">E113-C114</f>
        <v>1524261.93779373</v>
      </c>
    </row>
    <row r="115" customFormat="false" ht="15" hidden="false" customHeight="true" outlineLevel="0" collapsed="false">
      <c r="A115" s="127" t="n">
        <v>107</v>
      </c>
      <c r="B115" s="36" t="n">
        <f aca="false">$B$6</f>
        <v>11061.1904111269</v>
      </c>
      <c r="C115" s="36" t="n">
        <f aca="false">B115-D115</f>
        <v>2804.77158141082</v>
      </c>
      <c r="D115" s="36" t="n">
        <f aca="false">E114*$B$4/12</f>
        <v>8256.41882971605</v>
      </c>
      <c r="E115" s="36" t="n">
        <f aca="false">E114-C115</f>
        <v>1521457.16621232</v>
      </c>
    </row>
    <row r="116" customFormat="false" ht="15" hidden="false" customHeight="true" outlineLevel="0" collapsed="false">
      <c r="A116" s="128" t="n">
        <v>108</v>
      </c>
      <c r="B116" s="129" t="n">
        <f aca="false">$B$6</f>
        <v>11061.1904111269</v>
      </c>
      <c r="C116" s="129" t="n">
        <f aca="false">B116-D116</f>
        <v>2819.96409414346</v>
      </c>
      <c r="D116" s="129" t="n">
        <f aca="false">E115*$B$4/12</f>
        <v>8241.22631698341</v>
      </c>
      <c r="E116" s="129" t="n">
        <f aca="false">E115-C116</f>
        <v>1518637.20211818</v>
      </c>
    </row>
    <row r="117" customFormat="false" ht="15" hidden="false" customHeight="true" outlineLevel="0" collapsed="false">
      <c r="A117" s="127" t="n">
        <v>109</v>
      </c>
      <c r="B117" s="36" t="n">
        <f aca="false">$B$6</f>
        <v>11061.1904111269</v>
      </c>
      <c r="C117" s="36" t="n">
        <f aca="false">B117-D117</f>
        <v>2835.2388996534</v>
      </c>
      <c r="D117" s="36" t="n">
        <f aca="false">E116*$B$4/12</f>
        <v>8225.95151147346</v>
      </c>
      <c r="E117" s="36" t="n">
        <f aca="false">E116-C117</f>
        <v>1515801.96321852</v>
      </c>
    </row>
    <row r="118" customFormat="false" ht="15" hidden="false" customHeight="true" outlineLevel="0" collapsed="false">
      <c r="A118" s="128" t="n">
        <v>110</v>
      </c>
      <c r="B118" s="129" t="n">
        <f aca="false">$B$6</f>
        <v>11061.1904111269</v>
      </c>
      <c r="C118" s="129" t="n">
        <f aca="false">B118-D118</f>
        <v>2850.59644369319</v>
      </c>
      <c r="D118" s="129" t="n">
        <f aca="false">E117*$B$4/12</f>
        <v>8210.59396743368</v>
      </c>
      <c r="E118" s="129" t="n">
        <f aca="false">E117-C118</f>
        <v>1512951.36677483</v>
      </c>
    </row>
    <row r="119" customFormat="false" ht="15" hidden="false" customHeight="true" outlineLevel="0" collapsed="false">
      <c r="A119" s="127" t="n">
        <v>111</v>
      </c>
      <c r="B119" s="36" t="n">
        <f aca="false">$B$6</f>
        <v>11061.1904111269</v>
      </c>
      <c r="C119" s="36" t="n">
        <f aca="false">B119-D119</f>
        <v>2866.03717442986</v>
      </c>
      <c r="D119" s="36" t="n">
        <f aca="false">E118*$B$4/12</f>
        <v>8195.153236697</v>
      </c>
      <c r="E119" s="36" t="n">
        <f aca="false">E118-C119</f>
        <v>1510085.3296004</v>
      </c>
    </row>
    <row r="120" customFormat="false" ht="15" hidden="false" customHeight="true" outlineLevel="0" collapsed="false">
      <c r="A120" s="128" t="n">
        <v>112</v>
      </c>
      <c r="B120" s="129" t="n">
        <f aca="false">$B$6</f>
        <v>11061.1904111269</v>
      </c>
      <c r="C120" s="129" t="n">
        <f aca="false">B120-D120</f>
        <v>2881.56154245803</v>
      </c>
      <c r="D120" s="129" t="n">
        <f aca="false">E119*$B$4/12</f>
        <v>8179.62886866884</v>
      </c>
      <c r="E120" s="129" t="n">
        <f aca="false">E119-C120</f>
        <v>1507203.76805794</v>
      </c>
    </row>
    <row r="121" customFormat="false" ht="15" hidden="false" customHeight="true" outlineLevel="0" collapsed="false">
      <c r="A121" s="127" t="n">
        <v>113</v>
      </c>
      <c r="B121" s="36" t="n">
        <f aca="false">$B$6</f>
        <v>11061.1904111269</v>
      </c>
      <c r="C121" s="36" t="n">
        <f aca="false">B121-D121</f>
        <v>2897.17000081301</v>
      </c>
      <c r="D121" s="36" t="n">
        <f aca="false">E120*$B$4/12</f>
        <v>8164.02041031386</v>
      </c>
      <c r="E121" s="36" t="n">
        <f aca="false">E120-C121</f>
        <v>1504306.59805713</v>
      </c>
    </row>
    <row r="122" customFormat="false" ht="15" hidden="false" customHeight="true" outlineLevel="0" collapsed="false">
      <c r="A122" s="128" t="n">
        <v>114</v>
      </c>
      <c r="B122" s="129" t="n">
        <f aca="false">$B$6</f>
        <v>11061.1904111269</v>
      </c>
      <c r="C122" s="129" t="n">
        <f aca="false">B122-D122</f>
        <v>2912.86300498408</v>
      </c>
      <c r="D122" s="129" t="n">
        <f aca="false">E121*$B$4/12</f>
        <v>8148.32740614279</v>
      </c>
      <c r="E122" s="129" t="n">
        <f aca="false">E121-C122</f>
        <v>1501393.73505215</v>
      </c>
    </row>
    <row r="123" customFormat="false" ht="15" hidden="false" customHeight="true" outlineLevel="0" collapsed="false">
      <c r="A123" s="127" t="n">
        <v>115</v>
      </c>
      <c r="B123" s="36" t="n">
        <f aca="false">$B$6</f>
        <v>11061.1904111269</v>
      </c>
      <c r="C123" s="36" t="n">
        <f aca="false">B123-D123</f>
        <v>2928.64101292774</v>
      </c>
      <c r="D123" s="36" t="n">
        <f aca="false">E122*$B$4/12</f>
        <v>8132.54939819912</v>
      </c>
      <c r="E123" s="36" t="n">
        <f aca="false">E122-C123</f>
        <v>1498465.09403922</v>
      </c>
    </row>
    <row r="124" customFormat="false" ht="15" hidden="false" customHeight="true" outlineLevel="0" collapsed="false">
      <c r="A124" s="128" t="n">
        <v>116</v>
      </c>
      <c r="B124" s="129" t="n">
        <f aca="false">$B$6</f>
        <v>11061.1904111269</v>
      </c>
      <c r="C124" s="129" t="n">
        <f aca="false">B124-D124</f>
        <v>2944.5044850811</v>
      </c>
      <c r="D124" s="129" t="n">
        <f aca="false">E123*$B$4/12</f>
        <v>8116.68592604577</v>
      </c>
      <c r="E124" s="129" t="n">
        <f aca="false">E123-C124</f>
        <v>1495520.58955414</v>
      </c>
    </row>
    <row r="125" customFormat="false" ht="15" hidden="false" customHeight="true" outlineLevel="0" collapsed="false">
      <c r="A125" s="127" t="n">
        <v>117</v>
      </c>
      <c r="B125" s="36" t="n">
        <f aca="false">$B$6</f>
        <v>11061.1904111269</v>
      </c>
      <c r="C125" s="36" t="n">
        <f aca="false">B125-D125</f>
        <v>2960.45388437529</v>
      </c>
      <c r="D125" s="36" t="n">
        <f aca="false">E124*$B$4/12</f>
        <v>8100.73652675158</v>
      </c>
      <c r="E125" s="36" t="n">
        <f aca="false">E124-C125</f>
        <v>1492560.13566976</v>
      </c>
    </row>
    <row r="126" customFormat="false" ht="15" hidden="false" customHeight="true" outlineLevel="0" collapsed="false">
      <c r="A126" s="128" t="n">
        <v>118</v>
      </c>
      <c r="B126" s="129" t="n">
        <f aca="false">$B$6</f>
        <v>11061.1904111269</v>
      </c>
      <c r="C126" s="129" t="n">
        <f aca="false">B126-D126</f>
        <v>2976.48967624899</v>
      </c>
      <c r="D126" s="129" t="n">
        <f aca="false">E125*$B$4/12</f>
        <v>8084.70073487788</v>
      </c>
      <c r="E126" s="129" t="n">
        <f aca="false">E125-C126</f>
        <v>1489583.64599351</v>
      </c>
    </row>
    <row r="127" customFormat="false" ht="15" hidden="false" customHeight="true" outlineLevel="0" collapsed="false">
      <c r="A127" s="127" t="n">
        <v>119</v>
      </c>
      <c r="B127" s="36" t="n">
        <f aca="false">$B$6</f>
        <v>11061.1904111269</v>
      </c>
      <c r="C127" s="36" t="n">
        <f aca="false">B127-D127</f>
        <v>2992.61232866201</v>
      </c>
      <c r="D127" s="36" t="n">
        <f aca="false">E126*$B$4/12</f>
        <v>8068.57808246486</v>
      </c>
      <c r="E127" s="36" t="n">
        <f aca="false">E126-C127</f>
        <v>1486591.03366485</v>
      </c>
    </row>
    <row r="128" customFormat="false" ht="15" hidden="false" customHeight="true" outlineLevel="0" collapsed="false">
      <c r="A128" s="128" t="n">
        <v>120</v>
      </c>
      <c r="B128" s="129" t="n">
        <f aca="false">$B$6</f>
        <v>11061.1904111269</v>
      </c>
      <c r="C128" s="129" t="n">
        <f aca="false">B128-D128</f>
        <v>3008.82231210893</v>
      </c>
      <c r="D128" s="129" t="n">
        <f aca="false">E127*$B$4/12</f>
        <v>8052.36809901794</v>
      </c>
      <c r="E128" s="129" t="n">
        <f aca="false">E127-C128</f>
        <v>1483582.21135274</v>
      </c>
    </row>
    <row r="129" customFormat="false" ht="15" hidden="false" customHeight="true" outlineLevel="0" collapsed="false">
      <c r="A129" s="127" t="n">
        <v>121</v>
      </c>
      <c r="B129" s="36" t="n">
        <f aca="false">$B$6</f>
        <v>11061.1904111269</v>
      </c>
      <c r="C129" s="36" t="n">
        <f aca="false">B129-D129</f>
        <v>3025.12009963285</v>
      </c>
      <c r="D129" s="36" t="n">
        <f aca="false">E128*$B$4/12</f>
        <v>8036.07031149402</v>
      </c>
      <c r="E129" s="36" t="n">
        <f aca="false">E128-C129</f>
        <v>1480557.09125311</v>
      </c>
    </row>
    <row r="130" customFormat="false" ht="15" hidden="false" customHeight="true" outlineLevel="0" collapsed="false">
      <c r="A130" s="128" t="n">
        <v>122</v>
      </c>
      <c r="B130" s="129" t="n">
        <f aca="false">$B$6</f>
        <v>11061.1904111269</v>
      </c>
      <c r="C130" s="129" t="n">
        <f aca="false">B130-D130</f>
        <v>3041.50616683919</v>
      </c>
      <c r="D130" s="129" t="n">
        <f aca="false">E129*$B$4/12</f>
        <v>8019.68424428767</v>
      </c>
      <c r="E130" s="129" t="n">
        <f aca="false">E129-C130</f>
        <v>1477515.58508627</v>
      </c>
    </row>
    <row r="131" customFormat="false" ht="15" hidden="false" customHeight="true" outlineLevel="0" collapsed="false">
      <c r="A131" s="127" t="n">
        <v>123</v>
      </c>
      <c r="B131" s="36" t="n">
        <f aca="false">$B$6</f>
        <v>11061.1904111269</v>
      </c>
      <c r="C131" s="36" t="n">
        <f aca="false">B131-D131</f>
        <v>3057.98099190957</v>
      </c>
      <c r="D131" s="36" t="n">
        <f aca="false">E130*$B$4/12</f>
        <v>8003.2094192173</v>
      </c>
      <c r="E131" s="36" t="n">
        <f aca="false">E130-C131</f>
        <v>1474457.60409436</v>
      </c>
    </row>
    <row r="132" customFormat="false" ht="15" hidden="false" customHeight="true" outlineLevel="0" collapsed="false">
      <c r="A132" s="128" t="n">
        <v>124</v>
      </c>
      <c r="B132" s="129" t="n">
        <f aca="false">$B$6</f>
        <v>11061.1904111269</v>
      </c>
      <c r="C132" s="129" t="n">
        <f aca="false">B132-D132</f>
        <v>3074.54505561575</v>
      </c>
      <c r="D132" s="129" t="n">
        <f aca="false">E131*$B$4/12</f>
        <v>7986.64535551112</v>
      </c>
      <c r="E132" s="129" t="n">
        <f aca="false">E131-C132</f>
        <v>1471383.05903874</v>
      </c>
    </row>
    <row r="133" customFormat="false" ht="15" hidden="false" customHeight="true" outlineLevel="0" collapsed="false">
      <c r="A133" s="127" t="n">
        <v>125</v>
      </c>
      <c r="B133" s="36" t="n">
        <f aca="false">$B$6</f>
        <v>11061.1904111269</v>
      </c>
      <c r="C133" s="36" t="n">
        <f aca="false">B133-D133</f>
        <v>3091.19884133367</v>
      </c>
      <c r="D133" s="36" t="n">
        <f aca="false">E132*$B$4/12</f>
        <v>7969.9915697932</v>
      </c>
      <c r="E133" s="36" t="n">
        <f aca="false">E132-C133</f>
        <v>1468291.86019741</v>
      </c>
    </row>
    <row r="134" customFormat="false" ht="15" hidden="false" customHeight="true" outlineLevel="0" collapsed="false">
      <c r="A134" s="128" t="n">
        <v>126</v>
      </c>
      <c r="B134" s="129" t="n">
        <f aca="false">$B$6</f>
        <v>11061.1904111269</v>
      </c>
      <c r="C134" s="129" t="n">
        <f aca="false">B134-D134</f>
        <v>3107.94283505756</v>
      </c>
      <c r="D134" s="129" t="n">
        <f aca="false">E133*$B$4/12</f>
        <v>7953.24757606931</v>
      </c>
      <c r="E134" s="129" t="n">
        <f aca="false">E133-C134</f>
        <v>1465183.91736235</v>
      </c>
    </row>
    <row r="135" customFormat="false" ht="15" hidden="false" customHeight="true" outlineLevel="0" collapsed="false">
      <c r="A135" s="127" t="n">
        <v>127</v>
      </c>
      <c r="B135" s="36" t="n">
        <f aca="false">$B$6</f>
        <v>11061.1904111269</v>
      </c>
      <c r="C135" s="36" t="n">
        <f aca="false">B135-D135</f>
        <v>3124.77752541412</v>
      </c>
      <c r="D135" s="36" t="n">
        <f aca="false">E134*$B$4/12</f>
        <v>7936.41288571275</v>
      </c>
      <c r="E135" s="36" t="n">
        <f aca="false">E134-C135</f>
        <v>1462059.13983694</v>
      </c>
    </row>
    <row r="136" customFormat="false" ht="15" hidden="false" customHeight="true" outlineLevel="0" collapsed="false">
      <c r="A136" s="128" t="n">
        <v>128</v>
      </c>
      <c r="B136" s="129" t="n">
        <f aca="false">$B$6</f>
        <v>11061.1904111269</v>
      </c>
      <c r="C136" s="129" t="n">
        <f aca="false">B136-D136</f>
        <v>3141.70340367678</v>
      </c>
      <c r="D136" s="129" t="n">
        <f aca="false">E135*$B$4/12</f>
        <v>7919.48700745009</v>
      </c>
      <c r="E136" s="129" t="n">
        <f aca="false">E135-C136</f>
        <v>1458917.43643326</v>
      </c>
    </row>
    <row r="137" customFormat="false" ht="15" hidden="false" customHeight="true" outlineLevel="0" collapsed="false">
      <c r="A137" s="127" t="n">
        <v>129</v>
      </c>
      <c r="B137" s="36" t="n">
        <f aca="false">$B$6</f>
        <v>11061.1904111269</v>
      </c>
      <c r="C137" s="36" t="n">
        <f aca="false">B137-D137</f>
        <v>3158.72096378003</v>
      </c>
      <c r="D137" s="36" t="n">
        <f aca="false">E136*$B$4/12</f>
        <v>7902.46944734684</v>
      </c>
      <c r="E137" s="36" t="n">
        <f aca="false">E136-C137</f>
        <v>1455758.71546948</v>
      </c>
    </row>
    <row r="138" customFormat="false" ht="15" hidden="false" customHeight="true" outlineLevel="0" collapsed="false">
      <c r="A138" s="128" t="n">
        <v>130</v>
      </c>
      <c r="B138" s="129" t="n">
        <f aca="false">$B$6</f>
        <v>11061.1904111269</v>
      </c>
      <c r="C138" s="129" t="n">
        <f aca="false">B138-D138</f>
        <v>3175.83070233384</v>
      </c>
      <c r="D138" s="129" t="n">
        <f aca="false">E137*$B$4/12</f>
        <v>7885.35970879303</v>
      </c>
      <c r="E138" s="129" t="n">
        <f aca="false">E137-C138</f>
        <v>1452582.88476715</v>
      </c>
    </row>
    <row r="139" customFormat="false" ht="15" hidden="false" customHeight="true" outlineLevel="0" collapsed="false">
      <c r="A139" s="127" t="n">
        <v>131</v>
      </c>
      <c r="B139" s="36" t="n">
        <f aca="false">$B$6</f>
        <v>11061.1904111269</v>
      </c>
      <c r="C139" s="36" t="n">
        <f aca="false">B139-D139</f>
        <v>3193.03311863815</v>
      </c>
      <c r="D139" s="36" t="n">
        <f aca="false">E138*$B$4/12</f>
        <v>7868.15729248872</v>
      </c>
      <c r="E139" s="36" t="n">
        <f aca="false">E138-C139</f>
        <v>1449389.85164851</v>
      </c>
    </row>
    <row r="140" customFormat="false" ht="15" hidden="false" customHeight="true" outlineLevel="0" collapsed="false">
      <c r="A140" s="128" t="n">
        <v>132</v>
      </c>
      <c r="B140" s="129" t="n">
        <f aca="false">$B$6</f>
        <v>11061.1904111269</v>
      </c>
      <c r="C140" s="129" t="n">
        <f aca="false">B140-D140</f>
        <v>3210.32871469744</v>
      </c>
      <c r="D140" s="129" t="n">
        <f aca="false">E139*$B$4/12</f>
        <v>7850.86169642943</v>
      </c>
      <c r="E140" s="129" t="n">
        <f aca="false">E139-C140</f>
        <v>1446179.52293381</v>
      </c>
    </row>
    <row r="141" customFormat="false" ht="15" hidden="false" customHeight="true" outlineLevel="0" collapsed="false">
      <c r="A141" s="127" t="n">
        <v>133</v>
      </c>
      <c r="B141" s="36" t="n">
        <f aca="false">$B$6</f>
        <v>11061.1904111269</v>
      </c>
      <c r="C141" s="36" t="n">
        <f aca="false">B141-D141</f>
        <v>3227.71799523538</v>
      </c>
      <c r="D141" s="36" t="n">
        <f aca="false">E140*$B$4/12</f>
        <v>7833.47241589149</v>
      </c>
      <c r="E141" s="36" t="n">
        <f aca="false">E140-C141</f>
        <v>1442951.80493858</v>
      </c>
    </row>
    <row r="142" customFormat="false" ht="15" hidden="false" customHeight="true" outlineLevel="0" collapsed="false">
      <c r="A142" s="128" t="n">
        <v>134</v>
      </c>
      <c r="B142" s="129" t="n">
        <f aca="false">$B$6</f>
        <v>11061.1904111269</v>
      </c>
      <c r="C142" s="129" t="n">
        <f aca="false">B142-D142</f>
        <v>3245.20146770957</v>
      </c>
      <c r="D142" s="129" t="n">
        <f aca="false">E141*$B$4/12</f>
        <v>7815.9889434173</v>
      </c>
      <c r="E142" s="129" t="n">
        <f aca="false">E141-C142</f>
        <v>1439706.60347087</v>
      </c>
    </row>
    <row r="143" customFormat="false" ht="15" hidden="false" customHeight="true" outlineLevel="0" collapsed="false">
      <c r="A143" s="127" t="n">
        <v>135</v>
      </c>
      <c r="B143" s="36" t="n">
        <f aca="false">$B$6</f>
        <v>11061.1904111269</v>
      </c>
      <c r="C143" s="36" t="n">
        <f aca="false">B143-D143</f>
        <v>3262.77964232633</v>
      </c>
      <c r="D143" s="36" t="n">
        <f aca="false">E142*$B$4/12</f>
        <v>7798.41076880053</v>
      </c>
      <c r="E143" s="36" t="n">
        <f aca="false">E142-C143</f>
        <v>1436443.82382854</v>
      </c>
    </row>
    <row r="144" customFormat="false" ht="15" hidden="false" customHeight="true" outlineLevel="0" collapsed="false">
      <c r="A144" s="128" t="n">
        <v>136</v>
      </c>
      <c r="B144" s="129" t="n">
        <f aca="false">$B$6</f>
        <v>11061.1904111269</v>
      </c>
      <c r="C144" s="129" t="n">
        <f aca="false">B144-D144</f>
        <v>3280.4530320556</v>
      </c>
      <c r="D144" s="129" t="n">
        <f aca="false">E143*$B$4/12</f>
        <v>7780.73737907127</v>
      </c>
      <c r="E144" s="129" t="n">
        <f aca="false">E143-C144</f>
        <v>1433163.37079649</v>
      </c>
    </row>
    <row r="145" customFormat="false" ht="15" hidden="false" customHeight="true" outlineLevel="0" collapsed="false">
      <c r="A145" s="127" t="n">
        <v>137</v>
      </c>
      <c r="B145" s="36" t="n">
        <f aca="false">$B$6</f>
        <v>11061.1904111269</v>
      </c>
      <c r="C145" s="36" t="n">
        <f aca="false">B145-D145</f>
        <v>3298.2221526459</v>
      </c>
      <c r="D145" s="36" t="n">
        <f aca="false">E144*$B$4/12</f>
        <v>7762.96825848096</v>
      </c>
      <c r="E145" s="36" t="n">
        <f aca="false">E144-C145</f>
        <v>1429865.14864384</v>
      </c>
    </row>
    <row r="146" customFormat="false" ht="15" hidden="false" customHeight="true" outlineLevel="0" collapsed="false">
      <c r="A146" s="128" t="n">
        <v>138</v>
      </c>
      <c r="B146" s="129" t="n">
        <f aca="false">$B$6</f>
        <v>11061.1904111269</v>
      </c>
      <c r="C146" s="129" t="n">
        <f aca="false">B146-D146</f>
        <v>3316.0875226394</v>
      </c>
      <c r="D146" s="129" t="n">
        <f aca="false">E145*$B$4/12</f>
        <v>7745.10288848747</v>
      </c>
      <c r="E146" s="129" t="n">
        <f aca="false">E145-C146</f>
        <v>1426549.0611212</v>
      </c>
    </row>
    <row r="147" customFormat="false" ht="15" hidden="false" customHeight="true" outlineLevel="0" collapsed="false">
      <c r="A147" s="127" t="n">
        <v>139</v>
      </c>
      <c r="B147" s="36" t="n">
        <f aca="false">$B$6</f>
        <v>11061.1904111269</v>
      </c>
      <c r="C147" s="36" t="n">
        <f aca="false">B147-D147</f>
        <v>3334.04966338703</v>
      </c>
      <c r="D147" s="36" t="n">
        <f aca="false">E146*$B$4/12</f>
        <v>7727.14074773984</v>
      </c>
      <c r="E147" s="36" t="n">
        <f aca="false">E146-C147</f>
        <v>1423215.01145781</v>
      </c>
    </row>
    <row r="148" customFormat="false" ht="15" hidden="false" customHeight="true" outlineLevel="0" collapsed="false">
      <c r="A148" s="128" t="n">
        <v>140</v>
      </c>
      <c r="B148" s="129" t="n">
        <f aca="false">$B$6</f>
        <v>11061.1904111269</v>
      </c>
      <c r="C148" s="129" t="n">
        <f aca="false">B148-D148</f>
        <v>3352.10909906371</v>
      </c>
      <c r="D148" s="129" t="n">
        <f aca="false">E147*$B$4/12</f>
        <v>7709.08131206316</v>
      </c>
      <c r="E148" s="129" t="n">
        <f aca="false">E147-C148</f>
        <v>1419862.90235875</v>
      </c>
    </row>
    <row r="149" customFormat="false" ht="15" hidden="false" customHeight="true" outlineLevel="0" collapsed="false">
      <c r="A149" s="127" t="n">
        <v>141</v>
      </c>
      <c r="B149" s="36" t="n">
        <f aca="false">$B$6</f>
        <v>11061.1904111269</v>
      </c>
      <c r="C149" s="36" t="n">
        <f aca="false">B149-D149</f>
        <v>3370.26635668364</v>
      </c>
      <c r="D149" s="36" t="n">
        <f aca="false">E148*$B$4/12</f>
        <v>7690.92405444323</v>
      </c>
      <c r="E149" s="36" t="n">
        <f aca="false">E148-C149</f>
        <v>1416492.63600207</v>
      </c>
    </row>
    <row r="150" customFormat="false" ht="15" hidden="false" customHeight="true" outlineLevel="0" collapsed="false">
      <c r="A150" s="128" t="n">
        <v>142</v>
      </c>
      <c r="B150" s="129" t="n">
        <f aca="false">$B$6</f>
        <v>11061.1904111269</v>
      </c>
      <c r="C150" s="129" t="n">
        <f aca="false">B150-D150</f>
        <v>3388.52196611568</v>
      </c>
      <c r="D150" s="129" t="n">
        <f aca="false">E149*$B$4/12</f>
        <v>7672.66844501119</v>
      </c>
      <c r="E150" s="129" t="n">
        <f aca="false">E149-C150</f>
        <v>1413104.11403595</v>
      </c>
    </row>
    <row r="151" customFormat="false" ht="15" hidden="false" customHeight="true" outlineLevel="0" collapsed="false">
      <c r="A151" s="127" t="n">
        <v>143</v>
      </c>
      <c r="B151" s="36" t="n">
        <f aca="false">$B$6</f>
        <v>11061.1904111269</v>
      </c>
      <c r="C151" s="36" t="n">
        <f aca="false">B151-D151</f>
        <v>3406.8764600988</v>
      </c>
      <c r="D151" s="36" t="n">
        <f aca="false">E150*$B$4/12</f>
        <v>7654.31395102807</v>
      </c>
      <c r="E151" s="36" t="n">
        <f aca="false">E150-C151</f>
        <v>1409697.23757585</v>
      </c>
    </row>
    <row r="152" customFormat="false" ht="15" hidden="false" customHeight="true" outlineLevel="0" collapsed="false">
      <c r="A152" s="128" t="n">
        <v>144</v>
      </c>
      <c r="B152" s="129" t="n">
        <f aca="false">$B$6</f>
        <v>11061.1904111269</v>
      </c>
      <c r="C152" s="129" t="n">
        <f aca="false">B152-D152</f>
        <v>3425.33037425767</v>
      </c>
      <c r="D152" s="129" t="n">
        <f aca="false">E151*$B$4/12</f>
        <v>7635.8600368692</v>
      </c>
      <c r="E152" s="129" t="n">
        <f aca="false">E151-C152</f>
        <v>1406271.90720159</v>
      </c>
    </row>
    <row r="153" customFormat="false" ht="15" hidden="false" customHeight="true" outlineLevel="0" collapsed="false">
      <c r="A153" s="127" t="n">
        <v>145</v>
      </c>
      <c r="B153" s="36" t="n">
        <f aca="false">$B$6</f>
        <v>11061.1904111269</v>
      </c>
      <c r="C153" s="36" t="n">
        <f aca="false">B153-D153</f>
        <v>3443.88424711823</v>
      </c>
      <c r="D153" s="36" t="n">
        <f aca="false">E152*$B$4/12</f>
        <v>7617.30616400863</v>
      </c>
      <c r="E153" s="36" t="n">
        <f aca="false">E152-C153</f>
        <v>1402828.02295448</v>
      </c>
    </row>
    <row r="154" customFormat="false" ht="15" hidden="false" customHeight="true" outlineLevel="0" collapsed="false">
      <c r="A154" s="128" t="n">
        <v>146</v>
      </c>
      <c r="B154" s="129" t="n">
        <f aca="false">$B$6</f>
        <v>11061.1904111269</v>
      </c>
      <c r="C154" s="129" t="n">
        <f aca="false">B154-D154</f>
        <v>3462.53862012346</v>
      </c>
      <c r="D154" s="129" t="n">
        <f aca="false">E153*$B$4/12</f>
        <v>7598.65179100341</v>
      </c>
      <c r="E154" s="129" t="n">
        <f aca="false">E153-C154</f>
        <v>1399365.48433435</v>
      </c>
    </row>
    <row r="155" customFormat="false" ht="15" hidden="false" customHeight="true" outlineLevel="0" collapsed="false">
      <c r="A155" s="127" t="n">
        <v>147</v>
      </c>
      <c r="B155" s="36" t="n">
        <f aca="false">$B$6</f>
        <v>11061.1904111269</v>
      </c>
      <c r="C155" s="36" t="n">
        <f aca="false">B155-D155</f>
        <v>3481.29403764912</v>
      </c>
      <c r="D155" s="36" t="n">
        <f aca="false">E154*$B$4/12</f>
        <v>7579.89637347774</v>
      </c>
      <c r="E155" s="36" t="n">
        <f aca="false">E154-C155</f>
        <v>1395884.1902967</v>
      </c>
    </row>
    <row r="156" customFormat="false" ht="15" hidden="false" customHeight="true" outlineLevel="0" collapsed="false">
      <c r="A156" s="128" t="n">
        <v>148</v>
      </c>
      <c r="B156" s="129" t="n">
        <f aca="false">$B$6</f>
        <v>11061.1904111269</v>
      </c>
      <c r="C156" s="129" t="n">
        <f aca="false">B156-D156</f>
        <v>3500.15104701972</v>
      </c>
      <c r="D156" s="129" t="n">
        <f aca="false">E155*$B$4/12</f>
        <v>7561.03936410714</v>
      </c>
      <c r="E156" s="129" t="n">
        <f aca="false">E155-C156</f>
        <v>1392384.03924968</v>
      </c>
    </row>
    <row r="157" customFormat="false" ht="15" hidden="false" customHeight="true" outlineLevel="0" collapsed="false">
      <c r="A157" s="127" t="n">
        <v>149</v>
      </c>
      <c r="B157" s="36" t="n">
        <f aca="false">$B$6</f>
        <v>11061.1904111269</v>
      </c>
      <c r="C157" s="36" t="n">
        <f aca="false">B157-D157</f>
        <v>3519.11019852441</v>
      </c>
      <c r="D157" s="36" t="n">
        <f aca="false">E156*$B$4/12</f>
        <v>7542.08021260245</v>
      </c>
      <c r="E157" s="36" t="n">
        <f aca="false">E156-C157</f>
        <v>1388864.92905116</v>
      </c>
    </row>
    <row r="158" customFormat="false" ht="15" hidden="false" customHeight="true" outlineLevel="0" collapsed="false">
      <c r="A158" s="128" t="n">
        <v>150</v>
      </c>
      <c r="B158" s="129" t="n">
        <f aca="false">$B$6</f>
        <v>11061.1904111269</v>
      </c>
      <c r="C158" s="129" t="n">
        <f aca="false">B158-D158</f>
        <v>3538.17204543309</v>
      </c>
      <c r="D158" s="129" t="n">
        <f aca="false">E157*$B$4/12</f>
        <v>7523.01836569378</v>
      </c>
      <c r="E158" s="129" t="n">
        <f aca="false">E157-C158</f>
        <v>1385326.75700573</v>
      </c>
    </row>
    <row r="159" customFormat="false" ht="15" hidden="false" customHeight="true" outlineLevel="0" collapsed="false">
      <c r="A159" s="127" t="n">
        <v>151</v>
      </c>
      <c r="B159" s="36" t="n">
        <f aca="false">$B$6</f>
        <v>11061.1904111269</v>
      </c>
      <c r="C159" s="36" t="n">
        <f aca="false">B159-D159</f>
        <v>3557.33714401252</v>
      </c>
      <c r="D159" s="36" t="n">
        <f aca="false">E158*$B$4/12</f>
        <v>7503.85326711435</v>
      </c>
      <c r="E159" s="36" t="n">
        <f aca="false">E158-C159</f>
        <v>1381769.41986171</v>
      </c>
    </row>
    <row r="160" customFormat="false" ht="15" hidden="false" customHeight="true" outlineLevel="0" collapsed="false">
      <c r="A160" s="128" t="n">
        <v>152</v>
      </c>
      <c r="B160" s="129" t="n">
        <f aca="false">$B$6</f>
        <v>11061.1904111269</v>
      </c>
      <c r="C160" s="129" t="n">
        <f aca="false">B160-D160</f>
        <v>3576.60605354259</v>
      </c>
      <c r="D160" s="129" t="n">
        <f aca="false">E159*$B$4/12</f>
        <v>7484.58435758428</v>
      </c>
      <c r="E160" s="129" t="n">
        <f aca="false">E159-C160</f>
        <v>1378192.81380817</v>
      </c>
    </row>
    <row r="161" customFormat="false" ht="15" hidden="false" customHeight="true" outlineLevel="0" collapsed="false">
      <c r="A161" s="127" t="n">
        <v>153</v>
      </c>
      <c r="B161" s="36" t="n">
        <f aca="false">$B$6</f>
        <v>11061.1904111269</v>
      </c>
      <c r="C161" s="36" t="n">
        <f aca="false">B161-D161</f>
        <v>3595.97933633261</v>
      </c>
      <c r="D161" s="36" t="n">
        <f aca="false">E160*$B$4/12</f>
        <v>7465.21107479426</v>
      </c>
      <c r="E161" s="36" t="n">
        <f aca="false">E160-C161</f>
        <v>1374596.83447184</v>
      </c>
    </row>
    <row r="162" customFormat="false" ht="15" hidden="false" customHeight="true" outlineLevel="0" collapsed="false">
      <c r="A162" s="128" t="n">
        <v>154</v>
      </c>
      <c r="B162" s="129" t="n">
        <f aca="false">$B$6</f>
        <v>11061.1904111269</v>
      </c>
      <c r="C162" s="129" t="n">
        <f aca="false">B162-D162</f>
        <v>3615.45755773774</v>
      </c>
      <c r="D162" s="129" t="n">
        <f aca="false">E161*$B$4/12</f>
        <v>7445.73285338912</v>
      </c>
      <c r="E162" s="129" t="n">
        <f aca="false">E161-C162</f>
        <v>1370981.3769141</v>
      </c>
    </row>
    <row r="163" customFormat="false" ht="15" hidden="false" customHeight="true" outlineLevel="0" collapsed="false">
      <c r="A163" s="127" t="n">
        <v>155</v>
      </c>
      <c r="B163" s="36" t="n">
        <f aca="false">$B$6</f>
        <v>11061.1904111269</v>
      </c>
      <c r="C163" s="36" t="n">
        <f aca="false">B163-D163</f>
        <v>3635.04128617549</v>
      </c>
      <c r="D163" s="36" t="n">
        <f aca="false">E162*$B$4/12</f>
        <v>7426.14912495138</v>
      </c>
      <c r="E163" s="36" t="n">
        <f aca="false">E162-C163</f>
        <v>1367346.33562793</v>
      </c>
    </row>
    <row r="164" customFormat="false" ht="15" hidden="false" customHeight="true" outlineLevel="0" collapsed="false">
      <c r="A164" s="128" t="n">
        <v>156</v>
      </c>
      <c r="B164" s="129" t="n">
        <f aca="false">$B$6</f>
        <v>11061.1904111269</v>
      </c>
      <c r="C164" s="129" t="n">
        <f aca="false">B164-D164</f>
        <v>3654.73109314227</v>
      </c>
      <c r="D164" s="129" t="n">
        <f aca="false">E163*$B$4/12</f>
        <v>7406.45931798459</v>
      </c>
      <c r="E164" s="129" t="n">
        <f aca="false">E163-C164</f>
        <v>1363691.60453478</v>
      </c>
    </row>
    <row r="165" customFormat="false" ht="15" hidden="false" customHeight="true" outlineLevel="0" collapsed="false">
      <c r="A165" s="127" t="n">
        <v>157</v>
      </c>
      <c r="B165" s="36" t="n">
        <f aca="false">$B$6</f>
        <v>11061.1904111269</v>
      </c>
      <c r="C165" s="36" t="n">
        <f aca="false">B165-D165</f>
        <v>3674.52755323013</v>
      </c>
      <c r="D165" s="36" t="n">
        <f aca="false">E164*$B$4/12</f>
        <v>7386.66285789674</v>
      </c>
      <c r="E165" s="36" t="n">
        <f aca="false">E164-C165</f>
        <v>1360017.07698155</v>
      </c>
    </row>
    <row r="166" customFormat="false" ht="15" hidden="false" customHeight="true" outlineLevel="0" collapsed="false">
      <c r="A166" s="128" t="n">
        <v>158</v>
      </c>
      <c r="B166" s="129" t="n">
        <f aca="false">$B$6</f>
        <v>11061.1904111269</v>
      </c>
      <c r="C166" s="129" t="n">
        <f aca="false">B166-D166</f>
        <v>3694.43124414346</v>
      </c>
      <c r="D166" s="129" t="n">
        <f aca="false">E165*$B$4/12</f>
        <v>7366.75916698341</v>
      </c>
      <c r="E166" s="129" t="n">
        <f aca="false">E165-C166</f>
        <v>1356322.64573741</v>
      </c>
    </row>
    <row r="167" customFormat="false" ht="15" hidden="false" customHeight="true" outlineLevel="0" collapsed="false">
      <c r="A167" s="127" t="n">
        <v>159</v>
      </c>
      <c r="B167" s="36" t="n">
        <f aca="false">$B$6</f>
        <v>11061.1904111269</v>
      </c>
      <c r="C167" s="36" t="n">
        <f aca="false">B167-D167</f>
        <v>3714.4427467159</v>
      </c>
      <c r="D167" s="36" t="n">
        <f aca="false">E166*$B$4/12</f>
        <v>7346.74766441097</v>
      </c>
      <c r="E167" s="36" t="n">
        <f aca="false">E166-C167</f>
        <v>1352608.20299069</v>
      </c>
    </row>
    <row r="168" customFormat="false" ht="15" hidden="false" customHeight="true" outlineLevel="0" collapsed="false">
      <c r="A168" s="128" t="n">
        <v>160</v>
      </c>
      <c r="B168" s="129" t="n">
        <f aca="false">$B$6</f>
        <v>11061.1904111269</v>
      </c>
      <c r="C168" s="129" t="n">
        <f aca="false">B168-D168</f>
        <v>3734.56264492728</v>
      </c>
      <c r="D168" s="129" t="n">
        <f aca="false">E167*$B$4/12</f>
        <v>7326.62776619959</v>
      </c>
      <c r="E168" s="129" t="n">
        <f aca="false">E167-C168</f>
        <v>1348873.64034577</v>
      </c>
    </row>
    <row r="169" customFormat="false" ht="15" hidden="false" customHeight="true" outlineLevel="0" collapsed="false">
      <c r="A169" s="127" t="n">
        <v>161</v>
      </c>
      <c r="B169" s="36" t="n">
        <f aca="false">$B$6</f>
        <v>11061.1904111269</v>
      </c>
      <c r="C169" s="36" t="n">
        <f aca="false">B169-D169</f>
        <v>3754.79152592063</v>
      </c>
      <c r="D169" s="36" t="n">
        <f aca="false">E168*$B$4/12</f>
        <v>7306.39888520623</v>
      </c>
      <c r="E169" s="36" t="n">
        <f aca="false">E168-C169</f>
        <v>1345118.84881985</v>
      </c>
    </row>
    <row r="170" customFormat="false" ht="15" hidden="false" customHeight="true" outlineLevel="0" collapsed="false">
      <c r="A170" s="128" t="n">
        <v>162</v>
      </c>
      <c r="B170" s="129" t="n">
        <f aca="false">$B$6</f>
        <v>11061.1904111269</v>
      </c>
      <c r="C170" s="129" t="n">
        <f aca="false">B170-D170</f>
        <v>3775.12998001937</v>
      </c>
      <c r="D170" s="129" t="n">
        <f aca="false">E169*$B$4/12</f>
        <v>7286.0604311075</v>
      </c>
      <c r="E170" s="129" t="n">
        <f aca="false">E169-C170</f>
        <v>1341343.71883983</v>
      </c>
    </row>
    <row r="171" customFormat="false" ht="15" hidden="false" customHeight="true" outlineLevel="0" collapsed="false">
      <c r="A171" s="127" t="n">
        <v>163</v>
      </c>
      <c r="B171" s="36" t="n">
        <f aca="false">$B$6</f>
        <v>11061.1904111269</v>
      </c>
      <c r="C171" s="36" t="n">
        <f aca="false">B171-D171</f>
        <v>3795.57860074447</v>
      </c>
      <c r="D171" s="36" t="n">
        <f aca="false">E170*$B$4/12</f>
        <v>7265.61181038239</v>
      </c>
      <c r="E171" s="36" t="n">
        <f aca="false">E170-C171</f>
        <v>1337548.14023908</v>
      </c>
    </row>
    <row r="172" customFormat="false" ht="15" hidden="false" customHeight="true" outlineLevel="0" collapsed="false">
      <c r="A172" s="128" t="n">
        <v>164</v>
      </c>
      <c r="B172" s="129" t="n">
        <f aca="false">$B$6</f>
        <v>11061.1904111269</v>
      </c>
      <c r="C172" s="129" t="n">
        <f aca="false">B172-D172</f>
        <v>3816.13798483184</v>
      </c>
      <c r="D172" s="129" t="n">
        <f aca="false">E171*$B$4/12</f>
        <v>7245.05242629503</v>
      </c>
      <c r="E172" s="129" t="n">
        <f aca="false">E171-C172</f>
        <v>1333732.00225425</v>
      </c>
    </row>
    <row r="173" customFormat="false" ht="15" hidden="false" customHeight="true" outlineLevel="0" collapsed="false">
      <c r="A173" s="127" t="n">
        <v>165</v>
      </c>
      <c r="B173" s="36" t="n">
        <f aca="false">$B$6</f>
        <v>11061.1904111269</v>
      </c>
      <c r="C173" s="36" t="n">
        <f aca="false">B173-D173</f>
        <v>3836.80873224968</v>
      </c>
      <c r="D173" s="36" t="n">
        <f aca="false">E172*$B$4/12</f>
        <v>7224.38167887719</v>
      </c>
      <c r="E173" s="36" t="n">
        <f aca="false">E172-C173</f>
        <v>1329895.193522</v>
      </c>
    </row>
    <row r="174" customFormat="false" ht="15" hidden="false" customHeight="true" outlineLevel="0" collapsed="false">
      <c r="A174" s="128" t="n">
        <v>166</v>
      </c>
      <c r="B174" s="129" t="n">
        <f aca="false">$B$6</f>
        <v>11061.1904111269</v>
      </c>
      <c r="C174" s="129" t="n">
        <f aca="false">B174-D174</f>
        <v>3857.59144621603</v>
      </c>
      <c r="D174" s="129" t="n">
        <f aca="false">E173*$B$4/12</f>
        <v>7203.59896491083</v>
      </c>
      <c r="E174" s="129" t="n">
        <f aca="false">E173-C174</f>
        <v>1326037.60207578</v>
      </c>
    </row>
    <row r="175" customFormat="false" ht="15" hidden="false" customHeight="true" outlineLevel="0" collapsed="false">
      <c r="A175" s="127" t="n">
        <v>167</v>
      </c>
      <c r="B175" s="36" t="n">
        <f aca="false">$B$6</f>
        <v>11061.1904111269</v>
      </c>
      <c r="C175" s="36" t="n">
        <f aca="false">B175-D175</f>
        <v>3878.48673321637</v>
      </c>
      <c r="D175" s="36" t="n">
        <f aca="false">E174*$B$4/12</f>
        <v>7182.7036779105</v>
      </c>
      <c r="E175" s="36" t="n">
        <f aca="false">E174-C175</f>
        <v>1322159.11534257</v>
      </c>
    </row>
    <row r="176" customFormat="false" ht="15" hidden="false" customHeight="true" outlineLevel="0" collapsed="false">
      <c r="A176" s="128" t="n">
        <v>168</v>
      </c>
      <c r="B176" s="129" t="n">
        <f aca="false">$B$6</f>
        <v>11061.1904111269</v>
      </c>
      <c r="C176" s="129" t="n">
        <f aca="false">B176-D176</f>
        <v>3899.49520302129</v>
      </c>
      <c r="D176" s="129" t="n">
        <f aca="false">E175*$B$4/12</f>
        <v>7161.69520810558</v>
      </c>
      <c r="E176" s="129" t="n">
        <f aca="false">E175-C176</f>
        <v>1318259.62013955</v>
      </c>
    </row>
    <row r="177" customFormat="false" ht="15" hidden="false" customHeight="true" outlineLevel="0" collapsed="false">
      <c r="A177" s="127" t="n">
        <v>169</v>
      </c>
      <c r="B177" s="36" t="n">
        <f aca="false">$B$6</f>
        <v>11061.1904111269</v>
      </c>
      <c r="C177" s="36" t="n">
        <f aca="false">B177-D177</f>
        <v>3920.61746870432</v>
      </c>
      <c r="D177" s="36" t="n">
        <f aca="false">E176*$B$4/12</f>
        <v>7140.57294242255</v>
      </c>
      <c r="E177" s="36" t="n">
        <f aca="false">E176-C177</f>
        <v>1314339.00267084</v>
      </c>
    </row>
    <row r="178" customFormat="false" ht="15" hidden="false" customHeight="true" outlineLevel="0" collapsed="false">
      <c r="A178" s="128" t="n">
        <v>170</v>
      </c>
      <c r="B178" s="129" t="n">
        <f aca="false">$B$6</f>
        <v>11061.1904111269</v>
      </c>
      <c r="C178" s="129" t="n">
        <f aca="false">B178-D178</f>
        <v>3941.8541466598</v>
      </c>
      <c r="D178" s="129" t="n">
        <f aca="false">E177*$B$4/12</f>
        <v>7119.33626446706</v>
      </c>
      <c r="E178" s="129" t="n">
        <f aca="false">E177-C178</f>
        <v>1310397.14852418</v>
      </c>
    </row>
    <row r="179" customFormat="false" ht="15" hidden="false" customHeight="true" outlineLevel="0" collapsed="false">
      <c r="A179" s="127" t="n">
        <v>171</v>
      </c>
      <c r="B179" s="36" t="n">
        <f aca="false">$B$6</f>
        <v>11061.1904111269</v>
      </c>
      <c r="C179" s="36" t="n">
        <f aca="false">B179-D179</f>
        <v>3963.20585662088</v>
      </c>
      <c r="D179" s="36" t="n">
        <f aca="false">E178*$B$4/12</f>
        <v>7097.98455450599</v>
      </c>
      <c r="E179" s="36" t="n">
        <f aca="false">E178-C179</f>
        <v>1306433.94266756</v>
      </c>
    </row>
    <row r="180" customFormat="false" ht="15" hidden="false" customHeight="true" outlineLevel="0" collapsed="false">
      <c r="A180" s="128" t="n">
        <v>172</v>
      </c>
      <c r="B180" s="129" t="n">
        <f aca="false">$B$6</f>
        <v>11061.1904111269</v>
      </c>
      <c r="C180" s="129" t="n">
        <f aca="false">B180-D180</f>
        <v>3984.67322167757</v>
      </c>
      <c r="D180" s="129" t="n">
        <f aca="false">E179*$B$4/12</f>
        <v>7076.51718944929</v>
      </c>
      <c r="E180" s="129" t="n">
        <f aca="false">E179-C180</f>
        <v>1302449.26944588</v>
      </c>
    </row>
    <row r="181" customFormat="false" ht="15" hidden="false" customHeight="true" outlineLevel="0" collapsed="false">
      <c r="A181" s="127" t="n">
        <v>173</v>
      </c>
      <c r="B181" s="36" t="n">
        <f aca="false">$B$6</f>
        <v>11061.1904111269</v>
      </c>
      <c r="C181" s="36" t="n">
        <f aca="false">B181-D181</f>
        <v>4006.25686829499</v>
      </c>
      <c r="D181" s="36" t="n">
        <f aca="false">E180*$B$4/12</f>
        <v>7054.93354283187</v>
      </c>
      <c r="E181" s="36" t="n">
        <f aca="false">E180-C181</f>
        <v>1298443.01257759</v>
      </c>
    </row>
    <row r="182" customFormat="false" ht="15" hidden="false" customHeight="true" outlineLevel="0" collapsed="false">
      <c r="A182" s="128" t="n">
        <v>174</v>
      </c>
      <c r="B182" s="129" t="n">
        <f aca="false">$B$6</f>
        <v>11061.1904111269</v>
      </c>
      <c r="C182" s="129" t="n">
        <f aca="false">B182-D182</f>
        <v>4027.95742633159</v>
      </c>
      <c r="D182" s="129" t="n">
        <f aca="false">E181*$B$4/12</f>
        <v>7033.23298479528</v>
      </c>
      <c r="E182" s="129" t="n">
        <f aca="false">E181-C182</f>
        <v>1294415.05515126</v>
      </c>
    </row>
    <row r="183" customFormat="false" ht="15" hidden="false" customHeight="true" outlineLevel="0" collapsed="false">
      <c r="A183" s="127" t="n">
        <v>175</v>
      </c>
      <c r="B183" s="36" t="n">
        <f aca="false">$B$6</f>
        <v>11061.1904111269</v>
      </c>
      <c r="C183" s="36" t="n">
        <f aca="false">B183-D183</f>
        <v>4049.77552905755</v>
      </c>
      <c r="D183" s="36" t="n">
        <f aca="false">E182*$B$4/12</f>
        <v>7011.41488206931</v>
      </c>
      <c r="E183" s="36" t="n">
        <f aca="false">E182-C183</f>
        <v>1290365.2796222</v>
      </c>
    </row>
    <row r="184" customFormat="false" ht="15" hidden="false" customHeight="true" outlineLevel="0" collapsed="false">
      <c r="A184" s="128" t="n">
        <v>176</v>
      </c>
      <c r="B184" s="129" t="n">
        <f aca="false">$B$6</f>
        <v>11061.1904111269</v>
      </c>
      <c r="C184" s="129" t="n">
        <f aca="false">B184-D184</f>
        <v>4071.71181317328</v>
      </c>
      <c r="D184" s="129" t="n">
        <f aca="false">E183*$B$4/12</f>
        <v>6989.47859795358</v>
      </c>
      <c r="E184" s="129" t="n">
        <f aca="false">E183-C184</f>
        <v>1286293.56780903</v>
      </c>
    </row>
    <row r="185" customFormat="false" ht="15" hidden="false" customHeight="true" outlineLevel="0" collapsed="false">
      <c r="A185" s="127" t="n">
        <v>177</v>
      </c>
      <c r="B185" s="36" t="n">
        <f aca="false">$B$6</f>
        <v>11061.1904111269</v>
      </c>
      <c r="C185" s="36" t="n">
        <f aca="false">B185-D185</f>
        <v>4093.76691882797</v>
      </c>
      <c r="D185" s="36" t="n">
        <f aca="false">E184*$B$4/12</f>
        <v>6967.4234922989</v>
      </c>
      <c r="E185" s="36" t="n">
        <f aca="false">E184-C185</f>
        <v>1282199.8008902</v>
      </c>
    </row>
    <row r="186" customFormat="false" ht="15" hidden="false" customHeight="true" outlineLevel="0" collapsed="false">
      <c r="A186" s="128" t="n">
        <v>178</v>
      </c>
      <c r="B186" s="129" t="n">
        <f aca="false">$B$6</f>
        <v>11061.1904111269</v>
      </c>
      <c r="C186" s="129" t="n">
        <f aca="false">B186-D186</f>
        <v>4115.94148963829</v>
      </c>
      <c r="D186" s="129" t="n">
        <f aca="false">E185*$B$4/12</f>
        <v>6945.24892148858</v>
      </c>
      <c r="E186" s="129" t="n">
        <f aca="false">E185-C186</f>
        <v>1278083.85940056</v>
      </c>
    </row>
    <row r="187" customFormat="false" ht="15" hidden="false" customHeight="true" outlineLevel="0" collapsed="false">
      <c r="A187" s="127" t="n">
        <v>179</v>
      </c>
      <c r="B187" s="36" t="n">
        <f aca="false">$B$6</f>
        <v>11061.1904111269</v>
      </c>
      <c r="C187" s="36" t="n">
        <f aca="false">B187-D187</f>
        <v>4138.23617270716</v>
      </c>
      <c r="D187" s="36" t="n">
        <f aca="false">E186*$B$4/12</f>
        <v>6922.9542384197</v>
      </c>
      <c r="E187" s="36" t="n">
        <f aca="false">E186-C187</f>
        <v>1273945.62322785</v>
      </c>
    </row>
    <row r="188" customFormat="false" ht="15" hidden="false" customHeight="true" outlineLevel="0" collapsed="false">
      <c r="A188" s="128" t="n">
        <v>180</v>
      </c>
      <c r="B188" s="129" t="n">
        <f aca="false">$B$6</f>
        <v>11061.1904111269</v>
      </c>
      <c r="C188" s="129" t="n">
        <f aca="false">B188-D188</f>
        <v>4160.65161864266</v>
      </c>
      <c r="D188" s="129" t="n">
        <f aca="false">E187*$B$4/12</f>
        <v>6900.53879248421</v>
      </c>
      <c r="E188" s="129" t="n">
        <f aca="false">E187-C188</f>
        <v>1269784.97160921</v>
      </c>
    </row>
    <row r="189" customFormat="false" ht="15" hidden="false" customHeight="true" outlineLevel="0" collapsed="false">
      <c r="A189" s="127" t="n">
        <v>181</v>
      </c>
      <c r="B189" s="36" t="n">
        <f aca="false">$B$6</f>
        <v>11061.1904111269</v>
      </c>
      <c r="C189" s="36" t="n">
        <f aca="false">B189-D189</f>
        <v>4183.18848157697</v>
      </c>
      <c r="D189" s="36" t="n">
        <f aca="false">E188*$B$4/12</f>
        <v>6878.00192954989</v>
      </c>
      <c r="E189" s="36" t="n">
        <f aca="false">E188-C189</f>
        <v>1265601.78312763</v>
      </c>
    </row>
    <row r="190" customFormat="false" ht="15" hidden="false" customHeight="true" outlineLevel="0" collapsed="false">
      <c r="A190" s="128" t="n">
        <v>182</v>
      </c>
      <c r="B190" s="129" t="n">
        <f aca="false">$B$6</f>
        <v>11061.1904111269</v>
      </c>
      <c r="C190" s="129" t="n">
        <f aca="false">B190-D190</f>
        <v>4205.84741918552</v>
      </c>
      <c r="D190" s="129" t="n">
        <f aca="false">E189*$B$4/12</f>
        <v>6855.34299194135</v>
      </c>
      <c r="E190" s="129" t="n">
        <f aca="false">E189-C190</f>
        <v>1261395.93570845</v>
      </c>
    </row>
    <row r="191" customFormat="false" ht="15" hidden="false" customHeight="true" outlineLevel="0" collapsed="false">
      <c r="A191" s="127" t="n">
        <v>183</v>
      </c>
      <c r="B191" s="36" t="n">
        <f aca="false">$B$6</f>
        <v>11061.1904111269</v>
      </c>
      <c r="C191" s="36" t="n">
        <f aca="false">B191-D191</f>
        <v>4228.62909270611</v>
      </c>
      <c r="D191" s="36" t="n">
        <f aca="false">E190*$B$4/12</f>
        <v>6832.56131842076</v>
      </c>
      <c r="E191" s="36" t="n">
        <f aca="false">E190-C191</f>
        <v>1257167.30661574</v>
      </c>
    </row>
    <row r="192" customFormat="false" ht="15" hidden="false" customHeight="true" outlineLevel="0" collapsed="false">
      <c r="A192" s="128" t="n">
        <v>184</v>
      </c>
      <c r="B192" s="129" t="n">
        <f aca="false">$B$6</f>
        <v>11061.1904111269</v>
      </c>
      <c r="C192" s="129" t="n">
        <f aca="false">B192-D192</f>
        <v>4251.53416695826</v>
      </c>
      <c r="D192" s="129" t="n">
        <f aca="false">E191*$B$4/12</f>
        <v>6809.6562441686</v>
      </c>
      <c r="E192" s="129" t="n">
        <f aca="false">E191-C192</f>
        <v>1252915.77244878</v>
      </c>
    </row>
    <row r="193" customFormat="false" ht="15" hidden="false" customHeight="true" outlineLevel="0" collapsed="false">
      <c r="A193" s="127" t="n">
        <v>185</v>
      </c>
      <c r="B193" s="36" t="n">
        <f aca="false">$B$6</f>
        <v>11061.1904111269</v>
      </c>
      <c r="C193" s="36" t="n">
        <f aca="false">B193-D193</f>
        <v>4274.56331036262</v>
      </c>
      <c r="D193" s="36" t="n">
        <f aca="false">E192*$B$4/12</f>
        <v>6786.62710076425</v>
      </c>
      <c r="E193" s="36" t="n">
        <f aca="false">E192-C193</f>
        <v>1248641.20913842</v>
      </c>
    </row>
    <row r="194" customFormat="false" ht="15" hidden="false" customHeight="true" outlineLevel="0" collapsed="false">
      <c r="A194" s="128" t="n">
        <v>186</v>
      </c>
      <c r="B194" s="129" t="n">
        <f aca="false">$B$6</f>
        <v>11061.1904111269</v>
      </c>
      <c r="C194" s="129" t="n">
        <f aca="false">B194-D194</f>
        <v>4297.71719496042</v>
      </c>
      <c r="D194" s="129" t="n">
        <f aca="false">E193*$B$4/12</f>
        <v>6763.47321616645</v>
      </c>
      <c r="E194" s="129" t="n">
        <f aca="false">E193-C194</f>
        <v>1244343.49194346</v>
      </c>
    </row>
    <row r="195" customFormat="false" ht="15" hidden="false" customHeight="true" outlineLevel="0" collapsed="false">
      <c r="A195" s="127" t="n">
        <v>187</v>
      </c>
      <c r="B195" s="36" t="n">
        <f aca="false">$B$6</f>
        <v>11061.1904111269</v>
      </c>
      <c r="C195" s="36" t="n">
        <f aca="false">B195-D195</f>
        <v>4320.99649643312</v>
      </c>
      <c r="D195" s="36" t="n">
        <f aca="false">E194*$B$4/12</f>
        <v>6740.19391469375</v>
      </c>
      <c r="E195" s="36" t="n">
        <f aca="false">E194-C195</f>
        <v>1240022.49544703</v>
      </c>
    </row>
    <row r="196" customFormat="false" ht="15" hidden="false" customHeight="true" outlineLevel="0" collapsed="false">
      <c r="A196" s="128" t="n">
        <v>188</v>
      </c>
      <c r="B196" s="129" t="n">
        <f aca="false">$B$6</f>
        <v>11061.1904111269</v>
      </c>
      <c r="C196" s="129" t="n">
        <f aca="false">B196-D196</f>
        <v>4344.40189412213</v>
      </c>
      <c r="D196" s="129" t="n">
        <f aca="false">E195*$B$4/12</f>
        <v>6716.78851700473</v>
      </c>
      <c r="E196" s="129" t="n">
        <f aca="false">E195-C196</f>
        <v>1235678.09355291</v>
      </c>
    </row>
    <row r="197" customFormat="false" ht="15" hidden="false" customHeight="true" outlineLevel="0" collapsed="false">
      <c r="A197" s="127" t="n">
        <v>189</v>
      </c>
      <c r="B197" s="36" t="n">
        <f aca="false">$B$6</f>
        <v>11061.1904111269</v>
      </c>
      <c r="C197" s="36" t="n">
        <f aca="false">B197-D197</f>
        <v>4367.93407104863</v>
      </c>
      <c r="D197" s="36" t="n">
        <f aca="false">E196*$B$4/12</f>
        <v>6693.25634007824</v>
      </c>
      <c r="E197" s="36" t="n">
        <f aca="false">E196-C197</f>
        <v>1231310.15948186</v>
      </c>
    </row>
    <row r="198" customFormat="false" ht="15" hidden="false" customHeight="true" outlineLevel="0" collapsed="false">
      <c r="A198" s="128" t="n">
        <v>190</v>
      </c>
      <c r="B198" s="129" t="n">
        <f aca="false">$B$6</f>
        <v>11061.1904111269</v>
      </c>
      <c r="C198" s="129" t="n">
        <f aca="false">B198-D198</f>
        <v>4391.59371393348</v>
      </c>
      <c r="D198" s="129" t="n">
        <f aca="false">E197*$B$4/12</f>
        <v>6669.59669719339</v>
      </c>
      <c r="E198" s="129" t="n">
        <f aca="false">E197-C198</f>
        <v>1226918.56576792</v>
      </c>
    </row>
    <row r="199" customFormat="false" ht="15" hidden="false" customHeight="true" outlineLevel="0" collapsed="false">
      <c r="A199" s="127" t="n">
        <v>191</v>
      </c>
      <c r="B199" s="36" t="n">
        <f aca="false">$B$6</f>
        <v>11061.1904111269</v>
      </c>
      <c r="C199" s="36" t="n">
        <f aca="false">B199-D199</f>
        <v>4415.38151321728</v>
      </c>
      <c r="D199" s="36" t="n">
        <f aca="false">E198*$B$4/12</f>
        <v>6645.80889790959</v>
      </c>
      <c r="E199" s="36" t="n">
        <f aca="false">E198-C199</f>
        <v>1222503.18425471</v>
      </c>
    </row>
    <row r="200" customFormat="false" ht="15" hidden="false" customHeight="true" outlineLevel="0" collapsed="false">
      <c r="A200" s="128" t="n">
        <v>192</v>
      </c>
      <c r="B200" s="129" t="n">
        <f aca="false">$B$6</f>
        <v>11061.1904111269</v>
      </c>
      <c r="C200" s="129" t="n">
        <f aca="false">B200-D200</f>
        <v>4439.29816308054</v>
      </c>
      <c r="D200" s="129" t="n">
        <f aca="false">E199*$B$4/12</f>
        <v>6621.89224804633</v>
      </c>
      <c r="E200" s="129" t="n">
        <f aca="false">E199-C200</f>
        <v>1218063.88609163</v>
      </c>
    </row>
    <row r="201" customFormat="false" ht="15" hidden="false" customHeight="true" outlineLevel="0" collapsed="false">
      <c r="A201" s="127" t="n">
        <v>193</v>
      </c>
      <c r="B201" s="36" t="n">
        <f aca="false">$B$6</f>
        <v>11061.1904111269</v>
      </c>
      <c r="C201" s="36" t="n">
        <f aca="false">B201-D201</f>
        <v>4463.34436146389</v>
      </c>
      <c r="D201" s="36" t="n">
        <f aca="false">E200*$B$4/12</f>
        <v>6597.84604966297</v>
      </c>
      <c r="E201" s="36" t="n">
        <f aca="false">E200-C201</f>
        <v>1213600.54173016</v>
      </c>
    </row>
    <row r="202" customFormat="false" ht="15" hidden="false" customHeight="true" outlineLevel="0" collapsed="false">
      <c r="A202" s="128" t="n">
        <v>194</v>
      </c>
      <c r="B202" s="129" t="n">
        <f aca="false">$B$6</f>
        <v>11061.1904111269</v>
      </c>
      <c r="C202" s="129" t="n">
        <f aca="false">B202-D202</f>
        <v>4487.52081008849</v>
      </c>
      <c r="D202" s="129" t="n">
        <f aca="false">E201*$B$4/12</f>
        <v>6573.66960103838</v>
      </c>
      <c r="E202" s="129" t="n">
        <f aca="false">E201-C202</f>
        <v>1209113.02092007</v>
      </c>
    </row>
    <row r="203" customFormat="false" ht="15" hidden="false" customHeight="true" outlineLevel="0" collapsed="false">
      <c r="A203" s="127" t="n">
        <v>195</v>
      </c>
      <c r="B203" s="36" t="n">
        <f aca="false">$B$6</f>
        <v>11061.1904111269</v>
      </c>
      <c r="C203" s="36" t="n">
        <f aca="false">B203-D203</f>
        <v>4511.82821447647</v>
      </c>
      <c r="D203" s="36" t="n">
        <f aca="false">E202*$B$4/12</f>
        <v>6549.3621966504</v>
      </c>
      <c r="E203" s="36" t="n">
        <f aca="false">E202-C203</f>
        <v>1204601.1927056</v>
      </c>
    </row>
    <row r="204" customFormat="false" ht="15" hidden="false" customHeight="true" outlineLevel="0" collapsed="false">
      <c r="A204" s="128" t="n">
        <v>196</v>
      </c>
      <c r="B204" s="129" t="n">
        <f aca="false">$B$6</f>
        <v>11061.1904111269</v>
      </c>
      <c r="C204" s="129" t="n">
        <f aca="false">B204-D204</f>
        <v>4536.26728397155</v>
      </c>
      <c r="D204" s="129" t="n">
        <f aca="false">E203*$B$4/12</f>
        <v>6524.92312715532</v>
      </c>
      <c r="E204" s="129" t="n">
        <f aca="false">E203-C204</f>
        <v>1200064.92542163</v>
      </c>
    </row>
    <row r="205" customFormat="false" ht="15" hidden="false" customHeight="true" outlineLevel="0" collapsed="false">
      <c r="A205" s="127" t="n">
        <v>197</v>
      </c>
      <c r="B205" s="36" t="n">
        <f aca="false">$B$6</f>
        <v>11061.1904111269</v>
      </c>
      <c r="C205" s="36" t="n">
        <f aca="false">B205-D205</f>
        <v>4560.83873175973</v>
      </c>
      <c r="D205" s="36" t="n">
        <f aca="false">E204*$B$4/12</f>
        <v>6500.35167936714</v>
      </c>
      <c r="E205" s="36" t="n">
        <f aca="false">E204-C205</f>
        <v>1195504.08668987</v>
      </c>
    </row>
    <row r="206" customFormat="false" ht="15" hidden="false" customHeight="true" outlineLevel="0" collapsed="false">
      <c r="A206" s="128" t="n">
        <v>198</v>
      </c>
      <c r="B206" s="129" t="n">
        <f aca="false">$B$6</f>
        <v>11061.1904111269</v>
      </c>
      <c r="C206" s="129" t="n">
        <f aca="false">B206-D206</f>
        <v>4585.54327489009</v>
      </c>
      <c r="D206" s="129" t="n">
        <f aca="false">E205*$B$4/12</f>
        <v>6475.64713623677</v>
      </c>
      <c r="E206" s="129" t="n">
        <f aca="false">E205-C206</f>
        <v>1190918.54341498</v>
      </c>
    </row>
    <row r="207" customFormat="false" ht="15" hidden="false" customHeight="true" outlineLevel="0" collapsed="false">
      <c r="A207" s="127" t="n">
        <v>199</v>
      </c>
      <c r="B207" s="36" t="n">
        <f aca="false">$B$6</f>
        <v>11061.1904111269</v>
      </c>
      <c r="C207" s="36" t="n">
        <f aca="false">B207-D207</f>
        <v>4610.38163429575</v>
      </c>
      <c r="D207" s="36" t="n">
        <f aca="false">E206*$B$4/12</f>
        <v>6450.80877683112</v>
      </c>
      <c r="E207" s="36" t="n">
        <f aca="false">E206-C207</f>
        <v>1186308.16178068</v>
      </c>
    </row>
    <row r="208" customFormat="false" ht="15" hidden="false" customHeight="true" outlineLevel="0" collapsed="false">
      <c r="A208" s="128" t="n">
        <v>200</v>
      </c>
      <c r="B208" s="129" t="n">
        <f aca="false">$B$6</f>
        <v>11061.1904111269</v>
      </c>
      <c r="C208" s="129" t="n">
        <f aca="false">B208-D208</f>
        <v>4635.35453481485</v>
      </c>
      <c r="D208" s="129" t="n">
        <f aca="false">E207*$B$4/12</f>
        <v>6425.83587631202</v>
      </c>
      <c r="E208" s="129" t="n">
        <f aca="false">E207-C208</f>
        <v>1181672.80724587</v>
      </c>
    </row>
    <row r="209" customFormat="false" ht="15" hidden="false" customHeight="true" outlineLevel="0" collapsed="false">
      <c r="A209" s="127" t="n">
        <v>201</v>
      </c>
      <c r="B209" s="36" t="n">
        <f aca="false">$B$6</f>
        <v>11061.1904111269</v>
      </c>
      <c r="C209" s="36" t="n">
        <f aca="false">B209-D209</f>
        <v>4660.46270521177</v>
      </c>
      <c r="D209" s="36" t="n">
        <f aca="false">E208*$B$4/12</f>
        <v>6400.7277059151</v>
      </c>
      <c r="E209" s="36" t="n">
        <f aca="false">E208-C209</f>
        <v>1177012.34454065</v>
      </c>
    </row>
    <row r="210" customFormat="false" ht="15" hidden="false" customHeight="true" outlineLevel="0" collapsed="false">
      <c r="A210" s="128" t="n">
        <v>202</v>
      </c>
      <c r="B210" s="129" t="n">
        <f aca="false">$B$6</f>
        <v>11061.1904111269</v>
      </c>
      <c r="C210" s="129" t="n">
        <f aca="false">B210-D210</f>
        <v>4685.70687819833</v>
      </c>
      <c r="D210" s="129" t="n">
        <f aca="false">E209*$B$4/12</f>
        <v>6375.48353292854</v>
      </c>
      <c r="E210" s="129" t="n">
        <f aca="false">E209-C210</f>
        <v>1172326.63766246</v>
      </c>
    </row>
    <row r="211" customFormat="false" ht="15" hidden="false" customHeight="true" outlineLevel="0" collapsed="false">
      <c r="A211" s="127" t="n">
        <v>203</v>
      </c>
      <c r="B211" s="36" t="n">
        <f aca="false">$B$6</f>
        <v>11061.1904111269</v>
      </c>
      <c r="C211" s="36" t="n">
        <f aca="false">B211-D211</f>
        <v>4711.08779045524</v>
      </c>
      <c r="D211" s="36" t="n">
        <f aca="false">E210*$B$4/12</f>
        <v>6350.10262067163</v>
      </c>
      <c r="E211" s="36" t="n">
        <f aca="false">E210-C211</f>
        <v>1167615.549872</v>
      </c>
    </row>
    <row r="212" customFormat="false" ht="15" hidden="false" customHeight="true" outlineLevel="0" collapsed="false">
      <c r="A212" s="128" t="n">
        <v>204</v>
      </c>
      <c r="B212" s="129" t="n">
        <f aca="false">$B$6</f>
        <v>11061.1904111269</v>
      </c>
      <c r="C212" s="129" t="n">
        <f aca="false">B212-D212</f>
        <v>4736.60618265353</v>
      </c>
      <c r="D212" s="129" t="n">
        <f aca="false">E211*$B$4/12</f>
        <v>6324.58422847333</v>
      </c>
      <c r="E212" s="129" t="n">
        <f aca="false">E211-C212</f>
        <v>1162878.94368935</v>
      </c>
    </row>
    <row r="213" customFormat="false" ht="15" hidden="false" customHeight="true" outlineLevel="0" collapsed="false">
      <c r="A213" s="127" t="n">
        <v>205</v>
      </c>
      <c r="B213" s="36" t="n">
        <f aca="false">$B$6</f>
        <v>11061.1904111269</v>
      </c>
      <c r="C213" s="36" t="n">
        <f aca="false">B213-D213</f>
        <v>4762.26279947624</v>
      </c>
      <c r="D213" s="36" t="n">
        <f aca="false">E212*$B$4/12</f>
        <v>6298.92761165063</v>
      </c>
      <c r="E213" s="36" t="n">
        <f aca="false">E212-C213</f>
        <v>1158116.68088987</v>
      </c>
    </row>
    <row r="214" customFormat="false" ht="15" hidden="false" customHeight="true" outlineLevel="0" collapsed="false">
      <c r="A214" s="128" t="n">
        <v>206</v>
      </c>
      <c r="B214" s="129" t="n">
        <f aca="false">$B$6</f>
        <v>11061.1904111269</v>
      </c>
      <c r="C214" s="129" t="n">
        <f aca="false">B214-D214</f>
        <v>4788.05838964007</v>
      </c>
      <c r="D214" s="129" t="n">
        <f aca="false">E213*$B$4/12</f>
        <v>6273.1320214868</v>
      </c>
      <c r="E214" s="129" t="n">
        <f aca="false">E213-C214</f>
        <v>1153328.62250023</v>
      </c>
    </row>
    <row r="215" customFormat="false" ht="15" hidden="false" customHeight="true" outlineLevel="0" collapsed="false">
      <c r="A215" s="127" t="n">
        <v>207</v>
      </c>
      <c r="B215" s="36" t="n">
        <f aca="false">$B$6</f>
        <v>11061.1904111269</v>
      </c>
      <c r="C215" s="36" t="n">
        <f aca="false">B215-D215</f>
        <v>4813.99370591729</v>
      </c>
      <c r="D215" s="36" t="n">
        <f aca="false">E214*$B$4/12</f>
        <v>6247.19670520958</v>
      </c>
      <c r="E215" s="36" t="n">
        <f aca="false">E214-C215</f>
        <v>1148514.62879431</v>
      </c>
    </row>
    <row r="216" customFormat="false" ht="15" hidden="false" customHeight="true" outlineLevel="0" collapsed="false">
      <c r="A216" s="128" t="n">
        <v>208</v>
      </c>
      <c r="B216" s="129" t="n">
        <f aca="false">$B$6</f>
        <v>11061.1904111269</v>
      </c>
      <c r="C216" s="129" t="n">
        <f aca="false">B216-D216</f>
        <v>4840.06950515767</v>
      </c>
      <c r="D216" s="129" t="n">
        <f aca="false">E215*$B$4/12</f>
        <v>6221.12090596919</v>
      </c>
      <c r="E216" s="129" t="n">
        <f aca="false">E215-C216</f>
        <v>1143674.55928915</v>
      </c>
    </row>
    <row r="217" customFormat="false" ht="15" hidden="false" customHeight="true" outlineLevel="0" collapsed="false">
      <c r="A217" s="127" t="n">
        <v>209</v>
      </c>
      <c r="B217" s="36" t="n">
        <f aca="false">$B$6</f>
        <v>11061.1904111269</v>
      </c>
      <c r="C217" s="36" t="n">
        <f aca="false">B217-D217</f>
        <v>4866.28654831061</v>
      </c>
      <c r="D217" s="36" t="n">
        <f aca="false">E216*$B$4/12</f>
        <v>6194.90386281626</v>
      </c>
      <c r="E217" s="36" t="n">
        <f aca="false">E216-C217</f>
        <v>1138808.27274084</v>
      </c>
    </row>
    <row r="218" customFormat="false" ht="15" hidden="false" customHeight="true" outlineLevel="0" collapsed="false">
      <c r="A218" s="128" t="n">
        <v>210</v>
      </c>
      <c r="B218" s="129" t="n">
        <f aca="false">$B$6</f>
        <v>11061.1904111269</v>
      </c>
      <c r="C218" s="129" t="n">
        <f aca="false">B218-D218</f>
        <v>4892.64560044729</v>
      </c>
      <c r="D218" s="129" t="n">
        <f aca="false">E217*$B$4/12</f>
        <v>6168.54481067957</v>
      </c>
      <c r="E218" s="129" t="n">
        <f aca="false">E217-C218</f>
        <v>1133915.6271404</v>
      </c>
    </row>
    <row r="219" customFormat="false" ht="15" hidden="false" customHeight="true" outlineLevel="0" collapsed="false">
      <c r="A219" s="127" t="n">
        <v>211</v>
      </c>
      <c r="B219" s="36" t="n">
        <f aca="false">$B$6</f>
        <v>11061.1904111269</v>
      </c>
      <c r="C219" s="36" t="n">
        <f aca="false">B219-D219</f>
        <v>4919.14743078305</v>
      </c>
      <c r="D219" s="36" t="n">
        <f aca="false">E218*$B$4/12</f>
        <v>6142.04298034382</v>
      </c>
      <c r="E219" s="36" t="n">
        <f aca="false">E218-C219</f>
        <v>1128996.47970961</v>
      </c>
    </row>
    <row r="220" customFormat="false" ht="15" hidden="false" customHeight="true" outlineLevel="0" collapsed="false">
      <c r="A220" s="128" t="n">
        <v>212</v>
      </c>
      <c r="B220" s="129" t="n">
        <f aca="false">$B$6</f>
        <v>11061.1904111269</v>
      </c>
      <c r="C220" s="129" t="n">
        <f aca="false">B220-D220</f>
        <v>4945.79281269979</v>
      </c>
      <c r="D220" s="129" t="n">
        <f aca="false">E219*$B$4/12</f>
        <v>6115.39759842708</v>
      </c>
      <c r="E220" s="129" t="n">
        <f aca="false">E219-C220</f>
        <v>1124050.68689691</v>
      </c>
    </row>
    <row r="221" customFormat="false" ht="15" hidden="false" customHeight="true" outlineLevel="0" collapsed="false">
      <c r="A221" s="127" t="n">
        <v>213</v>
      </c>
      <c r="B221" s="36" t="n">
        <f aca="false">$B$6</f>
        <v>11061.1904111269</v>
      </c>
      <c r="C221" s="36" t="n">
        <f aca="false">B221-D221</f>
        <v>4972.58252376858</v>
      </c>
      <c r="D221" s="36" t="n">
        <f aca="false">E220*$B$4/12</f>
        <v>6088.60788735829</v>
      </c>
      <c r="E221" s="36" t="n">
        <f aca="false">E220-C221</f>
        <v>1119078.10437315</v>
      </c>
    </row>
    <row r="222" customFormat="false" ht="15" hidden="false" customHeight="true" outlineLevel="0" collapsed="false">
      <c r="A222" s="128" t="n">
        <v>214</v>
      </c>
      <c r="B222" s="129" t="n">
        <f aca="false">$B$6</f>
        <v>11061.1904111269</v>
      </c>
      <c r="C222" s="129" t="n">
        <f aca="false">B222-D222</f>
        <v>4999.51734577233</v>
      </c>
      <c r="D222" s="129" t="n">
        <f aca="false">E221*$B$4/12</f>
        <v>6061.67306535454</v>
      </c>
      <c r="E222" s="129" t="n">
        <f aca="false">E221-C222</f>
        <v>1114078.58702737</v>
      </c>
    </row>
    <row r="223" customFormat="false" ht="15" hidden="false" customHeight="true" outlineLevel="0" collapsed="false">
      <c r="A223" s="127" t="n">
        <v>215</v>
      </c>
      <c r="B223" s="36" t="n">
        <f aca="false">$B$6</f>
        <v>11061.1904111269</v>
      </c>
      <c r="C223" s="36" t="n">
        <f aca="false">B223-D223</f>
        <v>5026.5980647286</v>
      </c>
      <c r="D223" s="36" t="n">
        <f aca="false">E222*$B$4/12</f>
        <v>6034.59234639827</v>
      </c>
      <c r="E223" s="36" t="n">
        <f aca="false">E222-C223</f>
        <v>1109051.98896264</v>
      </c>
    </row>
    <row r="224" customFormat="false" ht="15" hidden="false" customHeight="true" outlineLevel="0" collapsed="false">
      <c r="A224" s="128" t="n">
        <v>216</v>
      </c>
      <c r="B224" s="129" t="n">
        <f aca="false">$B$6</f>
        <v>11061.1904111269</v>
      </c>
      <c r="C224" s="129" t="n">
        <f aca="false">B224-D224</f>
        <v>5053.82547091254</v>
      </c>
      <c r="D224" s="129" t="n">
        <f aca="false">E223*$B$4/12</f>
        <v>6007.36494021433</v>
      </c>
      <c r="E224" s="129" t="n">
        <f aca="false">E223-C224</f>
        <v>1103998.16349173</v>
      </c>
    </row>
    <row r="225" customFormat="false" ht="15" hidden="false" customHeight="true" outlineLevel="0" collapsed="false">
      <c r="A225" s="127" t="n">
        <v>217</v>
      </c>
      <c r="B225" s="36" t="n">
        <f aca="false">$B$6</f>
        <v>11061.1904111269</v>
      </c>
      <c r="C225" s="36" t="n">
        <f aca="false">B225-D225</f>
        <v>5081.20035887998</v>
      </c>
      <c r="D225" s="36" t="n">
        <f aca="false">E224*$B$4/12</f>
        <v>5979.99005224688</v>
      </c>
      <c r="E225" s="36" t="n">
        <f aca="false">E224-C225</f>
        <v>1098916.96313285</v>
      </c>
    </row>
    <row r="226" customFormat="false" ht="15" hidden="false" customHeight="true" outlineLevel="0" collapsed="false">
      <c r="A226" s="128" t="n">
        <v>218</v>
      </c>
      <c r="B226" s="129" t="n">
        <f aca="false">$B$6</f>
        <v>11061.1904111269</v>
      </c>
      <c r="C226" s="129" t="n">
        <f aca="false">B226-D226</f>
        <v>5108.72352749058</v>
      </c>
      <c r="D226" s="129" t="n">
        <f aca="false">E225*$B$4/12</f>
        <v>5952.46688363628</v>
      </c>
      <c r="E226" s="129" t="n">
        <f aca="false">E225-C226</f>
        <v>1093808.23960536</v>
      </c>
    </row>
    <row r="227" customFormat="false" ht="15" hidden="false" customHeight="true" outlineLevel="0" collapsed="false">
      <c r="A227" s="127" t="n">
        <v>219</v>
      </c>
      <c r="B227" s="36" t="n">
        <f aca="false">$B$6</f>
        <v>11061.1904111269</v>
      </c>
      <c r="C227" s="36" t="n">
        <f aca="false">B227-D227</f>
        <v>5136.39577993116</v>
      </c>
      <c r="D227" s="36" t="n">
        <f aca="false">E226*$B$4/12</f>
        <v>5924.79463119571</v>
      </c>
      <c r="E227" s="36" t="n">
        <f aca="false">E226-C227</f>
        <v>1088671.84382543</v>
      </c>
    </row>
    <row r="228" customFormat="false" ht="15" hidden="false" customHeight="true" outlineLevel="0" collapsed="false">
      <c r="A228" s="128" t="n">
        <v>220</v>
      </c>
      <c r="B228" s="129" t="n">
        <f aca="false">$B$6</f>
        <v>11061.1904111269</v>
      </c>
      <c r="C228" s="129" t="n">
        <f aca="false">B228-D228</f>
        <v>5164.21792373912</v>
      </c>
      <c r="D228" s="129" t="n">
        <f aca="false">E227*$B$4/12</f>
        <v>5896.97248738775</v>
      </c>
      <c r="E228" s="129" t="n">
        <f aca="false">E227-C228</f>
        <v>1083507.62590169</v>
      </c>
    </row>
    <row r="229" customFormat="false" ht="15" hidden="false" customHeight="true" outlineLevel="0" collapsed="false">
      <c r="A229" s="127" t="n">
        <v>221</v>
      </c>
      <c r="B229" s="36" t="n">
        <f aca="false">$B$6</f>
        <v>11061.1904111269</v>
      </c>
      <c r="C229" s="36" t="n">
        <f aca="false">B229-D229</f>
        <v>5192.19077082604</v>
      </c>
      <c r="D229" s="36" t="n">
        <f aca="false">E228*$B$4/12</f>
        <v>5868.99964030083</v>
      </c>
      <c r="E229" s="36" t="n">
        <f aca="false">E228-C229</f>
        <v>1078315.43513087</v>
      </c>
    </row>
    <row r="230" customFormat="false" ht="15" hidden="false" customHeight="true" outlineLevel="0" collapsed="false">
      <c r="A230" s="128" t="n">
        <v>222</v>
      </c>
      <c r="B230" s="129" t="n">
        <f aca="false">$B$6</f>
        <v>11061.1904111269</v>
      </c>
      <c r="C230" s="129" t="n">
        <f aca="false">B230-D230</f>
        <v>5220.31513750135</v>
      </c>
      <c r="D230" s="129" t="n">
        <f aca="false">E229*$B$4/12</f>
        <v>5840.87527362552</v>
      </c>
      <c r="E230" s="129" t="n">
        <f aca="false">E229-C230</f>
        <v>1073095.11999336</v>
      </c>
    </row>
    <row r="231" customFormat="false" ht="15" hidden="false" customHeight="true" outlineLevel="0" collapsed="false">
      <c r="A231" s="127" t="n">
        <v>223</v>
      </c>
      <c r="B231" s="36" t="n">
        <f aca="false">$B$6</f>
        <v>11061.1904111269</v>
      </c>
      <c r="C231" s="36" t="n">
        <f aca="false">B231-D231</f>
        <v>5248.59184449615</v>
      </c>
      <c r="D231" s="36" t="n">
        <f aca="false">E230*$B$4/12</f>
        <v>5812.59856663072</v>
      </c>
      <c r="E231" s="36" t="n">
        <f aca="false">E230-C231</f>
        <v>1067846.52814887</v>
      </c>
    </row>
    <row r="232" customFormat="false" ht="15" hidden="false" customHeight="true" outlineLevel="0" collapsed="false">
      <c r="A232" s="128" t="n">
        <v>224</v>
      </c>
      <c r="B232" s="129" t="n">
        <f aca="false">$B$6</f>
        <v>11061.1904111269</v>
      </c>
      <c r="C232" s="129" t="n">
        <f aca="false">B232-D232</f>
        <v>5277.02171698717</v>
      </c>
      <c r="D232" s="129" t="n">
        <f aca="false">E231*$B$4/12</f>
        <v>5784.1686941397</v>
      </c>
      <c r="E232" s="129" t="n">
        <f aca="false">E231-C232</f>
        <v>1062569.50643188</v>
      </c>
    </row>
    <row r="233" customFormat="false" ht="15" hidden="false" customHeight="true" outlineLevel="0" collapsed="false">
      <c r="A233" s="127" t="n">
        <v>225</v>
      </c>
      <c r="B233" s="36" t="n">
        <f aca="false">$B$6</f>
        <v>11061.1904111269</v>
      </c>
      <c r="C233" s="36" t="n">
        <f aca="false">B233-D233</f>
        <v>5305.60558462085</v>
      </c>
      <c r="D233" s="36" t="n">
        <f aca="false">E232*$B$4/12</f>
        <v>5755.58482650602</v>
      </c>
      <c r="E233" s="36" t="n">
        <f aca="false">E232-C233</f>
        <v>1057263.90084726</v>
      </c>
    </row>
    <row r="234" customFormat="false" ht="15" hidden="false" customHeight="true" outlineLevel="0" collapsed="false">
      <c r="A234" s="128" t="n">
        <v>226</v>
      </c>
      <c r="B234" s="129" t="n">
        <f aca="false">$B$6</f>
        <v>11061.1904111269</v>
      </c>
      <c r="C234" s="129" t="n">
        <f aca="false">B234-D234</f>
        <v>5334.34428153755</v>
      </c>
      <c r="D234" s="129" t="n">
        <f aca="false">E233*$B$4/12</f>
        <v>5726.84612958932</v>
      </c>
      <c r="E234" s="129" t="n">
        <f aca="false">E233-C234</f>
        <v>1051929.55656572</v>
      </c>
    </row>
    <row r="235" customFormat="false" ht="15" hidden="false" customHeight="true" outlineLevel="0" collapsed="false">
      <c r="A235" s="127" t="n">
        <v>227</v>
      </c>
      <c r="B235" s="36" t="n">
        <f aca="false">$B$6</f>
        <v>11061.1904111269</v>
      </c>
      <c r="C235" s="36" t="n">
        <f aca="false">B235-D235</f>
        <v>5363.23864639587</v>
      </c>
      <c r="D235" s="36" t="n">
        <f aca="false">E234*$B$4/12</f>
        <v>5697.95176473099</v>
      </c>
      <c r="E235" s="36" t="n">
        <f aca="false">E234-C235</f>
        <v>1046566.31791933</v>
      </c>
    </row>
    <row r="236" customFormat="false" ht="15" hidden="false" customHeight="true" outlineLevel="0" collapsed="false">
      <c r="A236" s="128" t="n">
        <v>228</v>
      </c>
      <c r="B236" s="129" t="n">
        <f aca="false">$B$6</f>
        <v>11061.1904111269</v>
      </c>
      <c r="C236" s="129" t="n">
        <f aca="false">B236-D236</f>
        <v>5392.28952239718</v>
      </c>
      <c r="D236" s="129" t="n">
        <f aca="false">E235*$B$4/12</f>
        <v>5668.90088872968</v>
      </c>
      <c r="E236" s="129" t="n">
        <f aca="false">E235-C236</f>
        <v>1041174.02839693</v>
      </c>
    </row>
    <row r="237" customFormat="false" ht="15" hidden="false" customHeight="true" outlineLevel="0" collapsed="false">
      <c r="A237" s="127" t="n">
        <v>229</v>
      </c>
      <c r="B237" s="36" t="n">
        <f aca="false">$B$6</f>
        <v>11061.1904111269</v>
      </c>
      <c r="C237" s="36" t="n">
        <f aca="false">B237-D237</f>
        <v>5421.49775731017</v>
      </c>
      <c r="D237" s="36" t="n">
        <f aca="false">E236*$B$4/12</f>
        <v>5639.6926538167</v>
      </c>
      <c r="E237" s="36" t="n">
        <f aca="false">E236-C237</f>
        <v>1035752.53063962</v>
      </c>
    </row>
    <row r="238" customFormat="false" ht="15" hidden="false" customHeight="true" outlineLevel="0" collapsed="false">
      <c r="A238" s="128" t="n">
        <v>230</v>
      </c>
      <c r="B238" s="129" t="n">
        <f aca="false">$B$6</f>
        <v>11061.1904111269</v>
      </c>
      <c r="C238" s="129" t="n">
        <f aca="false">B238-D238</f>
        <v>5450.8642034956</v>
      </c>
      <c r="D238" s="129" t="n">
        <f aca="false">E237*$B$4/12</f>
        <v>5610.32620763127</v>
      </c>
      <c r="E238" s="129" t="n">
        <f aca="false">E237-C238</f>
        <v>1030301.66643612</v>
      </c>
    </row>
    <row r="239" customFormat="false" ht="15" hidden="false" customHeight="true" outlineLevel="0" collapsed="false">
      <c r="A239" s="127" t="n">
        <v>231</v>
      </c>
      <c r="B239" s="36" t="n">
        <f aca="false">$B$6</f>
        <v>11061.1904111269</v>
      </c>
      <c r="C239" s="36" t="n">
        <f aca="false">B239-D239</f>
        <v>5480.3897179312</v>
      </c>
      <c r="D239" s="36" t="n">
        <f aca="false">E238*$B$4/12</f>
        <v>5580.80069319567</v>
      </c>
      <c r="E239" s="36" t="n">
        <f aca="false">E238-C239</f>
        <v>1024821.27671819</v>
      </c>
    </row>
    <row r="240" customFormat="false" ht="15" hidden="false" customHeight="true" outlineLevel="0" collapsed="false">
      <c r="A240" s="128" t="n">
        <v>232</v>
      </c>
      <c r="B240" s="129" t="n">
        <f aca="false">$B$6</f>
        <v>11061.1904111269</v>
      </c>
      <c r="C240" s="129" t="n">
        <f aca="false">B240-D240</f>
        <v>5510.07516223666</v>
      </c>
      <c r="D240" s="129" t="n">
        <f aca="false">E239*$B$4/12</f>
        <v>5551.11524889021</v>
      </c>
      <c r="E240" s="129" t="n">
        <f aca="false">E239-C240</f>
        <v>1019311.20155596</v>
      </c>
    </row>
    <row r="241" customFormat="false" ht="15" hidden="false" customHeight="true" outlineLevel="0" collapsed="false">
      <c r="A241" s="127" t="n">
        <v>233</v>
      </c>
      <c r="B241" s="36" t="n">
        <f aca="false">$B$6</f>
        <v>11061.1904111269</v>
      </c>
      <c r="C241" s="36" t="n">
        <f aca="false">B241-D241</f>
        <v>5539.92140269878</v>
      </c>
      <c r="D241" s="36" t="n">
        <f aca="false">E240*$B$4/12</f>
        <v>5521.26900842809</v>
      </c>
      <c r="E241" s="36" t="n">
        <f aca="false">E240-C241</f>
        <v>1013771.28015326</v>
      </c>
    </row>
    <row r="242" customFormat="false" ht="15" hidden="false" customHeight="true" outlineLevel="0" collapsed="false">
      <c r="A242" s="128" t="n">
        <v>234</v>
      </c>
      <c r="B242" s="129" t="n">
        <f aca="false">$B$6</f>
        <v>11061.1904111269</v>
      </c>
      <c r="C242" s="129" t="n">
        <f aca="false">B242-D242</f>
        <v>5569.92931029673</v>
      </c>
      <c r="D242" s="129" t="n">
        <f aca="false">E241*$B$4/12</f>
        <v>5491.26110083014</v>
      </c>
      <c r="E242" s="129" t="n">
        <f aca="false">E241-C242</f>
        <v>1008201.35084296</v>
      </c>
    </row>
    <row r="243" customFormat="false" ht="15" hidden="false" customHeight="true" outlineLevel="0" collapsed="false">
      <c r="A243" s="127" t="n">
        <v>235</v>
      </c>
      <c r="B243" s="36" t="n">
        <f aca="false">$B$6</f>
        <v>11061.1904111269</v>
      </c>
      <c r="C243" s="36" t="n">
        <f aca="false">B243-D243</f>
        <v>5600.0997607275</v>
      </c>
      <c r="D243" s="36" t="n">
        <f aca="false">E242*$B$4/12</f>
        <v>5461.09065039937</v>
      </c>
      <c r="E243" s="36" t="n">
        <f aca="false">E242-C243</f>
        <v>1002601.25108223</v>
      </c>
    </row>
    <row r="244" customFormat="false" ht="15" hidden="false" customHeight="true" outlineLevel="0" collapsed="false">
      <c r="A244" s="128" t="n">
        <v>236</v>
      </c>
      <c r="B244" s="129" t="n">
        <f aca="false">$B$6</f>
        <v>11061.1904111269</v>
      </c>
      <c r="C244" s="129" t="n">
        <f aca="false">B244-D244</f>
        <v>5630.43363443144</v>
      </c>
      <c r="D244" s="129" t="n">
        <f aca="false">E243*$B$4/12</f>
        <v>5430.75677669543</v>
      </c>
      <c r="E244" s="129" t="n">
        <f aca="false">E243-C244</f>
        <v>996970.817447801</v>
      </c>
    </row>
    <row r="245" customFormat="false" ht="15" hidden="false" customHeight="true" outlineLevel="0" collapsed="false">
      <c r="A245" s="127" t="n">
        <v>237</v>
      </c>
      <c r="B245" s="36" t="n">
        <f aca="false">$B$6</f>
        <v>11061.1904111269</v>
      </c>
      <c r="C245" s="36" t="n">
        <f aca="false">B245-D245</f>
        <v>5660.93181661795</v>
      </c>
      <c r="D245" s="36" t="n">
        <f aca="false">E244*$B$4/12</f>
        <v>5400.25859450892</v>
      </c>
      <c r="E245" s="36" t="n">
        <f aca="false">E244-C245</f>
        <v>991309.885631183</v>
      </c>
    </row>
    <row r="246" customFormat="false" ht="15" hidden="false" customHeight="true" outlineLevel="0" collapsed="false">
      <c r="A246" s="128" t="n">
        <v>238</v>
      </c>
      <c r="B246" s="129" t="n">
        <f aca="false">$B$6</f>
        <v>11061.1904111269</v>
      </c>
      <c r="C246" s="129" t="n">
        <f aca="false">B246-D246</f>
        <v>5691.59519729129</v>
      </c>
      <c r="D246" s="129" t="n">
        <f aca="false">E245*$B$4/12</f>
        <v>5369.59521383557</v>
      </c>
      <c r="E246" s="129" t="n">
        <f aca="false">E245-C246</f>
        <v>985618.290433892</v>
      </c>
    </row>
    <row r="247" customFormat="false" ht="15" hidden="false" customHeight="true" outlineLevel="0" collapsed="false">
      <c r="A247" s="127" t="n">
        <v>239</v>
      </c>
      <c r="B247" s="36" t="n">
        <f aca="false">$B$6</f>
        <v>11061.1904111269</v>
      </c>
      <c r="C247" s="36" t="n">
        <f aca="false">B247-D247</f>
        <v>5722.42467127662</v>
      </c>
      <c r="D247" s="36" t="n">
        <f aca="false">E246*$B$4/12</f>
        <v>5338.76573985025</v>
      </c>
      <c r="E247" s="36" t="n">
        <f aca="false">E246-C247</f>
        <v>979895.865762615</v>
      </c>
    </row>
    <row r="248" customFormat="false" ht="15" hidden="false" customHeight="true" outlineLevel="0" collapsed="false">
      <c r="A248" s="128" t="n">
        <v>240</v>
      </c>
      <c r="B248" s="129" t="n">
        <f aca="false">$B$6</f>
        <v>11061.1904111269</v>
      </c>
      <c r="C248" s="129" t="n">
        <f aca="false">B248-D248</f>
        <v>5753.42113824604</v>
      </c>
      <c r="D248" s="129" t="n">
        <f aca="false">E247*$B$4/12</f>
        <v>5307.76927288083</v>
      </c>
      <c r="E248" s="129" t="n">
        <f aca="false">E247-C248</f>
        <v>974142.444624369</v>
      </c>
    </row>
    <row r="249" customFormat="false" ht="15" hidden="false" customHeight="true" outlineLevel="0" collapsed="false">
      <c r="A249" s="127" t="n">
        <v>241</v>
      </c>
      <c r="B249" s="36" t="n">
        <f aca="false">$B$6</f>
        <v>11061.1904111269</v>
      </c>
      <c r="C249" s="36" t="n">
        <f aca="false">B249-D249</f>
        <v>5784.58550274487</v>
      </c>
      <c r="D249" s="36" t="n">
        <f aca="false">E248*$B$4/12</f>
        <v>5276.604908382</v>
      </c>
      <c r="E249" s="36" t="n">
        <f aca="false">E248-C249</f>
        <v>968357.859121624</v>
      </c>
    </row>
    <row r="250" customFormat="false" ht="15" hidden="false" customHeight="true" outlineLevel="0" collapsed="false">
      <c r="A250" s="128" t="n">
        <v>242</v>
      </c>
      <c r="B250" s="129" t="n">
        <f aca="false">$B$6</f>
        <v>11061.1904111269</v>
      </c>
      <c r="C250" s="129" t="n">
        <f aca="false">B250-D250</f>
        <v>5815.91867421807</v>
      </c>
      <c r="D250" s="129" t="n">
        <f aca="false">E249*$B$4/12</f>
        <v>5245.2717369088</v>
      </c>
      <c r="E250" s="129" t="n">
        <f aca="false">E249-C250</f>
        <v>962541.940447406</v>
      </c>
    </row>
    <row r="251" customFormat="false" ht="15" hidden="false" customHeight="true" outlineLevel="0" collapsed="false">
      <c r="A251" s="127" t="n">
        <v>243</v>
      </c>
      <c r="B251" s="36" t="n">
        <f aca="false">$B$6</f>
        <v>11061.1904111269</v>
      </c>
      <c r="C251" s="36" t="n">
        <f aca="false">B251-D251</f>
        <v>5847.42156703675</v>
      </c>
      <c r="D251" s="36" t="n">
        <f aca="false">E250*$B$4/12</f>
        <v>5213.76884409012</v>
      </c>
      <c r="E251" s="36" t="n">
        <f aca="false">E250-C251</f>
        <v>956694.518880369</v>
      </c>
    </row>
    <row r="252" customFormat="false" ht="15" hidden="false" customHeight="true" outlineLevel="0" collapsed="false">
      <c r="A252" s="128" t="n">
        <v>244</v>
      </c>
      <c r="B252" s="129" t="n">
        <f aca="false">$B$6</f>
        <v>11061.1904111269</v>
      </c>
      <c r="C252" s="129" t="n">
        <f aca="false">B252-D252</f>
        <v>5879.09510052487</v>
      </c>
      <c r="D252" s="129" t="n">
        <f aca="false">E251*$B$4/12</f>
        <v>5182.095310602</v>
      </c>
      <c r="E252" s="129" t="n">
        <f aca="false">E251-C252</f>
        <v>950815.423779844</v>
      </c>
    </row>
    <row r="253" customFormat="false" ht="15" hidden="false" customHeight="true" outlineLevel="0" collapsed="false">
      <c r="A253" s="127" t="n">
        <v>245</v>
      </c>
      <c r="B253" s="36" t="n">
        <f aca="false">$B$6</f>
        <v>11061.1904111269</v>
      </c>
      <c r="C253" s="36" t="n">
        <f aca="false">B253-D253</f>
        <v>5910.94019898604</v>
      </c>
      <c r="D253" s="36" t="n">
        <f aca="false">E252*$B$4/12</f>
        <v>5150.25021214082</v>
      </c>
      <c r="E253" s="36" t="n">
        <f aca="false">E252-C253</f>
        <v>944904.483580858</v>
      </c>
    </row>
    <row r="254" customFormat="false" ht="15" hidden="false" customHeight="true" outlineLevel="0" collapsed="false">
      <c r="A254" s="128" t="n">
        <v>246</v>
      </c>
      <c r="B254" s="129" t="n">
        <f aca="false">$B$6</f>
        <v>11061.1904111269</v>
      </c>
      <c r="C254" s="129" t="n">
        <f aca="false">B254-D254</f>
        <v>5942.95779173055</v>
      </c>
      <c r="D254" s="129" t="n">
        <f aca="false">E253*$B$4/12</f>
        <v>5118.23261939632</v>
      </c>
      <c r="E254" s="129" t="n">
        <f aca="false">E253-C254</f>
        <v>938961.525789128</v>
      </c>
    </row>
    <row r="255" customFormat="false" ht="15" hidden="false" customHeight="true" outlineLevel="0" collapsed="false">
      <c r="A255" s="127" t="n">
        <v>247</v>
      </c>
      <c r="B255" s="36" t="n">
        <f aca="false">$B$6</f>
        <v>11061.1904111269</v>
      </c>
      <c r="C255" s="36" t="n">
        <f aca="false">B255-D255</f>
        <v>5975.14881310243</v>
      </c>
      <c r="D255" s="36" t="n">
        <f aca="false">E254*$B$4/12</f>
        <v>5086.04159802444</v>
      </c>
      <c r="E255" s="36" t="n">
        <f aca="false">E254-C255</f>
        <v>932986.376976025</v>
      </c>
    </row>
    <row r="256" customFormat="false" ht="15" hidden="false" customHeight="true" outlineLevel="0" collapsed="false">
      <c r="A256" s="128" t="n">
        <v>248</v>
      </c>
      <c r="B256" s="129" t="n">
        <f aca="false">$B$6</f>
        <v>11061.1904111269</v>
      </c>
      <c r="C256" s="129" t="n">
        <f aca="false">B256-D256</f>
        <v>6007.51420250673</v>
      </c>
      <c r="D256" s="129" t="n">
        <f aca="false">E255*$B$4/12</f>
        <v>5053.67620862014</v>
      </c>
      <c r="E256" s="129" t="n">
        <f aca="false">E255-C256</f>
        <v>926978.862773519</v>
      </c>
    </row>
    <row r="257" customFormat="false" ht="15" hidden="false" customHeight="true" outlineLevel="0" collapsed="false">
      <c r="A257" s="127" t="n">
        <v>249</v>
      </c>
      <c r="B257" s="36" t="n">
        <f aca="false">$B$6</f>
        <v>11061.1904111269</v>
      </c>
      <c r="C257" s="36" t="n">
        <f aca="false">B257-D257</f>
        <v>6040.05490443697</v>
      </c>
      <c r="D257" s="36" t="n">
        <f aca="false">E256*$B$4/12</f>
        <v>5021.13550668989</v>
      </c>
      <c r="E257" s="36" t="n">
        <f aca="false">E256-C257</f>
        <v>920938.807869082</v>
      </c>
    </row>
    <row r="258" customFormat="false" ht="15" hidden="false" customHeight="true" outlineLevel="0" collapsed="false">
      <c r="A258" s="128" t="n">
        <v>250</v>
      </c>
      <c r="B258" s="129" t="n">
        <f aca="false">$B$6</f>
        <v>11061.1904111269</v>
      </c>
      <c r="C258" s="129" t="n">
        <f aca="false">B258-D258</f>
        <v>6072.77186850268</v>
      </c>
      <c r="D258" s="129" t="n">
        <f aca="false">E257*$B$4/12</f>
        <v>4988.41854262419</v>
      </c>
      <c r="E258" s="129" t="n">
        <f aca="false">E257-C258</f>
        <v>914866.036000579</v>
      </c>
    </row>
    <row r="259" customFormat="false" ht="15" hidden="false" customHeight="true" outlineLevel="0" collapsed="false">
      <c r="A259" s="127" t="n">
        <v>251</v>
      </c>
      <c r="B259" s="36" t="n">
        <f aca="false">$B$6</f>
        <v>11061.1904111269</v>
      </c>
      <c r="C259" s="36" t="n">
        <f aca="false">B259-D259</f>
        <v>6105.66604945706</v>
      </c>
      <c r="D259" s="36" t="n">
        <f aca="false">E258*$B$4/12</f>
        <v>4955.5243616698</v>
      </c>
      <c r="E259" s="36" t="n">
        <f aca="false">E258-C259</f>
        <v>908760.369951122</v>
      </c>
    </row>
    <row r="260" customFormat="false" ht="15" hidden="false" customHeight="true" outlineLevel="0" collapsed="false">
      <c r="A260" s="128" t="n">
        <v>252</v>
      </c>
      <c r="B260" s="129" t="n">
        <f aca="false">$B$6</f>
        <v>11061.1904111269</v>
      </c>
      <c r="C260" s="129" t="n">
        <f aca="false">B260-D260</f>
        <v>6138.73840722496</v>
      </c>
      <c r="D260" s="129" t="n">
        <f aca="false">E259*$B$4/12</f>
        <v>4922.45200390191</v>
      </c>
      <c r="E260" s="129" t="n">
        <f aca="false">E259-C260</f>
        <v>902621.631543897</v>
      </c>
    </row>
    <row r="261" customFormat="false" ht="15" hidden="false" customHeight="true" outlineLevel="0" collapsed="false">
      <c r="A261" s="127" t="n">
        <v>253</v>
      </c>
      <c r="B261" s="36" t="n">
        <f aca="false">$B$6</f>
        <v>11061.1904111269</v>
      </c>
      <c r="C261" s="36" t="n">
        <f aca="false">B261-D261</f>
        <v>6171.98990693076</v>
      </c>
      <c r="D261" s="36" t="n">
        <f aca="false">E260*$B$4/12</f>
        <v>4889.20050419611</v>
      </c>
      <c r="E261" s="36" t="n">
        <f aca="false">E260-C261</f>
        <v>896449.641636966</v>
      </c>
    </row>
    <row r="262" customFormat="false" ht="15" hidden="false" customHeight="true" outlineLevel="0" collapsed="false">
      <c r="A262" s="128" t="n">
        <v>254</v>
      </c>
      <c r="B262" s="129" t="n">
        <f aca="false">$B$6</f>
        <v>11061.1904111269</v>
      </c>
      <c r="C262" s="129" t="n">
        <f aca="false">B262-D262</f>
        <v>6205.42151892663</v>
      </c>
      <c r="D262" s="129" t="n">
        <f aca="false">E261*$B$4/12</f>
        <v>4855.76889220023</v>
      </c>
      <c r="E262" s="129" t="n">
        <f aca="false">E261-C262</f>
        <v>890244.22011804</v>
      </c>
    </row>
    <row r="263" customFormat="false" ht="15" hidden="false" customHeight="true" outlineLevel="0" collapsed="false">
      <c r="A263" s="127" t="n">
        <v>255</v>
      </c>
      <c r="B263" s="36" t="n">
        <f aca="false">$B$6</f>
        <v>11061.1904111269</v>
      </c>
      <c r="C263" s="36" t="n">
        <f aca="false">B263-D263</f>
        <v>6239.03421882082</v>
      </c>
      <c r="D263" s="36" t="n">
        <f aca="false">E262*$B$4/12</f>
        <v>4822.15619230605</v>
      </c>
      <c r="E263" s="36" t="n">
        <f aca="false">E262-C263</f>
        <v>884005.185899219</v>
      </c>
    </row>
    <row r="264" customFormat="false" ht="15" hidden="false" customHeight="true" outlineLevel="0" collapsed="false">
      <c r="A264" s="128" t="n">
        <v>256</v>
      </c>
      <c r="B264" s="129" t="n">
        <f aca="false">$B$6</f>
        <v>11061.1904111269</v>
      </c>
      <c r="C264" s="129" t="n">
        <f aca="false">B264-D264</f>
        <v>6272.8289875061</v>
      </c>
      <c r="D264" s="129" t="n">
        <f aca="false">E263*$B$4/12</f>
        <v>4788.36142362077</v>
      </c>
      <c r="E264" s="129" t="n">
        <f aca="false">E263-C264</f>
        <v>877732.356911713</v>
      </c>
    </row>
    <row r="265" customFormat="false" ht="15" hidden="false" customHeight="true" outlineLevel="0" collapsed="false">
      <c r="A265" s="127" t="n">
        <v>257</v>
      </c>
      <c r="B265" s="36" t="n">
        <f aca="false">$B$6</f>
        <v>11061.1904111269</v>
      </c>
      <c r="C265" s="36" t="n">
        <f aca="false">B265-D265</f>
        <v>6306.80681118842</v>
      </c>
      <c r="D265" s="36" t="n">
        <f aca="false">E264*$B$4/12</f>
        <v>4754.38359993844</v>
      </c>
      <c r="E265" s="36" t="n">
        <f aca="false">E264-C265</f>
        <v>871425.550100524</v>
      </c>
    </row>
    <row r="266" customFormat="false" ht="15" hidden="false" customHeight="true" outlineLevel="0" collapsed="false">
      <c r="A266" s="128" t="n">
        <v>258</v>
      </c>
      <c r="B266" s="129" t="n">
        <f aca="false">$B$6</f>
        <v>11061.1904111269</v>
      </c>
      <c r="C266" s="129" t="n">
        <f aca="false">B266-D266</f>
        <v>6340.9686814157</v>
      </c>
      <c r="D266" s="129" t="n">
        <f aca="false">E265*$B$4/12</f>
        <v>4720.22172971117</v>
      </c>
      <c r="E266" s="129" t="n">
        <f aca="false">E265-C266</f>
        <v>865084.581419108</v>
      </c>
    </row>
    <row r="267" customFormat="false" ht="15" hidden="false" customHeight="true" outlineLevel="0" collapsed="false">
      <c r="A267" s="127" t="n">
        <v>259</v>
      </c>
      <c r="B267" s="36" t="n">
        <f aca="false">$B$6</f>
        <v>11061.1904111269</v>
      </c>
      <c r="C267" s="36" t="n">
        <f aca="false">B267-D267</f>
        <v>6375.3155951067</v>
      </c>
      <c r="D267" s="36" t="n">
        <f aca="false">E266*$B$4/12</f>
        <v>4685.87481602017</v>
      </c>
      <c r="E267" s="36" t="n">
        <f aca="false">E266-C267</f>
        <v>858709.265824002</v>
      </c>
    </row>
    <row r="268" customFormat="false" ht="15" hidden="false" customHeight="true" outlineLevel="0" collapsed="false">
      <c r="A268" s="128" t="n">
        <v>260</v>
      </c>
      <c r="B268" s="129" t="n">
        <f aca="false">$B$6</f>
        <v>11061.1904111269</v>
      </c>
      <c r="C268" s="129" t="n">
        <f aca="false">B268-D268</f>
        <v>6409.84855458019</v>
      </c>
      <c r="D268" s="129" t="n">
        <f aca="false">E267*$B$4/12</f>
        <v>4651.34185654668</v>
      </c>
      <c r="E268" s="129" t="n">
        <f aca="false">E267-C268</f>
        <v>852299.417269422</v>
      </c>
    </row>
    <row r="269" customFormat="false" ht="15" hidden="false" customHeight="true" outlineLevel="0" collapsed="false">
      <c r="A269" s="127" t="n">
        <v>261</v>
      </c>
      <c r="B269" s="36" t="n">
        <f aca="false">$B$6</f>
        <v>11061.1904111269</v>
      </c>
      <c r="C269" s="36" t="n">
        <f aca="false">B269-D269</f>
        <v>6444.56856758417</v>
      </c>
      <c r="D269" s="36" t="n">
        <f aca="false">E268*$B$4/12</f>
        <v>4616.6218435427</v>
      </c>
      <c r="E269" s="36" t="n">
        <f aca="false">E268-C269</f>
        <v>845854.848701837</v>
      </c>
    </row>
    <row r="270" customFormat="false" ht="15" hidden="false" customHeight="true" outlineLevel="0" collapsed="false">
      <c r="A270" s="128" t="n">
        <v>262</v>
      </c>
      <c r="B270" s="129" t="n">
        <f aca="false">$B$6</f>
        <v>11061.1904111269</v>
      </c>
      <c r="C270" s="129" t="n">
        <f aca="false">B270-D270</f>
        <v>6479.47664732525</v>
      </c>
      <c r="D270" s="129" t="n">
        <f aca="false">E269*$B$4/12</f>
        <v>4581.71376380162</v>
      </c>
      <c r="E270" s="129" t="n">
        <f aca="false">E269-C270</f>
        <v>839375.372054512</v>
      </c>
    </row>
    <row r="271" customFormat="false" ht="15" hidden="false" customHeight="true" outlineLevel="0" collapsed="false">
      <c r="A271" s="127" t="n">
        <v>263</v>
      </c>
      <c r="B271" s="36" t="n">
        <f aca="false">$B$6</f>
        <v>11061.1904111269</v>
      </c>
      <c r="C271" s="36" t="n">
        <f aca="false">B271-D271</f>
        <v>6514.57381249826</v>
      </c>
      <c r="D271" s="36" t="n">
        <f aca="false">E270*$B$4/12</f>
        <v>4546.61659862861</v>
      </c>
      <c r="E271" s="36" t="n">
        <f aca="false">E270-C271</f>
        <v>832860.798242014</v>
      </c>
    </row>
    <row r="272" customFormat="false" ht="15" hidden="false" customHeight="true" outlineLevel="0" collapsed="false">
      <c r="A272" s="128" t="n">
        <v>264</v>
      </c>
      <c r="B272" s="129" t="n">
        <f aca="false">$B$6</f>
        <v>11061.1904111269</v>
      </c>
      <c r="C272" s="129" t="n">
        <f aca="false">B272-D272</f>
        <v>6549.86108731596</v>
      </c>
      <c r="D272" s="129" t="n">
        <f aca="false">E271*$B$4/12</f>
        <v>4511.32932381091</v>
      </c>
      <c r="E272" s="129" t="n">
        <f aca="false">E271-C272</f>
        <v>826310.937154698</v>
      </c>
    </row>
    <row r="273" customFormat="false" ht="15" hidden="false" customHeight="true" outlineLevel="0" collapsed="false">
      <c r="A273" s="127" t="n">
        <v>265</v>
      </c>
      <c r="B273" s="36" t="n">
        <f aca="false">$B$6</f>
        <v>11061.1904111269</v>
      </c>
      <c r="C273" s="36" t="n">
        <f aca="false">B273-D273</f>
        <v>6585.33950153892</v>
      </c>
      <c r="D273" s="36" t="n">
        <f aca="false">E272*$B$4/12</f>
        <v>4475.85090958795</v>
      </c>
      <c r="E273" s="36" t="n">
        <f aca="false">E272-C273</f>
        <v>819725.597653159</v>
      </c>
    </row>
    <row r="274" customFormat="false" ht="15" hidden="false" customHeight="true" outlineLevel="0" collapsed="false">
      <c r="A274" s="128" t="n">
        <v>266</v>
      </c>
      <c r="B274" s="129" t="n">
        <f aca="false">$B$6</f>
        <v>11061.1904111269</v>
      </c>
      <c r="C274" s="129" t="n">
        <f aca="false">B274-D274</f>
        <v>6621.01009050559</v>
      </c>
      <c r="D274" s="129" t="n">
        <f aca="false">E273*$B$4/12</f>
        <v>4440.18032062128</v>
      </c>
      <c r="E274" s="129" t="n">
        <f aca="false">E273-C274</f>
        <v>813104.587562654</v>
      </c>
    </row>
    <row r="275" customFormat="false" ht="15" hidden="false" customHeight="true" outlineLevel="0" collapsed="false">
      <c r="A275" s="127" t="n">
        <v>267</v>
      </c>
      <c r="B275" s="36" t="n">
        <f aca="false">$B$6</f>
        <v>11061.1904111269</v>
      </c>
      <c r="C275" s="36" t="n">
        <f aca="false">B275-D275</f>
        <v>6656.87389516249</v>
      </c>
      <c r="D275" s="36" t="n">
        <f aca="false">E274*$B$4/12</f>
        <v>4404.31651596437</v>
      </c>
      <c r="E275" s="36" t="n">
        <f aca="false">E274-C275</f>
        <v>806447.713667491</v>
      </c>
    </row>
    <row r="276" customFormat="false" ht="15" hidden="false" customHeight="true" outlineLevel="0" collapsed="false">
      <c r="A276" s="128" t="n">
        <v>268</v>
      </c>
      <c r="B276" s="129" t="n">
        <f aca="false">$B$6</f>
        <v>11061.1904111269</v>
      </c>
      <c r="C276" s="129" t="n">
        <f aca="false">B276-D276</f>
        <v>6692.93196209462</v>
      </c>
      <c r="D276" s="129" t="n">
        <f aca="false">E275*$B$4/12</f>
        <v>4368.25844903224</v>
      </c>
      <c r="E276" s="129" t="n">
        <f aca="false">E275-C276</f>
        <v>799754.781705396</v>
      </c>
    </row>
    <row r="277" customFormat="false" ht="15" hidden="false" customHeight="true" outlineLevel="0" collapsed="false">
      <c r="A277" s="127" t="n">
        <v>269</v>
      </c>
      <c r="B277" s="36" t="n">
        <f aca="false">$B$6</f>
        <v>11061.1904111269</v>
      </c>
      <c r="C277" s="36" t="n">
        <f aca="false">B277-D277</f>
        <v>6729.18534355597</v>
      </c>
      <c r="D277" s="36" t="n">
        <f aca="false">E276*$B$4/12</f>
        <v>4332.0050675709</v>
      </c>
      <c r="E277" s="36" t="n">
        <f aca="false">E276-C277</f>
        <v>793025.59636184</v>
      </c>
    </row>
    <row r="278" customFormat="false" ht="15" hidden="false" customHeight="true" outlineLevel="0" collapsed="false">
      <c r="A278" s="128" t="n">
        <v>270</v>
      </c>
      <c r="B278" s="129" t="n">
        <f aca="false">$B$6</f>
        <v>11061.1904111269</v>
      </c>
      <c r="C278" s="129" t="n">
        <f aca="false">B278-D278</f>
        <v>6765.63509750023</v>
      </c>
      <c r="D278" s="129" t="n">
        <f aca="false">E277*$B$4/12</f>
        <v>4295.55531362664</v>
      </c>
      <c r="E278" s="129" t="n">
        <f aca="false">E277-C278</f>
        <v>786259.96126434</v>
      </c>
    </row>
    <row r="279" customFormat="false" ht="15" hidden="false" customHeight="true" outlineLevel="0" collapsed="false">
      <c r="A279" s="127" t="n">
        <v>271</v>
      </c>
      <c r="B279" s="36" t="n">
        <f aca="false">$B$6</f>
        <v>11061.1904111269</v>
      </c>
      <c r="C279" s="36" t="n">
        <f aca="false">B279-D279</f>
        <v>6802.28228761169</v>
      </c>
      <c r="D279" s="36" t="n">
        <f aca="false">E278*$B$4/12</f>
        <v>4258.90812351518</v>
      </c>
      <c r="E279" s="36" t="n">
        <f aca="false">E278-C279</f>
        <v>779457.678976728</v>
      </c>
    </row>
    <row r="280" customFormat="false" ht="15" hidden="false" customHeight="true" outlineLevel="0" collapsed="false">
      <c r="A280" s="128" t="n">
        <v>272</v>
      </c>
      <c r="B280" s="129" t="n">
        <f aca="false">$B$6</f>
        <v>11061.1904111269</v>
      </c>
      <c r="C280" s="129" t="n">
        <f aca="false">B280-D280</f>
        <v>6839.12798333626</v>
      </c>
      <c r="D280" s="129" t="n">
        <f aca="false">E279*$B$4/12</f>
        <v>4222.06242779061</v>
      </c>
      <c r="E280" s="129" t="n">
        <f aca="false">E279-C280</f>
        <v>772618.550993392</v>
      </c>
    </row>
    <row r="281" customFormat="false" ht="15" hidden="false" customHeight="true" outlineLevel="0" collapsed="false">
      <c r="A281" s="127" t="n">
        <v>273</v>
      </c>
      <c r="B281" s="36" t="n">
        <f aca="false">$B$6</f>
        <v>11061.1904111269</v>
      </c>
      <c r="C281" s="36" t="n">
        <f aca="false">B281-D281</f>
        <v>6876.17325991266</v>
      </c>
      <c r="D281" s="36" t="n">
        <f aca="false">E280*$B$4/12</f>
        <v>4185.01715121421</v>
      </c>
      <c r="E281" s="36" t="n">
        <f aca="false">E280-C281</f>
        <v>765742.37773348</v>
      </c>
    </row>
    <row r="282" customFormat="false" ht="15" hidden="false" customHeight="true" outlineLevel="0" collapsed="false">
      <c r="A282" s="128" t="n">
        <v>274</v>
      </c>
      <c r="B282" s="129" t="n">
        <f aca="false">$B$6</f>
        <v>11061.1904111269</v>
      </c>
      <c r="C282" s="129" t="n">
        <f aca="false">B282-D282</f>
        <v>6913.41919840385</v>
      </c>
      <c r="D282" s="129" t="n">
        <f aca="false">E281*$B$4/12</f>
        <v>4147.77121272301</v>
      </c>
      <c r="E282" s="129" t="n">
        <f aca="false">E281-C282</f>
        <v>758828.958535076</v>
      </c>
    </row>
    <row r="283" customFormat="false" ht="15" hidden="false" customHeight="true" outlineLevel="0" collapsed="false">
      <c r="A283" s="127" t="n">
        <v>275</v>
      </c>
      <c r="B283" s="36" t="n">
        <f aca="false">$B$6</f>
        <v>11061.1904111269</v>
      </c>
      <c r="C283" s="36" t="n">
        <f aca="false">B283-D283</f>
        <v>6950.86688572854</v>
      </c>
      <c r="D283" s="36" t="n">
        <f aca="false">E282*$B$4/12</f>
        <v>4110.32352539833</v>
      </c>
      <c r="E283" s="36" t="n">
        <f aca="false">E282-C283</f>
        <v>751878.091649347</v>
      </c>
    </row>
    <row r="284" customFormat="false" ht="15" hidden="false" customHeight="true" outlineLevel="0" collapsed="false">
      <c r="A284" s="128" t="n">
        <v>276</v>
      </c>
      <c r="B284" s="129" t="n">
        <f aca="false">$B$6</f>
        <v>11061.1904111269</v>
      </c>
      <c r="C284" s="129" t="n">
        <f aca="false">B284-D284</f>
        <v>6988.5174146929</v>
      </c>
      <c r="D284" s="129" t="n">
        <f aca="false">E283*$B$4/12</f>
        <v>4072.67299643396</v>
      </c>
      <c r="E284" s="129" t="n">
        <f aca="false">E283-C284</f>
        <v>744889.574234654</v>
      </c>
    </row>
    <row r="285" customFormat="false" ht="15" hidden="false" customHeight="true" outlineLevel="0" collapsed="false">
      <c r="A285" s="127" t="n">
        <v>277</v>
      </c>
      <c r="B285" s="36" t="n">
        <f aca="false">$B$6</f>
        <v>11061.1904111269</v>
      </c>
      <c r="C285" s="36" t="n">
        <f aca="false">B285-D285</f>
        <v>7026.37188402249</v>
      </c>
      <c r="D285" s="36" t="n">
        <f aca="false">E284*$B$4/12</f>
        <v>4034.81852710438</v>
      </c>
      <c r="E285" s="36" t="n">
        <f aca="false">E284-C285</f>
        <v>737863.202350632</v>
      </c>
    </row>
    <row r="286" customFormat="false" ht="15" hidden="false" customHeight="true" outlineLevel="0" collapsed="false">
      <c r="A286" s="128" t="n">
        <v>278</v>
      </c>
      <c r="B286" s="129" t="n">
        <f aca="false">$B$6</f>
        <v>11061.1904111269</v>
      </c>
      <c r="C286" s="129" t="n">
        <f aca="false">B286-D286</f>
        <v>7064.43139839428</v>
      </c>
      <c r="D286" s="129" t="n">
        <f aca="false">E285*$B$4/12</f>
        <v>3996.75901273259</v>
      </c>
      <c r="E286" s="129" t="n">
        <f aca="false">E285-C286</f>
        <v>730798.770952237</v>
      </c>
    </row>
    <row r="287" customFormat="false" ht="15" hidden="false" customHeight="true" outlineLevel="0" collapsed="false">
      <c r="A287" s="127" t="n">
        <v>279</v>
      </c>
      <c r="B287" s="36" t="n">
        <f aca="false">$B$6</f>
        <v>11061.1904111269</v>
      </c>
      <c r="C287" s="36" t="n">
        <f aca="false">B287-D287</f>
        <v>7102.69706846891</v>
      </c>
      <c r="D287" s="36" t="n">
        <f aca="false">E286*$B$4/12</f>
        <v>3958.49334265795</v>
      </c>
      <c r="E287" s="36" t="n">
        <f aca="false">E286-C287</f>
        <v>723696.073883769</v>
      </c>
    </row>
    <row r="288" customFormat="false" ht="15" hidden="false" customHeight="true" outlineLevel="0" collapsed="false">
      <c r="A288" s="128" t="n">
        <v>280</v>
      </c>
      <c r="B288" s="129" t="n">
        <f aca="false">$B$6</f>
        <v>11061.1904111269</v>
      </c>
      <c r="C288" s="129" t="n">
        <f aca="false">B288-D288</f>
        <v>7141.17001092312</v>
      </c>
      <c r="D288" s="129" t="n">
        <f aca="false">E287*$B$4/12</f>
        <v>3920.02040020375</v>
      </c>
      <c r="E288" s="129" t="n">
        <f aca="false">E287-C288</f>
        <v>716554.903872845</v>
      </c>
    </row>
    <row r="289" customFormat="false" ht="15" hidden="false" customHeight="true" outlineLevel="0" collapsed="false">
      <c r="A289" s="127" t="n">
        <v>281</v>
      </c>
      <c r="B289" s="36" t="n">
        <f aca="false">$B$6</f>
        <v>11061.1904111269</v>
      </c>
      <c r="C289" s="36" t="n">
        <f aca="false">B289-D289</f>
        <v>7179.85134848229</v>
      </c>
      <c r="D289" s="36" t="n">
        <f aca="false">E288*$B$4/12</f>
        <v>3881.33906264458</v>
      </c>
      <c r="E289" s="36" t="n">
        <f aca="false">E288-C289</f>
        <v>709375.052524363</v>
      </c>
    </row>
    <row r="290" customFormat="false" ht="15" hidden="false" customHeight="true" outlineLevel="0" collapsed="false">
      <c r="A290" s="128" t="n">
        <v>282</v>
      </c>
      <c r="B290" s="129" t="n">
        <f aca="false">$B$6</f>
        <v>11061.1904111269</v>
      </c>
      <c r="C290" s="129" t="n">
        <f aca="false">B290-D290</f>
        <v>7218.74220995323</v>
      </c>
      <c r="D290" s="129" t="n">
        <f aca="false">E289*$B$4/12</f>
        <v>3842.44820117363</v>
      </c>
      <c r="E290" s="129" t="n">
        <f aca="false">E289-C290</f>
        <v>702156.31031441</v>
      </c>
    </row>
    <row r="291" customFormat="false" ht="15" hidden="false" customHeight="true" outlineLevel="0" collapsed="false">
      <c r="A291" s="127" t="n">
        <v>283</v>
      </c>
      <c r="B291" s="36" t="n">
        <f aca="false">$B$6</f>
        <v>11061.1904111269</v>
      </c>
      <c r="C291" s="36" t="n">
        <f aca="false">B291-D291</f>
        <v>7257.84373025715</v>
      </c>
      <c r="D291" s="36" t="n">
        <f aca="false">E290*$B$4/12</f>
        <v>3803.34668086972</v>
      </c>
      <c r="E291" s="36" t="n">
        <f aca="false">E290-C291</f>
        <v>694898.466584153</v>
      </c>
    </row>
    <row r="292" customFormat="false" ht="15" hidden="false" customHeight="true" outlineLevel="0" collapsed="false">
      <c r="A292" s="128" t="n">
        <v>284</v>
      </c>
      <c r="B292" s="129" t="n">
        <f aca="false">$B$6</f>
        <v>11061.1904111269</v>
      </c>
      <c r="C292" s="129" t="n">
        <f aca="false">B292-D292</f>
        <v>7297.15705046271</v>
      </c>
      <c r="D292" s="129" t="n">
        <f aca="false">E291*$B$4/12</f>
        <v>3764.03336066416</v>
      </c>
      <c r="E292" s="129" t="n">
        <f aca="false">E291-C292</f>
        <v>687601.30953369</v>
      </c>
    </row>
    <row r="293" customFormat="false" ht="15" hidden="false" customHeight="true" outlineLevel="0" collapsed="false">
      <c r="A293" s="127" t="n">
        <v>285</v>
      </c>
      <c r="B293" s="36" t="n">
        <f aca="false">$B$6</f>
        <v>11061.1904111269</v>
      </c>
      <c r="C293" s="36" t="n">
        <f aca="false">B293-D293</f>
        <v>7336.68331781938</v>
      </c>
      <c r="D293" s="36" t="n">
        <f aca="false">E292*$B$4/12</f>
        <v>3724.50709330749</v>
      </c>
      <c r="E293" s="36" t="n">
        <f aca="false">E292-C293</f>
        <v>680264.626215871</v>
      </c>
    </row>
    <row r="294" customFormat="false" ht="15" hidden="false" customHeight="true" outlineLevel="0" collapsed="false">
      <c r="A294" s="128" t="n">
        <v>286</v>
      </c>
      <c r="B294" s="129" t="n">
        <f aca="false">$B$6</f>
        <v>11061.1904111269</v>
      </c>
      <c r="C294" s="129" t="n">
        <f aca="false">B294-D294</f>
        <v>7376.4236857909</v>
      </c>
      <c r="D294" s="129" t="n">
        <f aca="false">E293*$B$4/12</f>
        <v>3684.76672533597</v>
      </c>
      <c r="E294" s="129" t="n">
        <f aca="false">E293-C294</f>
        <v>672888.20253008</v>
      </c>
    </row>
    <row r="295" customFormat="false" ht="15" hidden="false" customHeight="true" outlineLevel="0" collapsed="false">
      <c r="A295" s="127" t="n">
        <v>287</v>
      </c>
      <c r="B295" s="36" t="n">
        <f aca="false">$B$6</f>
        <v>11061.1904111269</v>
      </c>
      <c r="C295" s="36" t="n">
        <f aca="false">B295-D295</f>
        <v>7416.37931408893</v>
      </c>
      <c r="D295" s="36" t="n">
        <f aca="false">E294*$B$4/12</f>
        <v>3644.81109703793</v>
      </c>
      <c r="E295" s="36" t="n">
        <f aca="false">E294-C295</f>
        <v>665471.823215991</v>
      </c>
    </row>
    <row r="296" customFormat="false" ht="15" hidden="false" customHeight="true" outlineLevel="0" collapsed="false">
      <c r="A296" s="128" t="n">
        <v>288</v>
      </c>
      <c r="B296" s="129" t="n">
        <f aca="false">$B$6</f>
        <v>11061.1904111269</v>
      </c>
      <c r="C296" s="129" t="n">
        <f aca="false">B296-D296</f>
        <v>7456.55136870692</v>
      </c>
      <c r="D296" s="129" t="n">
        <f aca="false">E295*$B$4/12</f>
        <v>3604.63904241995</v>
      </c>
      <c r="E296" s="129" t="n">
        <f aca="false">E295-C296</f>
        <v>658015.271847284</v>
      </c>
    </row>
    <row r="297" customFormat="false" ht="15" hidden="false" customHeight="true" outlineLevel="0" collapsed="false">
      <c r="A297" s="127" t="n">
        <v>289</v>
      </c>
      <c r="B297" s="36" t="n">
        <f aca="false">$B$6</f>
        <v>11061.1904111269</v>
      </c>
      <c r="C297" s="36" t="n">
        <f aca="false">B297-D297</f>
        <v>7496.94102195408</v>
      </c>
      <c r="D297" s="36" t="n">
        <f aca="false">E296*$B$4/12</f>
        <v>3564.24938917279</v>
      </c>
      <c r="E297" s="36" t="n">
        <f aca="false">E296-C297</f>
        <v>650518.33082533</v>
      </c>
    </row>
    <row r="298" customFormat="false" ht="15" hidden="false" customHeight="true" outlineLevel="0" collapsed="false">
      <c r="A298" s="128" t="n">
        <v>290</v>
      </c>
      <c r="B298" s="129" t="n">
        <f aca="false">$B$6</f>
        <v>11061.1904111269</v>
      </c>
      <c r="C298" s="129" t="n">
        <f aca="false">B298-D298</f>
        <v>7537.54945248966</v>
      </c>
      <c r="D298" s="129" t="n">
        <f aca="false">E297*$B$4/12</f>
        <v>3523.6409586372</v>
      </c>
      <c r="E298" s="129" t="n">
        <f aca="false">E297-C298</f>
        <v>642980.78137284</v>
      </c>
    </row>
    <row r="299" customFormat="false" ht="15" hidden="false" customHeight="true" outlineLevel="0" collapsed="false">
      <c r="A299" s="127" t="n">
        <v>291</v>
      </c>
      <c r="B299" s="36" t="n">
        <f aca="false">$B$6</f>
        <v>11061.1904111269</v>
      </c>
      <c r="C299" s="36" t="n">
        <f aca="false">B299-D299</f>
        <v>7578.37784535732</v>
      </c>
      <c r="D299" s="36" t="n">
        <f aca="false">E298*$B$4/12</f>
        <v>3482.81256576955</v>
      </c>
      <c r="E299" s="36" t="n">
        <f aca="false">E298-C299</f>
        <v>635402.403527483</v>
      </c>
    </row>
    <row r="300" customFormat="false" ht="15" hidden="false" customHeight="true" outlineLevel="0" collapsed="false">
      <c r="A300" s="128" t="n">
        <v>292</v>
      </c>
      <c r="B300" s="129" t="n">
        <f aca="false">$B$6</f>
        <v>11061.1904111269</v>
      </c>
      <c r="C300" s="129" t="n">
        <f aca="false">B300-D300</f>
        <v>7619.42739201967</v>
      </c>
      <c r="D300" s="129" t="n">
        <f aca="false">E299*$B$4/12</f>
        <v>3441.7630191072</v>
      </c>
      <c r="E300" s="129" t="n">
        <f aca="false">E299-C300</f>
        <v>627782.976135463</v>
      </c>
    </row>
    <row r="301" customFormat="false" ht="15" hidden="false" customHeight="true" outlineLevel="0" collapsed="false">
      <c r="A301" s="127" t="n">
        <v>293</v>
      </c>
      <c r="B301" s="36" t="n">
        <f aca="false">$B$6</f>
        <v>11061.1904111269</v>
      </c>
      <c r="C301" s="36" t="n">
        <f aca="false">B301-D301</f>
        <v>7660.69929039311</v>
      </c>
      <c r="D301" s="36" t="n">
        <f aca="false">E300*$B$4/12</f>
        <v>3400.49112073376</v>
      </c>
      <c r="E301" s="36" t="n">
        <f aca="false">E300-C301</f>
        <v>620122.27684507</v>
      </c>
    </row>
    <row r="302" customFormat="false" ht="15" hidden="false" customHeight="true" outlineLevel="0" collapsed="false">
      <c r="A302" s="128" t="n">
        <v>294</v>
      </c>
      <c r="B302" s="129" t="n">
        <f aca="false">$B$6</f>
        <v>11061.1904111269</v>
      </c>
      <c r="C302" s="129" t="n">
        <f aca="false">B302-D302</f>
        <v>7702.19474488274</v>
      </c>
      <c r="D302" s="129" t="n">
        <f aca="false">E301*$B$4/12</f>
        <v>3358.99566624413</v>
      </c>
      <c r="E302" s="129" t="n">
        <f aca="false">E301-C302</f>
        <v>612420.082100187</v>
      </c>
    </row>
    <row r="303" customFormat="false" ht="15" hidden="false" customHeight="true" outlineLevel="0" collapsed="false">
      <c r="A303" s="127" t="n">
        <v>295</v>
      </c>
      <c r="B303" s="36" t="n">
        <f aca="false">$B$6</f>
        <v>11061.1904111269</v>
      </c>
      <c r="C303" s="36" t="n">
        <f aca="false">B303-D303</f>
        <v>7743.91496641752</v>
      </c>
      <c r="D303" s="36" t="n">
        <f aca="false">E302*$B$4/12</f>
        <v>3317.27544470935</v>
      </c>
      <c r="E303" s="36" t="n">
        <f aca="false">E302-C303</f>
        <v>604676.16713377</v>
      </c>
    </row>
    <row r="304" customFormat="false" ht="15" hidden="false" customHeight="true" outlineLevel="0" collapsed="false">
      <c r="A304" s="128" t="n">
        <v>296</v>
      </c>
      <c r="B304" s="129" t="n">
        <f aca="false">$B$6</f>
        <v>11061.1904111269</v>
      </c>
      <c r="C304" s="129" t="n">
        <f aca="false">B304-D304</f>
        <v>7785.86117248561</v>
      </c>
      <c r="D304" s="129" t="n">
        <f aca="false">E303*$B$4/12</f>
        <v>3275.32923864125</v>
      </c>
      <c r="E304" s="129" t="n">
        <f aca="false">E303-C304</f>
        <v>596890.305961284</v>
      </c>
    </row>
    <row r="305" customFormat="false" ht="15" hidden="false" customHeight="true" outlineLevel="0" collapsed="false">
      <c r="A305" s="127" t="n">
        <v>297</v>
      </c>
      <c r="B305" s="36" t="n">
        <f aca="false">$B$6</f>
        <v>11061.1904111269</v>
      </c>
      <c r="C305" s="36" t="n">
        <f aca="false">B305-D305</f>
        <v>7828.03458716991</v>
      </c>
      <c r="D305" s="36" t="n">
        <f aca="false">E304*$B$4/12</f>
        <v>3233.15582395696</v>
      </c>
      <c r="E305" s="36" t="n">
        <f aca="false">E304-C305</f>
        <v>589062.271374114</v>
      </c>
    </row>
    <row r="306" customFormat="false" ht="15" hidden="false" customHeight="true" outlineLevel="0" collapsed="false">
      <c r="A306" s="128" t="n">
        <v>298</v>
      </c>
      <c r="B306" s="129" t="n">
        <f aca="false">$B$6</f>
        <v>11061.1904111269</v>
      </c>
      <c r="C306" s="129" t="n">
        <f aca="false">B306-D306</f>
        <v>7870.43644118375</v>
      </c>
      <c r="D306" s="129" t="n">
        <f aca="false">E305*$B$4/12</f>
        <v>3190.75396994312</v>
      </c>
      <c r="E306" s="129" t="n">
        <f aca="false">E305-C306</f>
        <v>581191.834932931</v>
      </c>
    </row>
    <row r="307" customFormat="false" ht="15" hidden="false" customHeight="true" outlineLevel="0" collapsed="false">
      <c r="A307" s="127" t="n">
        <v>299</v>
      </c>
      <c r="B307" s="36" t="n">
        <f aca="false">$B$6</f>
        <v>11061.1904111269</v>
      </c>
      <c r="C307" s="36" t="n">
        <f aca="false">B307-D307</f>
        <v>7913.06797190683</v>
      </c>
      <c r="D307" s="36" t="n">
        <f aca="false">E306*$B$4/12</f>
        <v>3148.12243922004</v>
      </c>
      <c r="E307" s="36" t="n">
        <f aca="false">E306-C307</f>
        <v>573278.766961024</v>
      </c>
    </row>
    <row r="308" customFormat="false" ht="15" hidden="false" customHeight="true" outlineLevel="0" collapsed="false">
      <c r="A308" s="128" t="n">
        <v>300</v>
      </c>
      <c r="B308" s="129" t="n">
        <f aca="false">$B$6</f>
        <v>11061.1904111269</v>
      </c>
      <c r="C308" s="129" t="n">
        <f aca="false">B308-D308</f>
        <v>7955.93042342132</v>
      </c>
      <c r="D308" s="129" t="n">
        <f aca="false">E307*$B$4/12</f>
        <v>3105.25998770555</v>
      </c>
      <c r="E308" s="129" t="n">
        <f aca="false">E307-C308</f>
        <v>565322.836537602</v>
      </c>
    </row>
    <row r="309" customFormat="false" ht="15" hidden="false" customHeight="true" outlineLevel="0" collapsed="false">
      <c r="A309" s="127" t="n">
        <v>301</v>
      </c>
      <c r="B309" s="36" t="n">
        <f aca="false">$B$6</f>
        <v>11061.1904111269</v>
      </c>
      <c r="C309" s="36" t="n">
        <f aca="false">B309-D309</f>
        <v>7999.02504654819</v>
      </c>
      <c r="D309" s="36" t="n">
        <f aca="false">E308*$B$4/12</f>
        <v>3062.16536457868</v>
      </c>
      <c r="E309" s="36" t="n">
        <f aca="false">E308-C309</f>
        <v>557323.811491054</v>
      </c>
    </row>
    <row r="310" customFormat="false" ht="15" hidden="false" customHeight="true" outlineLevel="0" collapsed="false">
      <c r="A310" s="128" t="n">
        <v>302</v>
      </c>
      <c r="B310" s="129" t="n">
        <f aca="false">$B$6</f>
        <v>11061.1904111269</v>
      </c>
      <c r="C310" s="129" t="n">
        <f aca="false">B310-D310</f>
        <v>8042.35309888366</v>
      </c>
      <c r="D310" s="129" t="n">
        <f aca="false">E309*$B$4/12</f>
        <v>3018.83731224321</v>
      </c>
      <c r="E310" s="129" t="n">
        <f aca="false">E309-C310</f>
        <v>549281.458392171</v>
      </c>
    </row>
    <row r="311" customFormat="false" ht="15" hidden="false" customHeight="true" outlineLevel="0" collapsed="false">
      <c r="A311" s="127" t="n">
        <v>303</v>
      </c>
      <c r="B311" s="36" t="n">
        <f aca="false">$B$6</f>
        <v>11061.1904111269</v>
      </c>
      <c r="C311" s="36" t="n">
        <f aca="false">B311-D311</f>
        <v>8085.91584483594</v>
      </c>
      <c r="D311" s="36" t="n">
        <f aca="false">E310*$B$4/12</f>
        <v>2975.27456629092</v>
      </c>
      <c r="E311" s="36" t="n">
        <f aca="false">E310-C311</f>
        <v>541195.542547335</v>
      </c>
    </row>
    <row r="312" customFormat="false" ht="15" hidden="false" customHeight="true" outlineLevel="0" collapsed="false">
      <c r="A312" s="128" t="n">
        <v>304</v>
      </c>
      <c r="B312" s="129" t="n">
        <f aca="false">$B$6</f>
        <v>11061.1904111269</v>
      </c>
      <c r="C312" s="129" t="n">
        <f aca="false">B312-D312</f>
        <v>8129.71455566214</v>
      </c>
      <c r="D312" s="129" t="n">
        <f aca="false">E311*$B$4/12</f>
        <v>2931.47585546473</v>
      </c>
      <c r="E312" s="129" t="n">
        <f aca="false">E311-C312</f>
        <v>533065.827991672</v>
      </c>
    </row>
    <row r="313" customFormat="false" ht="15" hidden="false" customHeight="true" outlineLevel="0" collapsed="false">
      <c r="A313" s="127" t="n">
        <v>305</v>
      </c>
      <c r="B313" s="36" t="n">
        <f aca="false">$B$6</f>
        <v>11061.1904111269</v>
      </c>
      <c r="C313" s="36" t="n">
        <f aca="false">B313-D313</f>
        <v>8173.75050950531</v>
      </c>
      <c r="D313" s="36" t="n">
        <f aca="false">E312*$B$4/12</f>
        <v>2887.43990162156</v>
      </c>
      <c r="E313" s="36" t="n">
        <f aca="false">E312-C313</f>
        <v>524892.077482167</v>
      </c>
    </row>
    <row r="314" customFormat="false" ht="15" hidden="false" customHeight="true" outlineLevel="0" collapsed="false">
      <c r="A314" s="128" t="n">
        <v>306</v>
      </c>
      <c r="B314" s="129" t="n">
        <f aca="false">$B$6</f>
        <v>11061.1904111269</v>
      </c>
      <c r="C314" s="129" t="n">
        <f aca="false">B314-D314</f>
        <v>8218.02499143179</v>
      </c>
      <c r="D314" s="129" t="n">
        <f aca="false">E313*$B$4/12</f>
        <v>2843.16541969507</v>
      </c>
      <c r="E314" s="129" t="n">
        <f aca="false">E313-C314</f>
        <v>516674.052490735</v>
      </c>
    </row>
    <row r="315" customFormat="false" ht="15" hidden="false" customHeight="true" outlineLevel="0" collapsed="false">
      <c r="A315" s="127" t="n">
        <v>307</v>
      </c>
      <c r="B315" s="36" t="n">
        <f aca="false">$B$6</f>
        <v>11061.1904111269</v>
      </c>
      <c r="C315" s="36" t="n">
        <f aca="false">B315-D315</f>
        <v>8262.53929346872</v>
      </c>
      <c r="D315" s="36" t="n">
        <f aca="false">E314*$B$4/12</f>
        <v>2798.65111765815</v>
      </c>
      <c r="E315" s="36" t="n">
        <f aca="false">E314-C315</f>
        <v>508411.513197267</v>
      </c>
    </row>
    <row r="316" customFormat="false" ht="15" hidden="false" customHeight="true" outlineLevel="0" collapsed="false">
      <c r="A316" s="128" t="n">
        <v>308</v>
      </c>
      <c r="B316" s="129" t="n">
        <f aca="false">$B$6</f>
        <v>11061.1904111269</v>
      </c>
      <c r="C316" s="129" t="n">
        <f aca="false">B316-D316</f>
        <v>8307.29471464167</v>
      </c>
      <c r="D316" s="129" t="n">
        <f aca="false">E315*$B$4/12</f>
        <v>2753.89569648519</v>
      </c>
      <c r="E316" s="129" t="n">
        <f aca="false">E315-C316</f>
        <v>500104.218482625</v>
      </c>
    </row>
    <row r="317" customFormat="false" ht="15" hidden="false" customHeight="true" outlineLevel="0" collapsed="false">
      <c r="A317" s="127" t="n">
        <v>309</v>
      </c>
      <c r="B317" s="36" t="n">
        <f aca="false">$B$6</f>
        <v>11061.1904111269</v>
      </c>
      <c r="C317" s="36" t="n">
        <f aca="false">B317-D317</f>
        <v>8352.29256101265</v>
      </c>
      <c r="D317" s="36" t="n">
        <f aca="false">E316*$B$4/12</f>
        <v>2708.89785011422</v>
      </c>
      <c r="E317" s="36" t="n">
        <f aca="false">E316-C317</f>
        <v>491751.925921612</v>
      </c>
    </row>
    <row r="318" customFormat="false" ht="15" hidden="false" customHeight="true" outlineLevel="0" collapsed="false">
      <c r="A318" s="128" t="n">
        <v>310</v>
      </c>
      <c r="B318" s="129" t="n">
        <f aca="false">$B$6</f>
        <v>11061.1904111269</v>
      </c>
      <c r="C318" s="129" t="n">
        <f aca="false">B318-D318</f>
        <v>8397.53414571813</v>
      </c>
      <c r="D318" s="129" t="n">
        <f aca="false">E317*$B$4/12</f>
        <v>2663.65626540873</v>
      </c>
      <c r="E318" s="129" t="n">
        <f aca="false">E317-C318</f>
        <v>483354.391775894</v>
      </c>
    </row>
    <row r="319" customFormat="false" ht="15" hidden="false" customHeight="true" outlineLevel="0" collapsed="false">
      <c r="A319" s="127" t="n">
        <v>311</v>
      </c>
      <c r="B319" s="36" t="n">
        <f aca="false">$B$6</f>
        <v>11061.1904111269</v>
      </c>
      <c r="C319" s="36" t="n">
        <f aca="false">B319-D319</f>
        <v>8443.02078900744</v>
      </c>
      <c r="D319" s="36" t="n">
        <f aca="false">E318*$B$4/12</f>
        <v>2618.16962211943</v>
      </c>
      <c r="E319" s="36" t="n">
        <f aca="false">E318-C319</f>
        <v>474911.370986887</v>
      </c>
    </row>
    <row r="320" customFormat="false" ht="15" hidden="false" customHeight="true" outlineLevel="0" collapsed="false">
      <c r="A320" s="128" t="n">
        <v>312</v>
      </c>
      <c r="B320" s="129" t="n">
        <f aca="false">$B$6</f>
        <v>11061.1904111269</v>
      </c>
      <c r="C320" s="129" t="n">
        <f aca="false">B320-D320</f>
        <v>8488.75381828123</v>
      </c>
      <c r="D320" s="129" t="n">
        <f aca="false">E319*$B$4/12</f>
        <v>2572.43659284564</v>
      </c>
      <c r="E320" s="129" t="n">
        <f aca="false">E319-C320</f>
        <v>466422.617168606</v>
      </c>
    </row>
    <row r="321" customFormat="false" ht="15" hidden="false" customHeight="true" outlineLevel="0" collapsed="false">
      <c r="A321" s="127" t="n">
        <v>313</v>
      </c>
      <c r="B321" s="36" t="n">
        <f aca="false">$B$6</f>
        <v>11061.1904111269</v>
      </c>
      <c r="C321" s="36" t="n">
        <f aca="false">B321-D321</f>
        <v>8534.73456813025</v>
      </c>
      <c r="D321" s="36" t="n">
        <f aca="false">E320*$B$4/12</f>
        <v>2526.45584299661</v>
      </c>
      <c r="E321" s="36" t="n">
        <f aca="false">E320-C321</f>
        <v>457887.882600475</v>
      </c>
    </row>
    <row r="322" customFormat="false" ht="15" hidden="false" customHeight="true" outlineLevel="0" collapsed="false">
      <c r="A322" s="128" t="n">
        <v>314</v>
      </c>
      <c r="B322" s="129" t="n">
        <f aca="false">$B$6</f>
        <v>11061.1904111269</v>
      </c>
      <c r="C322" s="129" t="n">
        <f aca="false">B322-D322</f>
        <v>8580.96438037429</v>
      </c>
      <c r="D322" s="129" t="n">
        <f aca="false">E321*$B$4/12</f>
        <v>2480.22603075257</v>
      </c>
      <c r="E322" s="129" t="n">
        <f aca="false">E321-C322</f>
        <v>449306.918220101</v>
      </c>
    </row>
    <row r="323" customFormat="false" ht="15" hidden="false" customHeight="true" outlineLevel="0" collapsed="false">
      <c r="A323" s="127" t="n">
        <v>315</v>
      </c>
      <c r="B323" s="36" t="n">
        <f aca="false">$B$6</f>
        <v>11061.1904111269</v>
      </c>
      <c r="C323" s="36" t="n">
        <f aca="false">B323-D323</f>
        <v>8627.44460410132</v>
      </c>
      <c r="D323" s="36" t="n">
        <f aca="false">E322*$B$4/12</f>
        <v>2433.74580702555</v>
      </c>
      <c r="E323" s="36" t="n">
        <f aca="false">E322-C323</f>
        <v>440679.473616</v>
      </c>
    </row>
    <row r="324" customFormat="false" ht="15" hidden="false" customHeight="true" outlineLevel="0" collapsed="false">
      <c r="A324" s="128" t="n">
        <v>316</v>
      </c>
      <c r="B324" s="129" t="n">
        <f aca="false">$B$6</f>
        <v>11061.1904111269</v>
      </c>
      <c r="C324" s="129" t="n">
        <f aca="false">B324-D324</f>
        <v>8674.17659570687</v>
      </c>
      <c r="D324" s="129" t="n">
        <f aca="false">E323*$B$4/12</f>
        <v>2387.01381542</v>
      </c>
      <c r="E324" s="129" t="n">
        <f aca="false">E323-C324</f>
        <v>432005.297020293</v>
      </c>
    </row>
    <row r="325" customFormat="false" ht="15" hidden="false" customHeight="true" outlineLevel="0" collapsed="false">
      <c r="A325" s="127" t="n">
        <v>317</v>
      </c>
      <c r="B325" s="36" t="n">
        <f aca="false">$B$6</f>
        <v>11061.1904111269</v>
      </c>
      <c r="C325" s="36" t="n">
        <f aca="false">B325-D325</f>
        <v>8721.16171893361</v>
      </c>
      <c r="D325" s="36" t="n">
        <f aca="false">E324*$B$4/12</f>
        <v>2340.02869219325</v>
      </c>
      <c r="E325" s="36" t="n">
        <f aca="false">E324-C325</f>
        <v>423284.135301359</v>
      </c>
    </row>
    <row r="326" customFormat="false" ht="15" hidden="false" customHeight="true" outlineLevel="0" collapsed="false">
      <c r="A326" s="128" t="n">
        <v>318</v>
      </c>
      <c r="B326" s="129" t="n">
        <f aca="false">$B$6</f>
        <v>11061.1904111269</v>
      </c>
      <c r="C326" s="129" t="n">
        <f aca="false">B326-D326</f>
        <v>8768.40134491117</v>
      </c>
      <c r="D326" s="129" t="n">
        <f aca="false">E325*$B$4/12</f>
        <v>2292.7890662157</v>
      </c>
      <c r="E326" s="129" t="n">
        <f aca="false">E325-C326</f>
        <v>414515.733956448</v>
      </c>
    </row>
    <row r="327" customFormat="false" ht="15" hidden="false" customHeight="true" outlineLevel="0" collapsed="false">
      <c r="A327" s="127" t="n">
        <v>319</v>
      </c>
      <c r="B327" s="36" t="n">
        <f aca="false">$B$6</f>
        <v>11061.1904111269</v>
      </c>
      <c r="C327" s="36" t="n">
        <f aca="false">B327-D327</f>
        <v>8815.89685219611</v>
      </c>
      <c r="D327" s="36" t="n">
        <f aca="false">E326*$B$4/12</f>
        <v>2245.29355893076</v>
      </c>
      <c r="E327" s="36" t="n">
        <f aca="false">E326-C327</f>
        <v>405699.837104252</v>
      </c>
    </row>
    <row r="328" customFormat="false" ht="15" hidden="false" customHeight="true" outlineLevel="0" collapsed="false">
      <c r="A328" s="128" t="n">
        <v>320</v>
      </c>
      <c r="B328" s="129" t="n">
        <f aca="false">$B$6</f>
        <v>11061.1904111269</v>
      </c>
      <c r="C328" s="129" t="n">
        <f aca="false">B328-D328</f>
        <v>8863.64962681217</v>
      </c>
      <c r="D328" s="129" t="n">
        <f aca="false">E327*$B$4/12</f>
        <v>2197.5407843147</v>
      </c>
      <c r="E328" s="129" t="n">
        <f aca="false">E327-C328</f>
        <v>396836.18747744</v>
      </c>
    </row>
    <row r="329" customFormat="false" ht="15" hidden="false" customHeight="true" outlineLevel="0" collapsed="false">
      <c r="A329" s="127" t="n">
        <v>321</v>
      </c>
      <c r="B329" s="36" t="n">
        <f aca="false">$B$6</f>
        <v>11061.1904111269</v>
      </c>
      <c r="C329" s="36" t="n">
        <f aca="false">B329-D329</f>
        <v>8911.66106229074</v>
      </c>
      <c r="D329" s="36" t="n">
        <f aca="false">E328*$B$4/12</f>
        <v>2149.52934883613</v>
      </c>
      <c r="E329" s="36" t="n">
        <f aca="false">E328-C329</f>
        <v>387924.526415149</v>
      </c>
    </row>
    <row r="330" customFormat="false" ht="15" hidden="false" customHeight="true" outlineLevel="0" collapsed="false">
      <c r="A330" s="128" t="n">
        <v>322</v>
      </c>
      <c r="B330" s="129" t="n">
        <f aca="false">$B$6</f>
        <v>11061.1904111269</v>
      </c>
      <c r="C330" s="129" t="n">
        <f aca="false">B330-D330</f>
        <v>8959.93255971148</v>
      </c>
      <c r="D330" s="129" t="n">
        <f aca="false">E329*$B$4/12</f>
        <v>2101.25785141539</v>
      </c>
      <c r="E330" s="129" t="n">
        <f aca="false">E329-C330</f>
        <v>378964.593855438</v>
      </c>
    </row>
    <row r="331" customFormat="false" ht="15" hidden="false" customHeight="true" outlineLevel="0" collapsed="false">
      <c r="A331" s="127" t="n">
        <v>323</v>
      </c>
      <c r="B331" s="36" t="n">
        <f aca="false">$B$6</f>
        <v>11061.1904111269</v>
      </c>
      <c r="C331" s="36" t="n">
        <f aca="false">B331-D331</f>
        <v>9008.46552774325</v>
      </c>
      <c r="D331" s="36" t="n">
        <f aca="false">E330*$B$4/12</f>
        <v>2052.72488338362</v>
      </c>
      <c r="E331" s="36" t="n">
        <f aca="false">E330-C331</f>
        <v>369956.128327694</v>
      </c>
    </row>
    <row r="332" customFormat="false" ht="15" hidden="false" customHeight="true" outlineLevel="0" collapsed="false">
      <c r="A332" s="128" t="n">
        <v>324</v>
      </c>
      <c r="B332" s="129" t="n">
        <f aca="false">$B$6</f>
        <v>11061.1904111269</v>
      </c>
      <c r="C332" s="129" t="n">
        <f aca="false">B332-D332</f>
        <v>9057.26138268519</v>
      </c>
      <c r="D332" s="129" t="n">
        <f aca="false">E331*$B$4/12</f>
        <v>2003.92902844168</v>
      </c>
      <c r="E332" s="129" t="n">
        <f aca="false">E331-C332</f>
        <v>360898.866945009</v>
      </c>
    </row>
    <row r="333" customFormat="false" ht="15" hidden="false" customHeight="true" outlineLevel="0" collapsed="false">
      <c r="A333" s="127" t="n">
        <v>325</v>
      </c>
      <c r="B333" s="36" t="n">
        <f aca="false">$B$6</f>
        <v>11061.1904111269</v>
      </c>
      <c r="C333" s="36" t="n">
        <f aca="false">B333-D333</f>
        <v>9106.32154850807</v>
      </c>
      <c r="D333" s="36" t="n">
        <f aca="false">E332*$B$4/12</f>
        <v>1954.8688626188</v>
      </c>
      <c r="E333" s="36" t="n">
        <f aca="false">E332-C333</f>
        <v>351792.545396501</v>
      </c>
    </row>
    <row r="334" customFormat="false" ht="15" hidden="false" customHeight="true" outlineLevel="0" collapsed="false">
      <c r="A334" s="128" t="n">
        <v>326</v>
      </c>
      <c r="B334" s="129" t="n">
        <f aca="false">$B$6</f>
        <v>11061.1904111269</v>
      </c>
      <c r="C334" s="129" t="n">
        <f aca="false">B334-D334</f>
        <v>9155.64745689582</v>
      </c>
      <c r="D334" s="129" t="n">
        <f aca="false">E333*$B$4/12</f>
        <v>1905.54295423105</v>
      </c>
      <c r="E334" s="129" t="n">
        <f aca="false">E333-C334</f>
        <v>342636.897939605</v>
      </c>
    </row>
    <row r="335" customFormat="false" ht="15" hidden="false" customHeight="true" outlineLevel="0" collapsed="false">
      <c r="A335" s="127" t="n">
        <v>327</v>
      </c>
      <c r="B335" s="36" t="n">
        <f aca="false">$B$6</f>
        <v>11061.1904111269</v>
      </c>
      <c r="C335" s="36" t="n">
        <f aca="false">B335-D335</f>
        <v>9205.24054728734</v>
      </c>
      <c r="D335" s="36" t="n">
        <f aca="false">E334*$B$4/12</f>
        <v>1855.94986383953</v>
      </c>
      <c r="E335" s="36" t="n">
        <f aca="false">E334-C335</f>
        <v>333431.657392318</v>
      </c>
    </row>
    <row r="336" customFormat="false" ht="15" hidden="false" customHeight="true" outlineLevel="0" collapsed="false">
      <c r="A336" s="128" t="n">
        <v>328</v>
      </c>
      <c r="B336" s="129" t="n">
        <f aca="false">$B$6</f>
        <v>11061.1904111269</v>
      </c>
      <c r="C336" s="129" t="n">
        <f aca="false">B336-D336</f>
        <v>9255.10226691848</v>
      </c>
      <c r="D336" s="129" t="n">
        <f aca="false">E335*$B$4/12</f>
        <v>1806.08814420839</v>
      </c>
      <c r="E336" s="129" t="n">
        <f aca="false">E335-C336</f>
        <v>324176.555125399</v>
      </c>
    </row>
    <row r="337" customFormat="false" ht="15" hidden="false" customHeight="true" outlineLevel="0" collapsed="false">
      <c r="A337" s="127" t="n">
        <v>329</v>
      </c>
      <c r="B337" s="36" t="n">
        <f aca="false">$B$6</f>
        <v>11061.1904111269</v>
      </c>
      <c r="C337" s="36" t="n">
        <f aca="false">B337-D337</f>
        <v>9305.23407086429</v>
      </c>
      <c r="D337" s="36" t="n">
        <f aca="false">E336*$B$4/12</f>
        <v>1755.95634026258</v>
      </c>
      <c r="E337" s="36" t="n">
        <f aca="false">E336-C337</f>
        <v>314871.321054535</v>
      </c>
    </row>
    <row r="338" customFormat="false" ht="15" hidden="false" customHeight="true" outlineLevel="0" collapsed="false">
      <c r="A338" s="128" t="n">
        <v>330</v>
      </c>
      <c r="B338" s="129" t="n">
        <f aca="false">$B$6</f>
        <v>11061.1904111269</v>
      </c>
      <c r="C338" s="129" t="n">
        <f aca="false">B338-D338</f>
        <v>9355.63742208147</v>
      </c>
      <c r="D338" s="129" t="n">
        <f aca="false">E337*$B$4/12</f>
        <v>1705.5529890454</v>
      </c>
      <c r="E338" s="129" t="n">
        <f aca="false">E337-C338</f>
        <v>305515.683632454</v>
      </c>
    </row>
    <row r="339" customFormat="false" ht="15" hidden="false" customHeight="true" outlineLevel="0" collapsed="false">
      <c r="A339" s="127" t="n">
        <v>331</v>
      </c>
      <c r="B339" s="36" t="n">
        <f aca="false">$B$6</f>
        <v>11061.1904111269</v>
      </c>
      <c r="C339" s="36" t="n">
        <f aca="false">B339-D339</f>
        <v>9406.31379145108</v>
      </c>
      <c r="D339" s="36" t="n">
        <f aca="false">E338*$B$4/12</f>
        <v>1654.87661967579</v>
      </c>
      <c r="E339" s="36" t="n">
        <f aca="false">E338-C339</f>
        <v>296109.369841003</v>
      </c>
    </row>
    <row r="340" customFormat="false" ht="15" hidden="false" customHeight="true" outlineLevel="0" collapsed="false">
      <c r="A340" s="128" t="n">
        <v>332</v>
      </c>
      <c r="B340" s="129" t="n">
        <f aca="false">$B$6</f>
        <v>11061.1904111269</v>
      </c>
      <c r="C340" s="129" t="n">
        <f aca="false">B340-D340</f>
        <v>9457.26465782144</v>
      </c>
      <c r="D340" s="129" t="n">
        <f aca="false">E339*$B$4/12</f>
        <v>1603.92575330543</v>
      </c>
      <c r="E340" s="129" t="n">
        <f aca="false">E339-C340</f>
        <v>286652.105183181</v>
      </c>
    </row>
    <row r="341" customFormat="false" ht="15" hidden="false" customHeight="true" outlineLevel="0" collapsed="false">
      <c r="A341" s="127" t="n">
        <v>333</v>
      </c>
      <c r="B341" s="36" t="n">
        <f aca="false">$B$6</f>
        <v>11061.1904111269</v>
      </c>
      <c r="C341" s="36" t="n">
        <f aca="false">B341-D341</f>
        <v>9508.4915080513</v>
      </c>
      <c r="D341" s="36" t="n">
        <f aca="false">E340*$B$4/12</f>
        <v>1552.69890307556</v>
      </c>
      <c r="E341" s="36" t="n">
        <f aca="false">E340-C341</f>
        <v>277143.61367513</v>
      </c>
    </row>
    <row r="342" customFormat="false" ht="15" hidden="false" customHeight="true" outlineLevel="0" collapsed="false">
      <c r="A342" s="128" t="n">
        <v>334</v>
      </c>
      <c r="B342" s="129" t="n">
        <f aca="false">$B$6</f>
        <v>11061.1904111269</v>
      </c>
      <c r="C342" s="129" t="n">
        <f aca="false">B342-D342</f>
        <v>9559.99583705325</v>
      </c>
      <c r="D342" s="129" t="n">
        <f aca="false">E341*$B$4/12</f>
        <v>1501.19457407362</v>
      </c>
      <c r="E342" s="129" t="n">
        <f aca="false">E341-C342</f>
        <v>267583.617838077</v>
      </c>
    </row>
    <row r="343" customFormat="false" ht="15" hidden="false" customHeight="true" outlineLevel="0" collapsed="false">
      <c r="A343" s="127" t="n">
        <v>335</v>
      </c>
      <c r="B343" s="36" t="n">
        <f aca="false">$B$6</f>
        <v>11061.1904111269</v>
      </c>
      <c r="C343" s="36" t="n">
        <f aca="false">B343-D343</f>
        <v>9611.77914783729</v>
      </c>
      <c r="D343" s="36" t="n">
        <f aca="false">E342*$B$4/12</f>
        <v>1449.41126328958</v>
      </c>
      <c r="E343" s="36" t="n">
        <f aca="false">E342-C343</f>
        <v>257971.838690239</v>
      </c>
    </row>
    <row r="344" customFormat="false" ht="15" hidden="false" customHeight="true" outlineLevel="0" collapsed="false">
      <c r="A344" s="128" t="n">
        <v>336</v>
      </c>
      <c r="B344" s="129" t="n">
        <f aca="false">$B$6</f>
        <v>11061.1904111269</v>
      </c>
      <c r="C344" s="129" t="n">
        <f aca="false">B344-D344</f>
        <v>9663.84295155474</v>
      </c>
      <c r="D344" s="129" t="n">
        <f aca="false">E343*$B$4/12</f>
        <v>1397.34745957213</v>
      </c>
      <c r="E344" s="129" t="n">
        <f aca="false">E343-C344</f>
        <v>248307.995738685</v>
      </c>
    </row>
    <row r="345" customFormat="false" ht="15" hidden="false" customHeight="true" outlineLevel="0" collapsed="false">
      <c r="A345" s="127" t="n">
        <v>337</v>
      </c>
      <c r="B345" s="36" t="n">
        <f aca="false">$B$6</f>
        <v>11061.1904111269</v>
      </c>
      <c r="C345" s="36" t="n">
        <f aca="false">B345-D345</f>
        <v>9716.18876754233</v>
      </c>
      <c r="D345" s="36" t="n">
        <f aca="false">E344*$B$4/12</f>
        <v>1345.00164358454</v>
      </c>
      <c r="E345" s="36" t="n">
        <f aca="false">E344-C345</f>
        <v>238591.806971142</v>
      </c>
    </row>
    <row r="346" customFormat="false" ht="15" hidden="false" customHeight="true" outlineLevel="0" collapsed="false">
      <c r="A346" s="128" t="n">
        <v>338</v>
      </c>
      <c r="B346" s="129" t="n">
        <f aca="false">$B$6</f>
        <v>11061.1904111269</v>
      </c>
      <c r="C346" s="129" t="n">
        <f aca="false">B346-D346</f>
        <v>9768.81812336651</v>
      </c>
      <c r="D346" s="129" t="n">
        <f aca="false">E345*$B$4/12</f>
        <v>1292.37228776035</v>
      </c>
      <c r="E346" s="129" t="n">
        <f aca="false">E345-C346</f>
        <v>228822.988847776</v>
      </c>
    </row>
    <row r="347" customFormat="false" ht="15" hidden="false" customHeight="true" outlineLevel="0" collapsed="false">
      <c r="A347" s="127" t="n">
        <v>339</v>
      </c>
      <c r="B347" s="36" t="n">
        <f aca="false">$B$6</f>
        <v>11061.1904111269</v>
      </c>
      <c r="C347" s="36" t="n">
        <f aca="false">B347-D347</f>
        <v>9821.73255486808</v>
      </c>
      <c r="D347" s="36" t="n">
        <f aca="false">E346*$B$4/12</f>
        <v>1239.45785625879</v>
      </c>
      <c r="E347" s="36" t="n">
        <f aca="false">E346-C347</f>
        <v>219001.256292908</v>
      </c>
    </row>
    <row r="348" customFormat="false" ht="15" hidden="false" customHeight="true" outlineLevel="0" collapsed="false">
      <c r="A348" s="128" t="n">
        <v>340</v>
      </c>
      <c r="B348" s="129" t="n">
        <f aca="false">$B$6</f>
        <v>11061.1904111269</v>
      </c>
      <c r="C348" s="129" t="n">
        <f aca="false">B348-D348</f>
        <v>9874.93360620695</v>
      </c>
      <c r="D348" s="129" t="n">
        <f aca="false">E347*$B$4/12</f>
        <v>1186.25680491992</v>
      </c>
      <c r="E348" s="129" t="n">
        <f aca="false">E347-C348</f>
        <v>209126.322686701</v>
      </c>
    </row>
    <row r="349" customFormat="false" ht="15" hidden="false" customHeight="true" outlineLevel="0" collapsed="false">
      <c r="A349" s="127" t="n">
        <v>341</v>
      </c>
      <c r="B349" s="36" t="n">
        <f aca="false">$B$6</f>
        <v>11061.1904111269</v>
      </c>
      <c r="C349" s="36" t="n">
        <f aca="false">B349-D349</f>
        <v>9928.42282990724</v>
      </c>
      <c r="D349" s="36" t="n">
        <f aca="false">E348*$B$4/12</f>
        <v>1132.76758121963</v>
      </c>
      <c r="E349" s="36" t="n">
        <f aca="false">E348-C349</f>
        <v>199197.899856793</v>
      </c>
    </row>
    <row r="350" customFormat="false" ht="15" hidden="false" customHeight="true" outlineLevel="0" collapsed="false">
      <c r="A350" s="128" t="n">
        <v>342</v>
      </c>
      <c r="B350" s="129" t="n">
        <f aca="false">$B$6</f>
        <v>11061.1904111269</v>
      </c>
      <c r="C350" s="129" t="n">
        <f aca="false">B350-D350</f>
        <v>9982.20178690257</v>
      </c>
      <c r="D350" s="129" t="n">
        <f aca="false">E349*$B$4/12</f>
        <v>1078.9886242243</v>
      </c>
      <c r="E350" s="129" t="n">
        <f aca="false">E349-C350</f>
        <v>189215.698069891</v>
      </c>
    </row>
    <row r="351" customFormat="false" ht="15" hidden="false" customHeight="true" outlineLevel="0" collapsed="false">
      <c r="A351" s="127" t="n">
        <v>343</v>
      </c>
      <c r="B351" s="36" t="n">
        <f aca="false">$B$6</f>
        <v>11061.1904111269</v>
      </c>
      <c r="C351" s="36" t="n">
        <f aca="false">B351-D351</f>
        <v>10036.2720465816</v>
      </c>
      <c r="D351" s="36" t="n">
        <f aca="false">E350*$B$4/12</f>
        <v>1024.91836454524</v>
      </c>
      <c r="E351" s="36" t="n">
        <f aca="false">E350-C351</f>
        <v>179179.426023309</v>
      </c>
    </row>
    <row r="352" customFormat="false" ht="15" hidden="false" customHeight="true" outlineLevel="0" collapsed="false">
      <c r="A352" s="128" t="n">
        <v>344</v>
      </c>
      <c r="B352" s="129" t="n">
        <f aca="false">$B$6</f>
        <v>11061.1904111269</v>
      </c>
      <c r="C352" s="129" t="n">
        <f aca="false">B352-D352</f>
        <v>10090.6351868339</v>
      </c>
      <c r="D352" s="129" t="n">
        <f aca="false">E351*$B$4/12</f>
        <v>970.555224292925</v>
      </c>
      <c r="E352" s="129" t="n">
        <f aca="false">E351-C352</f>
        <v>169088.790836475</v>
      </c>
    </row>
    <row r="353" customFormat="false" ht="15" hidden="false" customHeight="true" outlineLevel="0" collapsed="false">
      <c r="A353" s="127" t="n">
        <v>345</v>
      </c>
      <c r="B353" s="36" t="n">
        <f aca="false">$B$6</f>
        <v>11061.1904111269</v>
      </c>
      <c r="C353" s="36" t="n">
        <f aca="false">B353-D353</f>
        <v>10145.292794096</v>
      </c>
      <c r="D353" s="36" t="n">
        <f aca="false">E352*$B$4/12</f>
        <v>915.897617030908</v>
      </c>
      <c r="E353" s="36" t="n">
        <f aca="false">E352-C353</f>
        <v>158943.498042379</v>
      </c>
    </row>
    <row r="354" customFormat="false" ht="15" hidden="false" customHeight="true" outlineLevel="0" collapsed="false">
      <c r="A354" s="128" t="n">
        <v>346</v>
      </c>
      <c r="B354" s="129" t="n">
        <f aca="false">$B$6</f>
        <v>11061.1904111269</v>
      </c>
      <c r="C354" s="129" t="n">
        <f aca="false">B354-D354</f>
        <v>10200.2464633973</v>
      </c>
      <c r="D354" s="129" t="n">
        <f aca="false">E353*$B$4/12</f>
        <v>860.943947729555</v>
      </c>
      <c r="E354" s="129" t="n">
        <f aca="false">E353-C354</f>
        <v>148743.251578982</v>
      </c>
    </row>
    <row r="355" customFormat="false" ht="15" hidden="false" customHeight="true" outlineLevel="0" collapsed="false">
      <c r="A355" s="127" t="n">
        <v>347</v>
      </c>
      <c r="B355" s="36" t="n">
        <f aca="false">$B$6</f>
        <v>11061.1904111269</v>
      </c>
      <c r="C355" s="36" t="n">
        <f aca="false">B355-D355</f>
        <v>10255.4977984074</v>
      </c>
      <c r="D355" s="36" t="n">
        <f aca="false">E354*$B$4/12</f>
        <v>805.692612719486</v>
      </c>
      <c r="E355" s="36" t="n">
        <f aca="false">E354-C355</f>
        <v>138487.753780575</v>
      </c>
    </row>
    <row r="356" customFormat="false" ht="15" hidden="false" customHeight="true" outlineLevel="0" collapsed="false">
      <c r="A356" s="128" t="n">
        <v>348</v>
      </c>
      <c r="B356" s="129" t="n">
        <f aca="false">$B$6</f>
        <v>11061.1904111269</v>
      </c>
      <c r="C356" s="129" t="n">
        <f aca="false">B356-D356</f>
        <v>10311.0484114821</v>
      </c>
      <c r="D356" s="129" t="n">
        <f aca="false">E355*$B$4/12</f>
        <v>750.141999644779</v>
      </c>
      <c r="E356" s="129" t="n">
        <f aca="false">E355-C356</f>
        <v>128176.705369092</v>
      </c>
    </row>
    <row r="357" customFormat="false" ht="15" hidden="false" customHeight="true" outlineLevel="0" collapsed="false">
      <c r="A357" s="127" t="n">
        <v>349</v>
      </c>
      <c r="B357" s="36" t="n">
        <f aca="false">$B$6</f>
        <v>11061.1904111269</v>
      </c>
      <c r="C357" s="36" t="n">
        <f aca="false">B357-D357</f>
        <v>10366.899923711</v>
      </c>
      <c r="D357" s="36" t="n">
        <f aca="false">E356*$B$4/12</f>
        <v>694.290487415918</v>
      </c>
      <c r="E357" s="36" t="n">
        <f aca="false">E356-C357</f>
        <v>117809.805445382</v>
      </c>
    </row>
    <row r="358" customFormat="false" ht="15" hidden="false" customHeight="true" outlineLevel="0" collapsed="false">
      <c r="A358" s="128" t="n">
        <v>350</v>
      </c>
      <c r="B358" s="129" t="n">
        <f aca="false">$B$6</f>
        <v>11061.1904111269</v>
      </c>
      <c r="C358" s="129" t="n">
        <f aca="false">B358-D358</f>
        <v>10423.0539649644</v>
      </c>
      <c r="D358" s="129" t="n">
        <f aca="false">E357*$B$4/12</f>
        <v>638.136446162483</v>
      </c>
      <c r="E358" s="129" t="n">
        <f aca="false">E357-C358</f>
        <v>107386.751480417</v>
      </c>
    </row>
    <row r="359" customFormat="false" ht="15" hidden="false" customHeight="true" outlineLevel="0" collapsed="false">
      <c r="A359" s="127" t="n">
        <v>351</v>
      </c>
      <c r="B359" s="36" t="n">
        <f aca="false">$B$6</f>
        <v>11061.1904111269</v>
      </c>
      <c r="C359" s="36" t="n">
        <f aca="false">B359-D359</f>
        <v>10479.5121739413</v>
      </c>
      <c r="D359" s="36" t="n">
        <f aca="false">E358*$B$4/12</f>
        <v>581.678237185593</v>
      </c>
      <c r="E359" s="36" t="n">
        <f aca="false">E358-C359</f>
        <v>96907.2393064759</v>
      </c>
    </row>
    <row r="360" customFormat="false" ht="15" hidden="false" customHeight="true" outlineLevel="0" collapsed="false">
      <c r="A360" s="128" t="n">
        <v>352</v>
      </c>
      <c r="B360" s="129" t="n">
        <f aca="false">$B$6</f>
        <v>11061.1904111269</v>
      </c>
      <c r="C360" s="129" t="n">
        <f aca="false">B360-D360</f>
        <v>10536.2761982168</v>
      </c>
      <c r="D360" s="129" t="n">
        <f aca="false">E359*$B$4/12</f>
        <v>524.914212910078</v>
      </c>
      <c r="E360" s="129" t="n">
        <f aca="false">E359-C360</f>
        <v>86370.9631082591</v>
      </c>
    </row>
    <row r="361" customFormat="false" ht="15" hidden="false" customHeight="true" outlineLevel="0" collapsed="false">
      <c r="A361" s="127" t="n">
        <v>353</v>
      </c>
      <c r="B361" s="36" t="n">
        <f aca="false">$B$6</f>
        <v>11061.1904111269</v>
      </c>
      <c r="C361" s="36" t="n">
        <f aca="false">B361-D361</f>
        <v>10593.3476942905</v>
      </c>
      <c r="D361" s="36" t="n">
        <f aca="false">E360*$B$4/12</f>
        <v>467.842716836403</v>
      </c>
      <c r="E361" s="36" t="n">
        <f aca="false">E360-C361</f>
        <v>75777.6154139686</v>
      </c>
    </row>
    <row r="362" customFormat="false" ht="15" hidden="false" customHeight="true" outlineLevel="0" collapsed="false">
      <c r="A362" s="128" t="n">
        <v>354</v>
      </c>
      <c r="B362" s="129" t="n">
        <f aca="false">$B$6</f>
        <v>11061.1904111269</v>
      </c>
      <c r="C362" s="129" t="n">
        <f aca="false">B362-D362</f>
        <v>10650.7283276345</v>
      </c>
      <c r="D362" s="129" t="n">
        <f aca="false">E361*$B$4/12</f>
        <v>410.46208349233</v>
      </c>
      <c r="E362" s="129" t="n">
        <f aca="false">E361-C362</f>
        <v>65126.8870863341</v>
      </c>
    </row>
    <row r="363" customFormat="false" ht="15" hidden="false" customHeight="true" outlineLevel="0" collapsed="false">
      <c r="A363" s="127" t="n">
        <v>355</v>
      </c>
      <c r="B363" s="36" t="n">
        <f aca="false">$B$6</f>
        <v>11061.1904111269</v>
      </c>
      <c r="C363" s="36" t="n">
        <f aca="false">B363-D363</f>
        <v>10708.4197727426</v>
      </c>
      <c r="D363" s="36" t="n">
        <f aca="false">E362*$B$4/12</f>
        <v>352.77063838431</v>
      </c>
      <c r="E363" s="36" t="n">
        <f aca="false">E362-C363</f>
        <v>54418.4673135915</v>
      </c>
    </row>
    <row r="364" customFormat="false" ht="15" hidden="false" customHeight="true" outlineLevel="0" collapsed="false">
      <c r="A364" s="128" t="n">
        <v>356</v>
      </c>
      <c r="B364" s="129" t="n">
        <f aca="false">$B$6</f>
        <v>11061.1904111269</v>
      </c>
      <c r="C364" s="129" t="n">
        <f aca="false">B364-D364</f>
        <v>10766.4237131782</v>
      </c>
      <c r="D364" s="129" t="n">
        <f aca="false">E363*$B$4/12</f>
        <v>294.766697948621</v>
      </c>
      <c r="E364" s="129" t="n">
        <f aca="false">E363-C364</f>
        <v>43652.0436004133</v>
      </c>
    </row>
    <row r="365" customFormat="false" ht="15" hidden="false" customHeight="true" outlineLevel="0" collapsed="false">
      <c r="A365" s="127" t="n">
        <v>357</v>
      </c>
      <c r="B365" s="36" t="n">
        <f aca="false">$B$6</f>
        <v>11061.1904111269</v>
      </c>
      <c r="C365" s="36" t="n">
        <f aca="false">B365-D365</f>
        <v>10824.7418416246</v>
      </c>
      <c r="D365" s="36" t="n">
        <f aca="false">E364*$B$4/12</f>
        <v>236.448569502239</v>
      </c>
      <c r="E365" s="36" t="n">
        <f aca="false">E364-C365</f>
        <v>32827.3017587887</v>
      </c>
    </row>
    <row r="366" customFormat="false" ht="15" hidden="false" customHeight="true" outlineLevel="0" collapsed="false">
      <c r="A366" s="128" t="n">
        <v>358</v>
      </c>
      <c r="B366" s="129" t="n">
        <f aca="false">$B$6</f>
        <v>11061.1904111269</v>
      </c>
      <c r="C366" s="129" t="n">
        <f aca="false">B366-D366</f>
        <v>10883.3758599334</v>
      </c>
      <c r="D366" s="129" t="n">
        <f aca="false">E365*$B$4/12</f>
        <v>177.814551193439</v>
      </c>
      <c r="E366" s="129" t="n">
        <f aca="false">E365-C366</f>
        <v>21943.9258988552</v>
      </c>
    </row>
    <row r="367" customFormat="false" ht="15" hidden="false" customHeight="true" outlineLevel="0" collapsed="false">
      <c r="A367" s="127" t="n">
        <v>359</v>
      </c>
      <c r="B367" s="36" t="n">
        <f aca="false">$B$6</f>
        <v>11061.1904111269</v>
      </c>
      <c r="C367" s="36" t="n">
        <f aca="false">B367-D367</f>
        <v>10942.3274791747</v>
      </c>
      <c r="D367" s="36" t="n">
        <f aca="false">E366*$B$4/12</f>
        <v>118.862931952132</v>
      </c>
      <c r="E367" s="36" t="n">
        <f aca="false">E366-C367</f>
        <v>11001.5984196805</v>
      </c>
    </row>
    <row r="368" customFormat="false" ht="15" hidden="false" customHeight="true" outlineLevel="0" collapsed="false">
      <c r="A368" s="128" t="n">
        <v>360</v>
      </c>
      <c r="B368" s="129" t="n">
        <f aca="false">$B$6</f>
        <v>11061.1904111269</v>
      </c>
      <c r="C368" s="129" t="n">
        <f aca="false">B368-D368</f>
        <v>11001.5984196869</v>
      </c>
      <c r="D368" s="129" t="n">
        <f aca="false">E367*$B$4/12</f>
        <v>59.591991439936</v>
      </c>
      <c r="E368" s="129" t="n">
        <f aca="false">E367-C368</f>
        <v>-6.44286046735942E-009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962E"/>
    <pageSetUpPr fitToPage="false"/>
  </sheetPr>
  <dimension ref="A1:E3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6"/>
    <col collapsed="false" customWidth="true" hidden="false" outlineLevel="0" max="5" min="5" style="1" width="18"/>
  </cols>
  <sheetData>
    <row r="1" customFormat="false" ht="19.5" hidden="false" customHeight="true" outlineLevel="0" collapsed="false">
      <c r="A1" s="62" t="s">
        <v>395</v>
      </c>
      <c r="B1" s="62"/>
      <c r="C1" s="62"/>
      <c r="D1" s="62"/>
      <c r="E1" s="62"/>
    </row>
    <row r="2" customFormat="false" ht="15" hidden="false" customHeight="true" outlineLevel="0" collapsed="false">
      <c r="A2" s="20" t="s">
        <v>396</v>
      </c>
      <c r="B2" s="20"/>
      <c r="C2" s="20"/>
      <c r="D2" s="20"/>
      <c r="E2" s="20"/>
    </row>
    <row r="3" customFormat="false" ht="15" hidden="false" customHeight="true" outlineLevel="0" collapsed="false">
      <c r="A3" s="7" t="s">
        <v>386</v>
      </c>
      <c r="B3" s="124" t="n">
        <f aca="false">Assumptions!C99</f>
        <v>2240000</v>
      </c>
      <c r="C3" s="2"/>
      <c r="D3" s="2"/>
      <c r="E3" s="2"/>
    </row>
    <row r="4" customFormat="false" ht="15" hidden="false" customHeight="true" outlineLevel="0" collapsed="false">
      <c r="A4" s="7" t="s">
        <v>387</v>
      </c>
      <c r="B4" s="125" t="n">
        <f aca="false">Assumptions!C100</f>
        <v>0.06</v>
      </c>
      <c r="C4" s="2"/>
      <c r="D4" s="2"/>
      <c r="E4" s="2"/>
    </row>
    <row r="5" customFormat="false" ht="15" hidden="false" customHeight="true" outlineLevel="0" collapsed="false">
      <c r="A5" s="7" t="s">
        <v>388</v>
      </c>
      <c r="B5" s="9" t="n">
        <f aca="false">Assumptions!C101</f>
        <v>30</v>
      </c>
      <c r="C5" s="2"/>
      <c r="D5" s="2"/>
      <c r="E5" s="2"/>
    </row>
    <row r="6" customFormat="false" ht="15" hidden="false" customHeight="true" outlineLevel="0" collapsed="false">
      <c r="A6" s="102" t="s">
        <v>389</v>
      </c>
      <c r="B6" s="126" t="n">
        <f aca="false">IF(B5&gt;0,PMT(B4/12,B5*12,-B3),0)</f>
        <v>13429.9317634217</v>
      </c>
      <c r="C6" s="2"/>
      <c r="D6" s="2"/>
      <c r="E6" s="2"/>
    </row>
    <row r="7" customFormat="false" ht="15" hidden="false" customHeight="true" outlineLevel="0" collapsed="false">
      <c r="A7" s="2"/>
      <c r="B7" s="2"/>
      <c r="C7" s="2"/>
      <c r="D7" s="2"/>
      <c r="E7" s="2"/>
    </row>
    <row r="8" customFormat="false" ht="15" hidden="false" customHeight="true" outlineLevel="0" collapsed="false">
      <c r="A8" s="63" t="s">
        <v>390</v>
      </c>
      <c r="B8" s="63" t="s">
        <v>391</v>
      </c>
      <c r="C8" s="63" t="s">
        <v>392</v>
      </c>
      <c r="D8" s="63" t="s">
        <v>393</v>
      </c>
      <c r="E8" s="63" t="s">
        <v>394</v>
      </c>
    </row>
    <row r="9" customFormat="false" ht="15" hidden="false" customHeight="true" outlineLevel="0" collapsed="false">
      <c r="A9" s="127" t="n">
        <v>1</v>
      </c>
      <c r="B9" s="36" t="n">
        <f aca="false">$B$6</f>
        <v>13429.9317634217</v>
      </c>
      <c r="C9" s="36" t="n">
        <f aca="false">B9-D9</f>
        <v>2229.93176342166</v>
      </c>
      <c r="D9" s="36" t="n">
        <f aca="false">$B$3*$B$4/12</f>
        <v>11200</v>
      </c>
      <c r="E9" s="36" t="n">
        <f aca="false">$B$3-C9</f>
        <v>2237770.06823658</v>
      </c>
    </row>
    <row r="10" customFormat="false" ht="15" hidden="false" customHeight="true" outlineLevel="0" collapsed="false">
      <c r="A10" s="128" t="n">
        <v>2</v>
      </c>
      <c r="B10" s="129" t="n">
        <f aca="false">$B$6</f>
        <v>13429.9317634217</v>
      </c>
      <c r="C10" s="129" t="n">
        <f aca="false">B10-D10</f>
        <v>2241.08142223876</v>
      </c>
      <c r="D10" s="129" t="n">
        <f aca="false">E9*$B$4/12</f>
        <v>11188.8503411829</v>
      </c>
      <c r="E10" s="129" t="n">
        <f aca="false">E9-C10</f>
        <v>2235528.98681434</v>
      </c>
    </row>
    <row r="11" customFormat="false" ht="15" hidden="false" customHeight="true" outlineLevel="0" collapsed="false">
      <c r="A11" s="127" t="n">
        <v>3</v>
      </c>
      <c r="B11" s="36" t="n">
        <f aca="false">$B$6</f>
        <v>13429.9317634217</v>
      </c>
      <c r="C11" s="36" t="n">
        <f aca="false">B11-D11</f>
        <v>2252.28682934996</v>
      </c>
      <c r="D11" s="36" t="n">
        <f aca="false">E10*$B$4/12</f>
        <v>11177.6449340717</v>
      </c>
      <c r="E11" s="36" t="n">
        <f aca="false">E10-C11</f>
        <v>2233276.69998499</v>
      </c>
    </row>
    <row r="12" customFormat="false" ht="15" hidden="false" customHeight="true" outlineLevel="0" collapsed="false">
      <c r="A12" s="128" t="n">
        <v>4</v>
      </c>
      <c r="B12" s="129" t="n">
        <f aca="false">$B$6</f>
        <v>13429.9317634217</v>
      </c>
      <c r="C12" s="129" t="n">
        <f aca="false">B12-D12</f>
        <v>2263.54826349671</v>
      </c>
      <c r="D12" s="129" t="n">
        <f aca="false">E11*$B$4/12</f>
        <v>11166.3834999249</v>
      </c>
      <c r="E12" s="129" t="n">
        <f aca="false">E11-C12</f>
        <v>2231013.15172149</v>
      </c>
    </row>
    <row r="13" customFormat="false" ht="15" hidden="false" customHeight="true" outlineLevel="0" collapsed="false">
      <c r="A13" s="127" t="n">
        <v>5</v>
      </c>
      <c r="B13" s="36" t="n">
        <f aca="false">$B$6</f>
        <v>13429.9317634217</v>
      </c>
      <c r="C13" s="36" t="n">
        <f aca="false">B13-D13</f>
        <v>2274.86600481419</v>
      </c>
      <c r="D13" s="36" t="n">
        <f aca="false">E12*$B$4/12</f>
        <v>11155.0657586075</v>
      </c>
      <c r="E13" s="36" t="n">
        <f aca="false">E12-C13</f>
        <v>2228738.28571668</v>
      </c>
    </row>
    <row r="14" customFormat="false" ht="15" hidden="false" customHeight="true" outlineLevel="0" collapsed="false">
      <c r="A14" s="128" t="n">
        <v>6</v>
      </c>
      <c r="B14" s="129" t="n">
        <f aca="false">$B$6</f>
        <v>13429.9317634217</v>
      </c>
      <c r="C14" s="129" t="n">
        <f aca="false">B14-D14</f>
        <v>2286.24033483826</v>
      </c>
      <c r="D14" s="129" t="n">
        <f aca="false">E13*$B$4/12</f>
        <v>11143.6914285834</v>
      </c>
      <c r="E14" s="129" t="n">
        <f aca="false">E13-C14</f>
        <v>2226452.04538184</v>
      </c>
    </row>
    <row r="15" customFormat="false" ht="15" hidden="false" customHeight="true" outlineLevel="0" collapsed="false">
      <c r="A15" s="127" t="n">
        <v>7</v>
      </c>
      <c r="B15" s="36" t="n">
        <f aca="false">$B$6</f>
        <v>13429.9317634217</v>
      </c>
      <c r="C15" s="36" t="n">
        <f aca="false">B15-D15</f>
        <v>2297.67153651245</v>
      </c>
      <c r="D15" s="36" t="n">
        <f aca="false">E14*$B$4/12</f>
        <v>11132.2602269092</v>
      </c>
      <c r="E15" s="36" t="n">
        <f aca="false">E14-C15</f>
        <v>2224154.37384533</v>
      </c>
    </row>
    <row r="16" customFormat="false" ht="15" hidden="false" customHeight="true" outlineLevel="0" collapsed="false">
      <c r="A16" s="128" t="n">
        <v>8</v>
      </c>
      <c r="B16" s="129" t="n">
        <f aca="false">$B$6</f>
        <v>13429.9317634217</v>
      </c>
      <c r="C16" s="129" t="n">
        <f aca="false">B16-D16</f>
        <v>2309.15989419502</v>
      </c>
      <c r="D16" s="129" t="n">
        <f aca="false">E15*$B$4/12</f>
        <v>11120.7718692266</v>
      </c>
      <c r="E16" s="129" t="n">
        <f aca="false">E15-C16</f>
        <v>2221845.21395113</v>
      </c>
    </row>
    <row r="17" customFormat="false" ht="15" hidden="false" customHeight="true" outlineLevel="0" collapsed="false">
      <c r="A17" s="127" t="n">
        <v>9</v>
      </c>
      <c r="B17" s="36" t="n">
        <f aca="false">$B$6</f>
        <v>13429.9317634217</v>
      </c>
      <c r="C17" s="36" t="n">
        <f aca="false">B17-D17</f>
        <v>2320.70569366599</v>
      </c>
      <c r="D17" s="36" t="n">
        <f aca="false">E16*$B$4/12</f>
        <v>11109.2260697557</v>
      </c>
      <c r="E17" s="36" t="n">
        <f aca="false">E16-C17</f>
        <v>2219524.50825747</v>
      </c>
    </row>
    <row r="18" customFormat="false" ht="15" hidden="false" customHeight="true" outlineLevel="0" collapsed="false">
      <c r="A18" s="128" t="n">
        <v>10</v>
      </c>
      <c r="B18" s="129" t="n">
        <f aca="false">$B$6</f>
        <v>13429.9317634217</v>
      </c>
      <c r="C18" s="129" t="n">
        <f aca="false">B18-D18</f>
        <v>2332.30922213432</v>
      </c>
      <c r="D18" s="129" t="n">
        <f aca="false">E17*$B$4/12</f>
        <v>11097.6225412873</v>
      </c>
      <c r="E18" s="129" t="n">
        <f aca="false">E17-C18</f>
        <v>2217192.19903533</v>
      </c>
    </row>
    <row r="19" customFormat="false" ht="15" hidden="false" customHeight="true" outlineLevel="0" collapsed="false">
      <c r="A19" s="127" t="n">
        <v>11</v>
      </c>
      <c r="B19" s="36" t="n">
        <f aca="false">$B$6</f>
        <v>13429.9317634217</v>
      </c>
      <c r="C19" s="36" t="n">
        <f aca="false">B19-D19</f>
        <v>2343.97076824499</v>
      </c>
      <c r="D19" s="36" t="n">
        <f aca="false">E18*$B$4/12</f>
        <v>11085.9609951767</v>
      </c>
      <c r="E19" s="36" t="n">
        <f aca="false">E18-C19</f>
        <v>2214848.22826709</v>
      </c>
    </row>
    <row r="20" customFormat="false" ht="15" hidden="false" customHeight="true" outlineLevel="0" collapsed="false">
      <c r="A20" s="128" t="n">
        <v>12</v>
      </c>
      <c r="B20" s="129" t="n">
        <f aca="false">$B$6</f>
        <v>13429.9317634217</v>
      </c>
      <c r="C20" s="129" t="n">
        <f aca="false">B20-D20</f>
        <v>2355.69062208622</v>
      </c>
      <c r="D20" s="129" t="n">
        <f aca="false">E19*$B$4/12</f>
        <v>11074.2411413354</v>
      </c>
      <c r="E20" s="129" t="n">
        <f aca="false">E19-C20</f>
        <v>2212492.537645</v>
      </c>
    </row>
    <row r="21" customFormat="false" ht="15" hidden="false" customHeight="true" outlineLevel="0" collapsed="false">
      <c r="A21" s="127" t="n">
        <v>13</v>
      </c>
      <c r="B21" s="36" t="n">
        <f aca="false">$B$6</f>
        <v>13429.9317634217</v>
      </c>
      <c r="C21" s="36" t="n">
        <f aca="false">B21-D21</f>
        <v>2367.46907519665</v>
      </c>
      <c r="D21" s="36" t="n">
        <f aca="false">E20*$B$4/12</f>
        <v>11062.462688225</v>
      </c>
      <c r="E21" s="36" t="n">
        <f aca="false">E20-C21</f>
        <v>2210125.06856981</v>
      </c>
    </row>
    <row r="22" customFormat="false" ht="15" hidden="false" customHeight="true" outlineLevel="0" collapsed="false">
      <c r="A22" s="128" t="n">
        <v>14</v>
      </c>
      <c r="B22" s="129" t="n">
        <f aca="false">$B$6</f>
        <v>13429.9317634217</v>
      </c>
      <c r="C22" s="129" t="n">
        <f aca="false">B22-D22</f>
        <v>2379.30642057263</v>
      </c>
      <c r="D22" s="129" t="n">
        <f aca="false">E21*$B$4/12</f>
        <v>11050.625342849</v>
      </c>
      <c r="E22" s="129" t="n">
        <f aca="false">E21-C22</f>
        <v>2207745.76214923</v>
      </c>
    </row>
    <row r="23" customFormat="false" ht="15" hidden="false" customHeight="true" outlineLevel="0" collapsed="false">
      <c r="A23" s="127" t="n">
        <v>15</v>
      </c>
      <c r="B23" s="36" t="n">
        <f aca="false">$B$6</f>
        <v>13429.9317634217</v>
      </c>
      <c r="C23" s="36" t="n">
        <f aca="false">B23-D23</f>
        <v>2391.20295267549</v>
      </c>
      <c r="D23" s="36" t="n">
        <f aca="false">E22*$B$4/12</f>
        <v>11038.7288107462</v>
      </c>
      <c r="E23" s="36" t="n">
        <f aca="false">E22-C23</f>
        <v>2205354.55919656</v>
      </c>
    </row>
    <row r="24" customFormat="false" ht="15" hidden="false" customHeight="true" outlineLevel="0" collapsed="false">
      <c r="A24" s="128" t="n">
        <v>16</v>
      </c>
      <c r="B24" s="129" t="n">
        <f aca="false">$B$6</f>
        <v>13429.9317634217</v>
      </c>
      <c r="C24" s="129" t="n">
        <f aca="false">B24-D24</f>
        <v>2403.15896743887</v>
      </c>
      <c r="D24" s="129" t="n">
        <f aca="false">E23*$B$4/12</f>
        <v>11026.7727959828</v>
      </c>
      <c r="E24" s="129" t="n">
        <f aca="false">E23-C24</f>
        <v>2202951.40022912</v>
      </c>
    </row>
    <row r="25" customFormat="false" ht="15" hidden="false" customHeight="true" outlineLevel="0" collapsed="false">
      <c r="A25" s="127" t="n">
        <v>17</v>
      </c>
      <c r="B25" s="36" t="n">
        <f aca="false">$B$6</f>
        <v>13429.9317634217</v>
      </c>
      <c r="C25" s="36" t="n">
        <f aca="false">B25-D25</f>
        <v>2415.17476227607</v>
      </c>
      <c r="D25" s="36" t="n">
        <f aca="false">E24*$B$4/12</f>
        <v>11014.7570011456</v>
      </c>
      <c r="E25" s="36" t="n">
        <f aca="false">E24-C25</f>
        <v>2200536.22546684</v>
      </c>
    </row>
    <row r="26" customFormat="false" ht="15" hidden="false" customHeight="true" outlineLevel="0" collapsed="false">
      <c r="A26" s="128" t="n">
        <v>18</v>
      </c>
      <c r="B26" s="129" t="n">
        <f aca="false">$B$6</f>
        <v>13429.9317634217</v>
      </c>
      <c r="C26" s="129" t="n">
        <f aca="false">B26-D26</f>
        <v>2427.25063608745</v>
      </c>
      <c r="D26" s="129" t="n">
        <f aca="false">E25*$B$4/12</f>
        <v>11002.6811273342</v>
      </c>
      <c r="E26" s="129" t="n">
        <f aca="false">E25-C26</f>
        <v>2198108.97483075</v>
      </c>
    </row>
    <row r="27" customFormat="false" ht="15" hidden="false" customHeight="true" outlineLevel="0" collapsed="false">
      <c r="A27" s="127" t="n">
        <v>19</v>
      </c>
      <c r="B27" s="36" t="n">
        <f aca="false">$B$6</f>
        <v>13429.9317634217</v>
      </c>
      <c r="C27" s="36" t="n">
        <f aca="false">B27-D27</f>
        <v>2439.38688926788</v>
      </c>
      <c r="D27" s="36" t="n">
        <f aca="false">E26*$B$4/12</f>
        <v>10990.5448741538</v>
      </c>
      <c r="E27" s="36" t="n">
        <f aca="false">E26-C27</f>
        <v>2195669.58794149</v>
      </c>
    </row>
    <row r="28" customFormat="false" ht="15" hidden="false" customHeight="true" outlineLevel="0" collapsed="false">
      <c r="A28" s="128" t="n">
        <v>20</v>
      </c>
      <c r="B28" s="129" t="n">
        <f aca="false">$B$6</f>
        <v>13429.9317634217</v>
      </c>
      <c r="C28" s="129" t="n">
        <f aca="false">B28-D28</f>
        <v>2451.58382371422</v>
      </c>
      <c r="D28" s="129" t="n">
        <f aca="false">E27*$B$4/12</f>
        <v>10978.3479397074</v>
      </c>
      <c r="E28" s="129" t="n">
        <f aca="false">E27-C28</f>
        <v>2193218.00411777</v>
      </c>
    </row>
    <row r="29" customFormat="false" ht="15" hidden="false" customHeight="true" outlineLevel="0" collapsed="false">
      <c r="A29" s="127" t="n">
        <v>21</v>
      </c>
      <c r="B29" s="36" t="n">
        <f aca="false">$B$6</f>
        <v>13429.9317634217</v>
      </c>
      <c r="C29" s="36" t="n">
        <f aca="false">B29-D29</f>
        <v>2463.84174283279</v>
      </c>
      <c r="D29" s="36" t="n">
        <f aca="false">E28*$B$4/12</f>
        <v>10966.0900205889</v>
      </c>
      <c r="E29" s="36" t="n">
        <f aca="false">E28-C29</f>
        <v>2190754.16237494</v>
      </c>
    </row>
    <row r="30" customFormat="false" ht="15" hidden="false" customHeight="true" outlineLevel="0" collapsed="false">
      <c r="A30" s="128" t="n">
        <v>22</v>
      </c>
      <c r="B30" s="129" t="n">
        <f aca="false">$B$6</f>
        <v>13429.9317634217</v>
      </c>
      <c r="C30" s="129" t="n">
        <f aca="false">B30-D30</f>
        <v>2476.16095154696</v>
      </c>
      <c r="D30" s="129" t="n">
        <f aca="false">E29*$B$4/12</f>
        <v>10953.7708118747</v>
      </c>
      <c r="E30" s="129" t="n">
        <f aca="false">E29-C30</f>
        <v>2188278.00142339</v>
      </c>
    </row>
    <row r="31" customFormat="false" ht="15" hidden="false" customHeight="true" outlineLevel="0" collapsed="false">
      <c r="A31" s="127" t="n">
        <v>23</v>
      </c>
      <c r="B31" s="36" t="n">
        <f aca="false">$B$6</f>
        <v>13429.9317634217</v>
      </c>
      <c r="C31" s="36" t="n">
        <f aca="false">B31-D31</f>
        <v>2488.54175630469</v>
      </c>
      <c r="D31" s="36" t="n">
        <f aca="false">E30*$B$4/12</f>
        <v>10941.390007117</v>
      </c>
      <c r="E31" s="36" t="n">
        <f aca="false">E30-C31</f>
        <v>2185789.45966709</v>
      </c>
    </row>
    <row r="32" customFormat="false" ht="15" hidden="false" customHeight="true" outlineLevel="0" collapsed="false">
      <c r="A32" s="128" t="n">
        <v>24</v>
      </c>
      <c r="B32" s="129" t="n">
        <f aca="false">$B$6</f>
        <v>13429.9317634217</v>
      </c>
      <c r="C32" s="129" t="n">
        <f aca="false">B32-D32</f>
        <v>2500.98446508621</v>
      </c>
      <c r="D32" s="129" t="n">
        <f aca="false">E31*$B$4/12</f>
        <v>10928.9472983354</v>
      </c>
      <c r="E32" s="129" t="n">
        <f aca="false">E31-C32</f>
        <v>2183288.475202</v>
      </c>
    </row>
    <row r="33" customFormat="false" ht="15" hidden="false" customHeight="true" outlineLevel="0" collapsed="false">
      <c r="A33" s="127" t="n">
        <v>25</v>
      </c>
      <c r="B33" s="36" t="n">
        <f aca="false">$B$6</f>
        <v>13429.9317634217</v>
      </c>
      <c r="C33" s="36" t="n">
        <f aca="false">B33-D33</f>
        <v>2513.48938741165</v>
      </c>
      <c r="D33" s="36" t="n">
        <f aca="false">E32*$B$4/12</f>
        <v>10916.44237601</v>
      </c>
      <c r="E33" s="36" t="n">
        <f aca="false">E32-C33</f>
        <v>2180774.98581459</v>
      </c>
    </row>
    <row r="34" customFormat="false" ht="15" hidden="false" customHeight="true" outlineLevel="0" collapsed="false">
      <c r="A34" s="128" t="n">
        <v>26</v>
      </c>
      <c r="B34" s="129" t="n">
        <f aca="false">$B$6</f>
        <v>13429.9317634217</v>
      </c>
      <c r="C34" s="129" t="n">
        <f aca="false">B34-D34</f>
        <v>2526.05683434871</v>
      </c>
      <c r="D34" s="129" t="n">
        <f aca="false">E33*$B$4/12</f>
        <v>10903.874929073</v>
      </c>
      <c r="E34" s="129" t="n">
        <f aca="false">E33-C34</f>
        <v>2178248.92898024</v>
      </c>
    </row>
    <row r="35" customFormat="false" ht="15" hidden="false" customHeight="true" outlineLevel="0" collapsed="false">
      <c r="A35" s="127" t="n">
        <v>27</v>
      </c>
      <c r="B35" s="36" t="n">
        <f aca="false">$B$6</f>
        <v>13429.9317634217</v>
      </c>
      <c r="C35" s="36" t="n">
        <f aca="false">B35-D35</f>
        <v>2538.68711852045</v>
      </c>
      <c r="D35" s="36" t="n">
        <f aca="false">E34*$B$4/12</f>
        <v>10891.2446449012</v>
      </c>
      <c r="E35" s="36" t="n">
        <f aca="false">E34-C35</f>
        <v>2175710.24186172</v>
      </c>
    </row>
    <row r="36" customFormat="false" ht="15" hidden="false" customHeight="true" outlineLevel="0" collapsed="false">
      <c r="A36" s="128" t="n">
        <v>28</v>
      </c>
      <c r="B36" s="129" t="n">
        <f aca="false">$B$6</f>
        <v>13429.9317634217</v>
      </c>
      <c r="C36" s="129" t="n">
        <f aca="false">B36-D36</f>
        <v>2551.38055411305</v>
      </c>
      <c r="D36" s="129" t="n">
        <f aca="false">E35*$B$4/12</f>
        <v>10878.5512093086</v>
      </c>
      <c r="E36" s="129" t="n">
        <f aca="false">E35-C36</f>
        <v>2173158.86130761</v>
      </c>
    </row>
    <row r="37" customFormat="false" ht="15" hidden="false" customHeight="true" outlineLevel="0" collapsed="false">
      <c r="A37" s="127" t="n">
        <v>29</v>
      </c>
      <c r="B37" s="36" t="n">
        <f aca="false">$B$6</f>
        <v>13429.9317634217</v>
      </c>
      <c r="C37" s="36" t="n">
        <f aca="false">B37-D37</f>
        <v>2564.13745688361</v>
      </c>
      <c r="D37" s="36" t="n">
        <f aca="false">E36*$B$4/12</f>
        <v>10865.794306538</v>
      </c>
      <c r="E37" s="36" t="n">
        <f aca="false">E36-C37</f>
        <v>2170594.72385072</v>
      </c>
    </row>
    <row r="38" customFormat="false" ht="15" hidden="false" customHeight="true" outlineLevel="0" collapsed="false">
      <c r="A38" s="128" t="n">
        <v>30</v>
      </c>
      <c r="B38" s="129" t="n">
        <f aca="false">$B$6</f>
        <v>13429.9317634217</v>
      </c>
      <c r="C38" s="129" t="n">
        <f aca="false">B38-D38</f>
        <v>2576.95814416804</v>
      </c>
      <c r="D38" s="129" t="n">
        <f aca="false">E37*$B$4/12</f>
        <v>10852.9736192536</v>
      </c>
      <c r="E38" s="129" t="n">
        <f aca="false">E37-C38</f>
        <v>2168017.76570656</v>
      </c>
    </row>
    <row r="39" customFormat="false" ht="15" hidden="false" customHeight="true" outlineLevel="0" collapsed="false">
      <c r="A39" s="127" t="n">
        <v>31</v>
      </c>
      <c r="B39" s="36" t="n">
        <f aca="false">$B$6</f>
        <v>13429.9317634217</v>
      </c>
      <c r="C39" s="36" t="n">
        <f aca="false">B39-D39</f>
        <v>2589.84293488887</v>
      </c>
      <c r="D39" s="36" t="n">
        <f aca="false">E38*$B$4/12</f>
        <v>10840.0888285328</v>
      </c>
      <c r="E39" s="36" t="n">
        <f aca="false">E38-C39</f>
        <v>2165427.92277167</v>
      </c>
    </row>
    <row r="40" customFormat="false" ht="15" hidden="false" customHeight="true" outlineLevel="0" collapsed="false">
      <c r="A40" s="128" t="n">
        <v>32</v>
      </c>
      <c r="B40" s="129" t="n">
        <f aca="false">$B$6</f>
        <v>13429.9317634217</v>
      </c>
      <c r="C40" s="129" t="n">
        <f aca="false">B40-D40</f>
        <v>2602.79214956332</v>
      </c>
      <c r="D40" s="129" t="n">
        <f aca="false">E39*$B$4/12</f>
        <v>10827.1396138583</v>
      </c>
      <c r="E40" s="129" t="n">
        <f aca="false">E39-C40</f>
        <v>2162825.1306221</v>
      </c>
    </row>
    <row r="41" customFormat="false" ht="15" hidden="false" customHeight="true" outlineLevel="0" collapsed="false">
      <c r="A41" s="127" t="n">
        <v>33</v>
      </c>
      <c r="B41" s="36" t="n">
        <f aca="false">$B$6</f>
        <v>13429.9317634217</v>
      </c>
      <c r="C41" s="36" t="n">
        <f aca="false">B41-D41</f>
        <v>2615.80611031113</v>
      </c>
      <c r="D41" s="36" t="n">
        <f aca="false">E40*$B$4/12</f>
        <v>10814.1256531105</v>
      </c>
      <c r="E41" s="36" t="n">
        <f aca="false">E40-C41</f>
        <v>2160209.32451179</v>
      </c>
    </row>
    <row r="42" customFormat="false" ht="15" hidden="false" customHeight="true" outlineLevel="0" collapsed="false">
      <c r="A42" s="128" t="n">
        <v>34</v>
      </c>
      <c r="B42" s="129" t="n">
        <f aca="false">$B$6</f>
        <v>13429.9317634217</v>
      </c>
      <c r="C42" s="129" t="n">
        <f aca="false">B42-D42</f>
        <v>2628.88514086269</v>
      </c>
      <c r="D42" s="129" t="n">
        <f aca="false">E41*$B$4/12</f>
        <v>10801.046622559</v>
      </c>
      <c r="E42" s="129" t="n">
        <f aca="false">E41-C42</f>
        <v>2157580.43937093</v>
      </c>
    </row>
    <row r="43" customFormat="false" ht="15" hidden="false" customHeight="true" outlineLevel="0" collapsed="false">
      <c r="A43" s="127" t="n">
        <v>35</v>
      </c>
      <c r="B43" s="36" t="n">
        <f aca="false">$B$6</f>
        <v>13429.9317634217</v>
      </c>
      <c r="C43" s="36" t="n">
        <f aca="false">B43-D43</f>
        <v>2642.02956656701</v>
      </c>
      <c r="D43" s="36" t="n">
        <f aca="false">E42*$B$4/12</f>
        <v>10787.9021968547</v>
      </c>
      <c r="E43" s="36" t="n">
        <f aca="false">E42-C43</f>
        <v>2154938.40980436</v>
      </c>
    </row>
    <row r="44" customFormat="false" ht="15" hidden="false" customHeight="true" outlineLevel="0" collapsed="false">
      <c r="A44" s="128" t="n">
        <v>36</v>
      </c>
      <c r="B44" s="129" t="n">
        <f aca="false">$B$6</f>
        <v>13429.9317634217</v>
      </c>
      <c r="C44" s="129" t="n">
        <f aca="false">B44-D44</f>
        <v>2655.23971439984</v>
      </c>
      <c r="D44" s="129" t="n">
        <f aca="false">E43*$B$4/12</f>
        <v>10774.6920490218</v>
      </c>
      <c r="E44" s="129" t="n">
        <f aca="false">E43-C44</f>
        <v>2152283.17008996</v>
      </c>
    </row>
    <row r="45" customFormat="false" ht="15" hidden="false" customHeight="true" outlineLevel="0" collapsed="false">
      <c r="A45" s="127" t="n">
        <v>37</v>
      </c>
      <c r="B45" s="36" t="n">
        <f aca="false">$B$6</f>
        <v>13429.9317634217</v>
      </c>
      <c r="C45" s="36" t="n">
        <f aca="false">B45-D45</f>
        <v>2668.51591297184</v>
      </c>
      <c r="D45" s="36" t="n">
        <f aca="false">E44*$B$4/12</f>
        <v>10761.4158504498</v>
      </c>
      <c r="E45" s="36" t="n">
        <f aca="false">E44-C45</f>
        <v>2149614.65417699</v>
      </c>
    </row>
    <row r="46" customFormat="false" ht="15" hidden="false" customHeight="true" outlineLevel="0" collapsed="false">
      <c r="A46" s="128" t="n">
        <v>38</v>
      </c>
      <c r="B46" s="129" t="n">
        <f aca="false">$B$6</f>
        <v>13429.9317634217</v>
      </c>
      <c r="C46" s="129" t="n">
        <f aca="false">B46-D46</f>
        <v>2681.8584925367</v>
      </c>
      <c r="D46" s="129" t="n">
        <f aca="false">E45*$B$4/12</f>
        <v>10748.073270885</v>
      </c>
      <c r="E46" s="129" t="n">
        <f aca="false">E45-C46</f>
        <v>2146932.79568446</v>
      </c>
    </row>
    <row r="47" customFormat="false" ht="15" hidden="false" customHeight="true" outlineLevel="0" collapsed="false">
      <c r="A47" s="127" t="n">
        <v>39</v>
      </c>
      <c r="B47" s="36" t="n">
        <f aca="false">$B$6</f>
        <v>13429.9317634217</v>
      </c>
      <c r="C47" s="36" t="n">
        <f aca="false">B47-D47</f>
        <v>2695.26778499938</v>
      </c>
      <c r="D47" s="36" t="n">
        <f aca="false">E46*$B$4/12</f>
        <v>10734.6639784223</v>
      </c>
      <c r="E47" s="36" t="n">
        <f aca="false">E46-C47</f>
        <v>2144237.52789946</v>
      </c>
    </row>
    <row r="48" customFormat="false" ht="15" hidden="false" customHeight="true" outlineLevel="0" collapsed="false">
      <c r="A48" s="128" t="n">
        <v>40</v>
      </c>
      <c r="B48" s="129" t="n">
        <f aca="false">$B$6</f>
        <v>13429.9317634217</v>
      </c>
      <c r="C48" s="129" t="n">
        <f aca="false">B48-D48</f>
        <v>2708.74412392438</v>
      </c>
      <c r="D48" s="129" t="n">
        <f aca="false">E47*$B$4/12</f>
        <v>10721.1876394973</v>
      </c>
      <c r="E48" s="129" t="n">
        <f aca="false">E47-C48</f>
        <v>2141528.78377553</v>
      </c>
    </row>
    <row r="49" customFormat="false" ht="15" hidden="false" customHeight="true" outlineLevel="0" collapsed="false">
      <c r="A49" s="127" t="n">
        <v>41</v>
      </c>
      <c r="B49" s="36" t="n">
        <f aca="false">$B$6</f>
        <v>13429.9317634217</v>
      </c>
      <c r="C49" s="36" t="n">
        <f aca="false">B49-D49</f>
        <v>2722.287844544</v>
      </c>
      <c r="D49" s="36" t="n">
        <f aca="false">E48*$B$4/12</f>
        <v>10707.6439188777</v>
      </c>
      <c r="E49" s="36" t="n">
        <f aca="false">E48-C49</f>
        <v>2138806.49593099</v>
      </c>
    </row>
    <row r="50" customFormat="false" ht="15" hidden="false" customHeight="true" outlineLevel="0" collapsed="false">
      <c r="A50" s="128" t="n">
        <v>42</v>
      </c>
      <c r="B50" s="129" t="n">
        <f aca="false">$B$6</f>
        <v>13429.9317634217</v>
      </c>
      <c r="C50" s="129" t="n">
        <f aca="false">B50-D50</f>
        <v>2735.89928376672</v>
      </c>
      <c r="D50" s="129" t="n">
        <f aca="false">E49*$B$4/12</f>
        <v>10694.0324796549</v>
      </c>
      <c r="E50" s="129" t="n">
        <f aca="false">E49-C50</f>
        <v>2136070.59664722</v>
      </c>
    </row>
    <row r="51" customFormat="false" ht="15" hidden="false" customHeight="true" outlineLevel="0" collapsed="false">
      <c r="A51" s="127" t="n">
        <v>43</v>
      </c>
      <c r="B51" s="36" t="n">
        <f aca="false">$B$6</f>
        <v>13429.9317634217</v>
      </c>
      <c r="C51" s="36" t="n">
        <f aca="false">B51-D51</f>
        <v>2749.57878018555</v>
      </c>
      <c r="D51" s="36" t="n">
        <f aca="false">E50*$B$4/12</f>
        <v>10680.3529832361</v>
      </c>
      <c r="E51" s="36" t="n">
        <f aca="false">E50-C51</f>
        <v>2133321.01786704</v>
      </c>
    </row>
    <row r="52" customFormat="false" ht="15" hidden="false" customHeight="true" outlineLevel="0" collapsed="false">
      <c r="A52" s="128" t="n">
        <v>44</v>
      </c>
      <c r="B52" s="129" t="n">
        <f aca="false">$B$6</f>
        <v>13429.9317634217</v>
      </c>
      <c r="C52" s="129" t="n">
        <f aca="false">B52-D52</f>
        <v>2763.32667408648</v>
      </c>
      <c r="D52" s="129" t="n">
        <f aca="false">E51*$B$4/12</f>
        <v>10666.6050893352</v>
      </c>
      <c r="E52" s="129" t="n">
        <f aca="false">E51-C52</f>
        <v>2130557.69119295</v>
      </c>
    </row>
    <row r="53" customFormat="false" ht="15" hidden="false" customHeight="true" outlineLevel="0" collapsed="false">
      <c r="A53" s="127" t="n">
        <v>45</v>
      </c>
      <c r="B53" s="36" t="n">
        <f aca="false">$B$6</f>
        <v>13429.9317634217</v>
      </c>
      <c r="C53" s="36" t="n">
        <f aca="false">B53-D53</f>
        <v>2777.14330745691</v>
      </c>
      <c r="D53" s="36" t="n">
        <f aca="false">E52*$B$4/12</f>
        <v>10652.7884559647</v>
      </c>
      <c r="E53" s="36" t="n">
        <f aca="false">E52-C53</f>
        <v>2127780.54788549</v>
      </c>
    </row>
    <row r="54" customFormat="false" ht="15" hidden="false" customHeight="true" outlineLevel="0" collapsed="false">
      <c r="A54" s="128" t="n">
        <v>46</v>
      </c>
      <c r="B54" s="129" t="n">
        <f aca="false">$B$6</f>
        <v>13429.9317634217</v>
      </c>
      <c r="C54" s="129" t="n">
        <f aca="false">B54-D54</f>
        <v>2791.0290239942</v>
      </c>
      <c r="D54" s="129" t="n">
        <f aca="false">E53*$B$4/12</f>
        <v>10638.9027394275</v>
      </c>
      <c r="E54" s="129" t="n">
        <f aca="false">E53-C54</f>
        <v>2124989.5188615</v>
      </c>
    </row>
    <row r="55" customFormat="false" ht="15" hidden="false" customHeight="true" outlineLevel="0" collapsed="false">
      <c r="A55" s="127" t="n">
        <v>47</v>
      </c>
      <c r="B55" s="36" t="n">
        <f aca="false">$B$6</f>
        <v>13429.9317634217</v>
      </c>
      <c r="C55" s="36" t="n">
        <f aca="false">B55-D55</f>
        <v>2804.98416911417</v>
      </c>
      <c r="D55" s="36" t="n">
        <f aca="false">E54*$B$4/12</f>
        <v>10624.9475943075</v>
      </c>
      <c r="E55" s="36" t="n">
        <f aca="false">E54-C55</f>
        <v>2122184.53469238</v>
      </c>
    </row>
    <row r="56" customFormat="false" ht="15" hidden="false" customHeight="true" outlineLevel="0" collapsed="false">
      <c r="A56" s="128" t="n">
        <v>48</v>
      </c>
      <c r="B56" s="129" t="n">
        <f aca="false">$B$6</f>
        <v>13429.9317634217</v>
      </c>
      <c r="C56" s="129" t="n">
        <f aca="false">B56-D56</f>
        <v>2819.00908995974</v>
      </c>
      <c r="D56" s="129" t="n">
        <f aca="false">E55*$B$4/12</f>
        <v>10610.9226734619</v>
      </c>
      <c r="E56" s="129" t="n">
        <f aca="false">E55-C56</f>
        <v>2119365.52560242</v>
      </c>
    </row>
    <row r="57" customFormat="false" ht="15" hidden="false" customHeight="true" outlineLevel="0" collapsed="false">
      <c r="A57" s="127" t="n">
        <v>49</v>
      </c>
      <c r="B57" s="36" t="n">
        <f aca="false">$B$6</f>
        <v>13429.9317634217</v>
      </c>
      <c r="C57" s="36" t="n">
        <f aca="false">B57-D57</f>
        <v>2833.10413540954</v>
      </c>
      <c r="D57" s="36" t="n">
        <f aca="false">E56*$B$4/12</f>
        <v>10596.8276280121</v>
      </c>
      <c r="E57" s="36" t="n">
        <f aca="false">E56-C57</f>
        <v>2116532.42146701</v>
      </c>
    </row>
    <row r="58" customFormat="false" ht="15" hidden="false" customHeight="true" outlineLevel="0" collapsed="false">
      <c r="A58" s="128" t="n">
        <v>50</v>
      </c>
      <c r="B58" s="129" t="n">
        <f aca="false">$B$6</f>
        <v>13429.9317634217</v>
      </c>
      <c r="C58" s="129" t="n">
        <f aca="false">B58-D58</f>
        <v>2847.26965608658</v>
      </c>
      <c r="D58" s="129" t="n">
        <f aca="false">E57*$B$4/12</f>
        <v>10582.6621073351</v>
      </c>
      <c r="E58" s="129" t="n">
        <f aca="false">E57-C58</f>
        <v>2113685.15181093</v>
      </c>
    </row>
    <row r="59" customFormat="false" ht="15" hidden="false" customHeight="true" outlineLevel="0" collapsed="false">
      <c r="A59" s="127" t="n">
        <v>51</v>
      </c>
      <c r="B59" s="36" t="n">
        <f aca="false">$B$6</f>
        <v>13429.9317634217</v>
      </c>
      <c r="C59" s="36" t="n">
        <f aca="false">B59-D59</f>
        <v>2861.50600436702</v>
      </c>
      <c r="D59" s="36" t="n">
        <f aca="false">E58*$B$4/12</f>
        <v>10568.4257590546</v>
      </c>
      <c r="E59" s="36" t="n">
        <f aca="false">E58-C59</f>
        <v>2110823.64580656</v>
      </c>
    </row>
    <row r="60" customFormat="false" ht="15" hidden="false" customHeight="true" outlineLevel="0" collapsed="false">
      <c r="A60" s="128" t="n">
        <v>52</v>
      </c>
      <c r="B60" s="129" t="n">
        <f aca="false">$B$6</f>
        <v>13429.9317634217</v>
      </c>
      <c r="C60" s="129" t="n">
        <f aca="false">B60-D60</f>
        <v>2875.81353438885</v>
      </c>
      <c r="D60" s="129" t="n">
        <f aca="false">E59*$B$4/12</f>
        <v>10554.1182290328</v>
      </c>
      <c r="E60" s="129" t="n">
        <f aca="false">E59-C60</f>
        <v>2107947.83227217</v>
      </c>
    </row>
    <row r="61" customFormat="false" ht="15" hidden="false" customHeight="true" outlineLevel="0" collapsed="false">
      <c r="A61" s="127" t="n">
        <v>53</v>
      </c>
      <c r="B61" s="36" t="n">
        <f aca="false">$B$6</f>
        <v>13429.9317634217</v>
      </c>
      <c r="C61" s="36" t="n">
        <f aca="false">B61-D61</f>
        <v>2890.1926020608</v>
      </c>
      <c r="D61" s="36" t="n">
        <f aca="false">E60*$B$4/12</f>
        <v>10539.7391613609</v>
      </c>
      <c r="E61" s="36" t="n">
        <f aca="false">E60-C61</f>
        <v>2105057.63967011</v>
      </c>
    </row>
    <row r="62" customFormat="false" ht="15" hidden="false" customHeight="true" outlineLevel="0" collapsed="false">
      <c r="A62" s="128" t="n">
        <v>54</v>
      </c>
      <c r="B62" s="129" t="n">
        <f aca="false">$B$6</f>
        <v>13429.9317634217</v>
      </c>
      <c r="C62" s="129" t="n">
        <f aca="false">B62-D62</f>
        <v>2904.6435650711</v>
      </c>
      <c r="D62" s="129" t="n">
        <f aca="false">E61*$B$4/12</f>
        <v>10525.2881983506</v>
      </c>
      <c r="E62" s="129" t="n">
        <f aca="false">E61-C62</f>
        <v>2102152.99610504</v>
      </c>
    </row>
    <row r="63" customFormat="false" ht="15" hidden="false" customHeight="true" outlineLevel="0" collapsed="false">
      <c r="A63" s="127" t="n">
        <v>55</v>
      </c>
      <c r="B63" s="36" t="n">
        <f aca="false">$B$6</f>
        <v>13429.9317634217</v>
      </c>
      <c r="C63" s="36" t="n">
        <f aca="false">B63-D63</f>
        <v>2919.16678289646</v>
      </c>
      <c r="D63" s="36" t="n">
        <f aca="false">E62*$B$4/12</f>
        <v>10510.7649805252</v>
      </c>
      <c r="E63" s="36" t="n">
        <f aca="false">E62-C63</f>
        <v>2099233.82932214</v>
      </c>
    </row>
    <row r="64" customFormat="false" ht="15" hidden="false" customHeight="true" outlineLevel="0" collapsed="false">
      <c r="A64" s="128" t="n">
        <v>56</v>
      </c>
      <c r="B64" s="129" t="n">
        <f aca="false">$B$6</f>
        <v>13429.9317634217</v>
      </c>
      <c r="C64" s="129" t="n">
        <f aca="false">B64-D64</f>
        <v>2933.76261681094</v>
      </c>
      <c r="D64" s="129" t="n">
        <f aca="false">E63*$B$4/12</f>
        <v>10496.1691466107</v>
      </c>
      <c r="E64" s="129" t="n">
        <f aca="false">E63-C64</f>
        <v>2096300.06670533</v>
      </c>
    </row>
    <row r="65" customFormat="false" ht="15" hidden="false" customHeight="true" outlineLevel="0" collapsed="false">
      <c r="A65" s="127" t="n">
        <v>57</v>
      </c>
      <c r="B65" s="36" t="n">
        <f aca="false">$B$6</f>
        <v>13429.9317634217</v>
      </c>
      <c r="C65" s="36" t="n">
        <f aca="false">B65-D65</f>
        <v>2948.43142989499</v>
      </c>
      <c r="D65" s="36" t="n">
        <f aca="false">E64*$B$4/12</f>
        <v>10481.5003335267</v>
      </c>
      <c r="E65" s="36" t="n">
        <f aca="false">E64-C65</f>
        <v>2093351.63527544</v>
      </c>
    </row>
    <row r="66" customFormat="false" ht="15" hidden="false" customHeight="true" outlineLevel="0" collapsed="false">
      <c r="A66" s="128" t="n">
        <v>58</v>
      </c>
      <c r="B66" s="129" t="n">
        <f aca="false">$B$6</f>
        <v>13429.9317634217</v>
      </c>
      <c r="C66" s="129" t="n">
        <f aca="false">B66-D66</f>
        <v>2963.17358704447</v>
      </c>
      <c r="D66" s="129" t="n">
        <f aca="false">E65*$B$4/12</f>
        <v>10466.7581763772</v>
      </c>
      <c r="E66" s="129" t="n">
        <f aca="false">E65-C66</f>
        <v>2090388.46168839</v>
      </c>
    </row>
    <row r="67" customFormat="false" ht="15" hidden="false" customHeight="true" outlineLevel="0" collapsed="false">
      <c r="A67" s="127" t="n">
        <v>59</v>
      </c>
      <c r="B67" s="36" t="n">
        <f aca="false">$B$6</f>
        <v>13429.9317634217</v>
      </c>
      <c r="C67" s="36" t="n">
        <f aca="false">B67-D67</f>
        <v>2977.98945497969</v>
      </c>
      <c r="D67" s="36" t="n">
        <f aca="false">E66*$B$4/12</f>
        <v>10451.942308442</v>
      </c>
      <c r="E67" s="36" t="n">
        <f aca="false">E66-C67</f>
        <v>2087410.47223341</v>
      </c>
    </row>
    <row r="68" customFormat="false" ht="15" hidden="false" customHeight="true" outlineLevel="0" collapsed="false">
      <c r="A68" s="128" t="n">
        <v>60</v>
      </c>
      <c r="B68" s="129" t="n">
        <f aca="false">$B$6</f>
        <v>13429.9317634217</v>
      </c>
      <c r="C68" s="129" t="n">
        <f aca="false">B68-D68</f>
        <v>2992.87940225459</v>
      </c>
      <c r="D68" s="129" t="n">
        <f aca="false">E67*$B$4/12</f>
        <v>10437.0523611671</v>
      </c>
      <c r="E68" s="129" t="n">
        <f aca="false">E67-C68</f>
        <v>2084417.59283116</v>
      </c>
    </row>
    <row r="69" customFormat="false" ht="15" hidden="false" customHeight="true" outlineLevel="0" collapsed="false">
      <c r="A69" s="127" t="n">
        <v>61</v>
      </c>
      <c r="B69" s="36" t="n">
        <f aca="false">$B$6</f>
        <v>13429.9317634217</v>
      </c>
      <c r="C69" s="36" t="n">
        <f aca="false">B69-D69</f>
        <v>3007.84379926587</v>
      </c>
      <c r="D69" s="36" t="n">
        <f aca="false">E68*$B$4/12</f>
        <v>10422.0879641558</v>
      </c>
      <c r="E69" s="36" t="n">
        <f aca="false">E68-C69</f>
        <v>2081409.74903189</v>
      </c>
    </row>
    <row r="70" customFormat="false" ht="15" hidden="false" customHeight="true" outlineLevel="0" collapsed="false">
      <c r="A70" s="128" t="n">
        <v>62</v>
      </c>
      <c r="B70" s="129" t="n">
        <f aca="false">$B$6</f>
        <v>13429.9317634217</v>
      </c>
      <c r="C70" s="129" t="n">
        <f aca="false">B70-D70</f>
        <v>3022.88301826219</v>
      </c>
      <c r="D70" s="129" t="n">
        <f aca="false">E69*$B$4/12</f>
        <v>10407.0487451595</v>
      </c>
      <c r="E70" s="129" t="n">
        <f aca="false">E69-C70</f>
        <v>2078386.86601363</v>
      </c>
    </row>
    <row r="71" customFormat="false" ht="15" hidden="false" customHeight="true" outlineLevel="0" collapsed="false">
      <c r="A71" s="127" t="n">
        <v>63</v>
      </c>
      <c r="B71" s="36" t="n">
        <f aca="false">$B$6</f>
        <v>13429.9317634217</v>
      </c>
      <c r="C71" s="36" t="n">
        <f aca="false">B71-D71</f>
        <v>3037.9974333535</v>
      </c>
      <c r="D71" s="36" t="n">
        <f aca="false">E70*$B$4/12</f>
        <v>10391.9343300682</v>
      </c>
      <c r="E71" s="36" t="n">
        <f aca="false">E70-C71</f>
        <v>2075348.86858028</v>
      </c>
    </row>
    <row r="72" customFormat="false" ht="15" hidden="false" customHeight="true" outlineLevel="0" collapsed="false">
      <c r="A72" s="128" t="n">
        <v>64</v>
      </c>
      <c r="B72" s="129" t="n">
        <f aca="false">$B$6</f>
        <v>13429.9317634217</v>
      </c>
      <c r="C72" s="129" t="n">
        <f aca="false">B72-D72</f>
        <v>3053.18742052027</v>
      </c>
      <c r="D72" s="129" t="n">
        <f aca="false">E71*$B$4/12</f>
        <v>10376.7443429014</v>
      </c>
      <c r="E72" s="129" t="n">
        <f aca="false">E71-C72</f>
        <v>2072295.68115976</v>
      </c>
    </row>
    <row r="73" customFormat="false" ht="15" hidden="false" customHeight="true" outlineLevel="0" collapsed="false">
      <c r="A73" s="127" t="n">
        <v>65</v>
      </c>
      <c r="B73" s="36" t="n">
        <f aca="false">$B$6</f>
        <v>13429.9317634217</v>
      </c>
      <c r="C73" s="36" t="n">
        <f aca="false">B73-D73</f>
        <v>3068.45335762287</v>
      </c>
      <c r="D73" s="36" t="n">
        <f aca="false">E72*$B$4/12</f>
        <v>10361.4784057988</v>
      </c>
      <c r="E73" s="36" t="n">
        <f aca="false">E72-C73</f>
        <v>2069227.22780213</v>
      </c>
    </row>
    <row r="74" customFormat="false" ht="15" hidden="false" customHeight="true" outlineLevel="0" collapsed="false">
      <c r="A74" s="128" t="n">
        <v>66</v>
      </c>
      <c r="B74" s="129" t="n">
        <f aca="false">$B$6</f>
        <v>13429.9317634217</v>
      </c>
      <c r="C74" s="129" t="n">
        <f aca="false">B74-D74</f>
        <v>3083.79562441099</v>
      </c>
      <c r="D74" s="129" t="n">
        <f aca="false">E73*$B$4/12</f>
        <v>10346.1361390107</v>
      </c>
      <c r="E74" s="129" t="n">
        <f aca="false">E73-C74</f>
        <v>2066143.43217772</v>
      </c>
    </row>
    <row r="75" customFormat="false" ht="15" hidden="false" customHeight="true" outlineLevel="0" collapsed="false">
      <c r="A75" s="127" t="n">
        <v>67</v>
      </c>
      <c r="B75" s="36" t="n">
        <f aca="false">$B$6</f>
        <v>13429.9317634217</v>
      </c>
      <c r="C75" s="36" t="n">
        <f aca="false">B75-D75</f>
        <v>3099.21460253304</v>
      </c>
      <c r="D75" s="36" t="n">
        <f aca="false">E74*$B$4/12</f>
        <v>10330.7171608886</v>
      </c>
      <c r="E75" s="36" t="n">
        <f aca="false">E74-C75</f>
        <v>2063044.21757519</v>
      </c>
    </row>
    <row r="76" customFormat="false" ht="15" hidden="false" customHeight="true" outlineLevel="0" collapsed="false">
      <c r="A76" s="128" t="n">
        <v>68</v>
      </c>
      <c r="B76" s="129" t="n">
        <f aca="false">$B$6</f>
        <v>13429.9317634217</v>
      </c>
      <c r="C76" s="129" t="n">
        <f aca="false">B76-D76</f>
        <v>3114.71067554571</v>
      </c>
      <c r="D76" s="129" t="n">
        <f aca="false">E75*$B$4/12</f>
        <v>10315.2210878759</v>
      </c>
      <c r="E76" s="129" t="n">
        <f aca="false">E75-C76</f>
        <v>2059929.50689964</v>
      </c>
    </row>
    <row r="77" customFormat="false" ht="15" hidden="false" customHeight="true" outlineLevel="0" collapsed="false">
      <c r="A77" s="127" t="n">
        <v>69</v>
      </c>
      <c r="B77" s="36" t="n">
        <f aca="false">$B$6</f>
        <v>13429.9317634217</v>
      </c>
      <c r="C77" s="36" t="n">
        <f aca="false">B77-D77</f>
        <v>3130.28422892344</v>
      </c>
      <c r="D77" s="36" t="n">
        <f aca="false">E76*$B$4/12</f>
        <v>10299.6475344982</v>
      </c>
      <c r="E77" s="36" t="n">
        <f aca="false">E76-C77</f>
        <v>2056799.22267072</v>
      </c>
    </row>
    <row r="78" customFormat="false" ht="15" hidden="false" customHeight="true" outlineLevel="0" collapsed="false">
      <c r="A78" s="128" t="n">
        <v>70</v>
      </c>
      <c r="B78" s="129" t="n">
        <f aca="false">$B$6</f>
        <v>13429.9317634217</v>
      </c>
      <c r="C78" s="129" t="n">
        <f aca="false">B78-D78</f>
        <v>3145.93565006806</v>
      </c>
      <c r="D78" s="129" t="n">
        <f aca="false">E77*$B$4/12</f>
        <v>10283.9961133536</v>
      </c>
      <c r="E78" s="129" t="n">
        <f aca="false">E77-C78</f>
        <v>2053653.28702065</v>
      </c>
    </row>
    <row r="79" customFormat="false" ht="15" hidden="false" customHeight="true" outlineLevel="0" collapsed="false">
      <c r="A79" s="127" t="n">
        <v>71</v>
      </c>
      <c r="B79" s="36" t="n">
        <f aca="false">$B$6</f>
        <v>13429.9317634217</v>
      </c>
      <c r="C79" s="36" t="n">
        <f aca="false">B79-D79</f>
        <v>3161.6653283184</v>
      </c>
      <c r="D79" s="36" t="n">
        <f aca="false">E78*$B$4/12</f>
        <v>10268.2664351033</v>
      </c>
      <c r="E79" s="36" t="n">
        <f aca="false">E78-C79</f>
        <v>2050491.62169233</v>
      </c>
    </row>
    <row r="80" customFormat="false" ht="15" hidden="false" customHeight="true" outlineLevel="0" collapsed="false">
      <c r="A80" s="128" t="n">
        <v>72</v>
      </c>
      <c r="B80" s="129" t="n">
        <f aca="false">$B$6</f>
        <v>13429.9317634217</v>
      </c>
      <c r="C80" s="129" t="n">
        <f aca="false">B80-D80</f>
        <v>3177.47365495999</v>
      </c>
      <c r="D80" s="129" t="n">
        <f aca="false">E79*$B$4/12</f>
        <v>10252.4581084617</v>
      </c>
      <c r="E80" s="129" t="n">
        <f aca="false">E79-C80</f>
        <v>2047314.14803737</v>
      </c>
    </row>
    <row r="81" customFormat="false" ht="15" hidden="false" customHeight="true" outlineLevel="0" collapsed="false">
      <c r="A81" s="127" t="n">
        <v>73</v>
      </c>
      <c r="B81" s="36" t="n">
        <f aca="false">$B$6</f>
        <v>13429.9317634217</v>
      </c>
      <c r="C81" s="36" t="n">
        <f aca="false">B81-D81</f>
        <v>3193.36102323479</v>
      </c>
      <c r="D81" s="36" t="n">
        <f aca="false">E80*$B$4/12</f>
        <v>10236.5707401869</v>
      </c>
      <c r="E81" s="36" t="n">
        <f aca="false">E80-C81</f>
        <v>2044120.78701414</v>
      </c>
    </row>
    <row r="82" customFormat="false" ht="15" hidden="false" customHeight="true" outlineLevel="0" collapsed="false">
      <c r="A82" s="128" t="n">
        <v>74</v>
      </c>
      <c r="B82" s="129" t="n">
        <f aca="false">$B$6</f>
        <v>13429.9317634217</v>
      </c>
      <c r="C82" s="129" t="n">
        <f aca="false">B82-D82</f>
        <v>3209.32782835096</v>
      </c>
      <c r="D82" s="129" t="n">
        <f aca="false">E81*$B$4/12</f>
        <v>10220.6039350707</v>
      </c>
      <c r="E82" s="129" t="n">
        <f aca="false">E81-C82</f>
        <v>2040911.45918579</v>
      </c>
    </row>
    <row r="83" customFormat="false" ht="15" hidden="false" customHeight="true" outlineLevel="0" collapsed="false">
      <c r="A83" s="127" t="n">
        <v>75</v>
      </c>
      <c r="B83" s="36" t="n">
        <f aca="false">$B$6</f>
        <v>13429.9317634217</v>
      </c>
      <c r="C83" s="36" t="n">
        <f aca="false">B83-D83</f>
        <v>3225.37446749272</v>
      </c>
      <c r="D83" s="36" t="n">
        <f aca="false">E82*$B$4/12</f>
        <v>10204.5572959289</v>
      </c>
      <c r="E83" s="36" t="n">
        <f aca="false">E82-C83</f>
        <v>2037686.0847183</v>
      </c>
    </row>
    <row r="84" customFormat="false" ht="15" hidden="false" customHeight="true" outlineLevel="0" collapsed="false">
      <c r="A84" s="128" t="n">
        <v>76</v>
      </c>
      <c r="B84" s="129" t="n">
        <f aca="false">$B$6</f>
        <v>13429.9317634217</v>
      </c>
      <c r="C84" s="129" t="n">
        <f aca="false">B84-D84</f>
        <v>3241.50133983018</v>
      </c>
      <c r="D84" s="129" t="n">
        <f aca="false">E83*$B$4/12</f>
        <v>10188.4304235915</v>
      </c>
      <c r="E84" s="129" t="n">
        <f aca="false">E83-C84</f>
        <v>2034444.58337846</v>
      </c>
    </row>
    <row r="85" customFormat="false" ht="15" hidden="false" customHeight="true" outlineLevel="0" collapsed="false">
      <c r="A85" s="127" t="n">
        <v>77</v>
      </c>
      <c r="B85" s="36" t="n">
        <f aca="false">$B$6</f>
        <v>13429.9317634217</v>
      </c>
      <c r="C85" s="36" t="n">
        <f aca="false">B85-D85</f>
        <v>3257.70884652933</v>
      </c>
      <c r="D85" s="36" t="n">
        <f aca="false">E84*$B$4/12</f>
        <v>10172.2229168923</v>
      </c>
      <c r="E85" s="36" t="n">
        <f aca="false">E84-C85</f>
        <v>2031186.87453194</v>
      </c>
    </row>
    <row r="86" customFormat="false" ht="15" hidden="false" customHeight="true" outlineLevel="0" collapsed="false">
      <c r="A86" s="128" t="n">
        <v>78</v>
      </c>
      <c r="B86" s="129" t="n">
        <f aca="false">$B$6</f>
        <v>13429.9317634217</v>
      </c>
      <c r="C86" s="129" t="n">
        <f aca="false">B86-D86</f>
        <v>3273.99739076198</v>
      </c>
      <c r="D86" s="129" t="n">
        <f aca="false">E85*$B$4/12</f>
        <v>10155.9343726597</v>
      </c>
      <c r="E86" s="129" t="n">
        <f aca="false">E85-C86</f>
        <v>2027912.87714117</v>
      </c>
    </row>
    <row r="87" customFormat="false" ht="15" hidden="false" customHeight="true" outlineLevel="0" collapsed="false">
      <c r="A87" s="127" t="n">
        <v>79</v>
      </c>
      <c r="B87" s="36" t="n">
        <f aca="false">$B$6</f>
        <v>13429.9317634217</v>
      </c>
      <c r="C87" s="36" t="n">
        <f aca="false">B87-D87</f>
        <v>3290.36737771579</v>
      </c>
      <c r="D87" s="36" t="n">
        <f aca="false">E86*$B$4/12</f>
        <v>10139.5643857059</v>
      </c>
      <c r="E87" s="36" t="n">
        <f aca="false">E86-C87</f>
        <v>2024622.50976346</v>
      </c>
    </row>
    <row r="88" customFormat="false" ht="15" hidden="false" customHeight="true" outlineLevel="0" collapsed="false">
      <c r="A88" s="128" t="n">
        <v>80</v>
      </c>
      <c r="B88" s="129" t="n">
        <f aca="false">$B$6</f>
        <v>13429.9317634217</v>
      </c>
      <c r="C88" s="129" t="n">
        <f aca="false">B88-D88</f>
        <v>3306.81921460437</v>
      </c>
      <c r="D88" s="129" t="n">
        <f aca="false">E87*$B$4/12</f>
        <v>10123.1125488173</v>
      </c>
      <c r="E88" s="129" t="n">
        <f aca="false">E87-C88</f>
        <v>2021315.69054885</v>
      </c>
    </row>
    <row r="89" customFormat="false" ht="15" hidden="false" customHeight="true" outlineLevel="0" collapsed="false">
      <c r="A89" s="127" t="n">
        <v>81</v>
      </c>
      <c r="B89" s="36" t="n">
        <f aca="false">$B$6</f>
        <v>13429.9317634217</v>
      </c>
      <c r="C89" s="36" t="n">
        <f aca="false">B89-D89</f>
        <v>3323.35331067739</v>
      </c>
      <c r="D89" s="36" t="n">
        <f aca="false">E88*$B$4/12</f>
        <v>10106.5784527443</v>
      </c>
      <c r="E89" s="36" t="n">
        <f aca="false">E88-C89</f>
        <v>2017992.33723818</v>
      </c>
    </row>
    <row r="90" customFormat="false" ht="15" hidden="false" customHeight="true" outlineLevel="0" collapsed="false">
      <c r="A90" s="128" t="n">
        <v>82</v>
      </c>
      <c r="B90" s="129" t="n">
        <f aca="false">$B$6</f>
        <v>13429.9317634217</v>
      </c>
      <c r="C90" s="129" t="n">
        <f aca="false">B90-D90</f>
        <v>3339.97007723078</v>
      </c>
      <c r="D90" s="129" t="n">
        <f aca="false">E89*$B$4/12</f>
        <v>10089.9616861909</v>
      </c>
      <c r="E90" s="129" t="n">
        <f aca="false">E89-C90</f>
        <v>2014652.36716095</v>
      </c>
    </row>
    <row r="91" customFormat="false" ht="15" hidden="false" customHeight="true" outlineLevel="0" collapsed="false">
      <c r="A91" s="127" t="n">
        <v>83</v>
      </c>
      <c r="B91" s="36" t="n">
        <f aca="false">$B$6</f>
        <v>13429.9317634217</v>
      </c>
      <c r="C91" s="36" t="n">
        <f aca="false">B91-D91</f>
        <v>3356.66992761693</v>
      </c>
      <c r="D91" s="36" t="n">
        <f aca="false">E90*$B$4/12</f>
        <v>10073.2618358047</v>
      </c>
      <c r="E91" s="36" t="n">
        <f aca="false">E90-C91</f>
        <v>2011295.69723333</v>
      </c>
    </row>
    <row r="92" customFormat="false" ht="15" hidden="false" customHeight="true" outlineLevel="0" collapsed="false">
      <c r="A92" s="128" t="n">
        <v>84</v>
      </c>
      <c r="B92" s="129" t="n">
        <f aca="false">$B$6</f>
        <v>13429.9317634217</v>
      </c>
      <c r="C92" s="129" t="n">
        <f aca="false">B92-D92</f>
        <v>3373.45327725502</v>
      </c>
      <c r="D92" s="129" t="n">
        <f aca="false">E91*$B$4/12</f>
        <v>10056.4784861666</v>
      </c>
      <c r="E92" s="129" t="n">
        <f aca="false">E91-C92</f>
        <v>2007922.24395607</v>
      </c>
    </row>
    <row r="93" customFormat="false" ht="15" hidden="false" customHeight="true" outlineLevel="0" collapsed="false">
      <c r="A93" s="127" t="n">
        <v>85</v>
      </c>
      <c r="B93" s="36" t="n">
        <f aca="false">$B$6</f>
        <v>13429.9317634217</v>
      </c>
      <c r="C93" s="36" t="n">
        <f aca="false">B93-D93</f>
        <v>3390.32054364129</v>
      </c>
      <c r="D93" s="36" t="n">
        <f aca="false">E92*$B$4/12</f>
        <v>10039.6112197804</v>
      </c>
      <c r="E93" s="36" t="n">
        <f aca="false">E92-C93</f>
        <v>2004531.92341243</v>
      </c>
    </row>
    <row r="94" customFormat="false" ht="15" hidden="false" customHeight="true" outlineLevel="0" collapsed="false">
      <c r="A94" s="128" t="n">
        <v>86</v>
      </c>
      <c r="B94" s="129" t="n">
        <f aca="false">$B$6</f>
        <v>13429.9317634217</v>
      </c>
      <c r="C94" s="129" t="n">
        <f aca="false">B94-D94</f>
        <v>3407.2721463595</v>
      </c>
      <c r="D94" s="129" t="n">
        <f aca="false">E93*$B$4/12</f>
        <v>10022.6596170622</v>
      </c>
      <c r="E94" s="129" t="n">
        <f aca="false">E93-C94</f>
        <v>2001124.65126607</v>
      </c>
    </row>
    <row r="95" customFormat="false" ht="15" hidden="false" customHeight="true" outlineLevel="0" collapsed="false">
      <c r="A95" s="127" t="n">
        <v>87</v>
      </c>
      <c r="B95" s="36" t="n">
        <f aca="false">$B$6</f>
        <v>13429.9317634217</v>
      </c>
      <c r="C95" s="36" t="n">
        <f aca="false">B95-D95</f>
        <v>3424.30850709129</v>
      </c>
      <c r="D95" s="36" t="n">
        <f aca="false">E94*$B$4/12</f>
        <v>10005.6232563304</v>
      </c>
      <c r="E95" s="36" t="n">
        <f aca="false">E94-C95</f>
        <v>1997700.34275898</v>
      </c>
    </row>
    <row r="96" customFormat="false" ht="15" hidden="false" customHeight="true" outlineLevel="0" collapsed="false">
      <c r="A96" s="128" t="n">
        <v>88</v>
      </c>
      <c r="B96" s="129" t="n">
        <f aca="false">$B$6</f>
        <v>13429.9317634217</v>
      </c>
      <c r="C96" s="129" t="n">
        <f aca="false">B96-D96</f>
        <v>3441.43004962675</v>
      </c>
      <c r="D96" s="129" t="n">
        <f aca="false">E95*$B$4/12</f>
        <v>9988.50171379491</v>
      </c>
      <c r="E96" s="129" t="n">
        <f aca="false">E95-C96</f>
        <v>1994258.91270935</v>
      </c>
    </row>
    <row r="97" customFormat="false" ht="15" hidden="false" customHeight="true" outlineLevel="0" collapsed="false">
      <c r="A97" s="127" t="n">
        <v>89</v>
      </c>
      <c r="B97" s="36" t="n">
        <f aca="false">$B$6</f>
        <v>13429.9317634217</v>
      </c>
      <c r="C97" s="36" t="n">
        <f aca="false">B97-D97</f>
        <v>3458.63719987488</v>
      </c>
      <c r="D97" s="36" t="n">
        <f aca="false">E96*$B$4/12</f>
        <v>9971.29456354677</v>
      </c>
      <c r="E97" s="36" t="n">
        <f aca="false">E96-C97</f>
        <v>1990800.27550948</v>
      </c>
    </row>
    <row r="98" customFormat="false" ht="15" hidden="false" customHeight="true" outlineLevel="0" collapsed="false">
      <c r="A98" s="128" t="n">
        <v>90</v>
      </c>
      <c r="B98" s="129" t="n">
        <f aca="false">$B$6</f>
        <v>13429.9317634217</v>
      </c>
      <c r="C98" s="129" t="n">
        <f aca="false">B98-D98</f>
        <v>3475.93038587426</v>
      </c>
      <c r="D98" s="129" t="n">
        <f aca="false">E97*$B$4/12</f>
        <v>9954.0013775474</v>
      </c>
      <c r="E98" s="129" t="n">
        <f aca="false">E97-C98</f>
        <v>1987324.3451236</v>
      </c>
    </row>
    <row r="99" customFormat="false" ht="15" hidden="false" customHeight="true" outlineLevel="0" collapsed="false">
      <c r="A99" s="127" t="n">
        <v>91</v>
      </c>
      <c r="B99" s="36" t="n">
        <f aca="false">$B$6</f>
        <v>13429.9317634217</v>
      </c>
      <c r="C99" s="36" t="n">
        <f aca="false">B99-D99</f>
        <v>3493.31003780363</v>
      </c>
      <c r="D99" s="36" t="n">
        <f aca="false">E98*$B$4/12</f>
        <v>9936.62172561802</v>
      </c>
      <c r="E99" s="36" t="n">
        <f aca="false">E98-C99</f>
        <v>1983831.0350858</v>
      </c>
    </row>
    <row r="100" customFormat="false" ht="15" hidden="false" customHeight="true" outlineLevel="0" collapsed="false">
      <c r="A100" s="128" t="n">
        <v>92</v>
      </c>
      <c r="B100" s="129" t="n">
        <f aca="false">$B$6</f>
        <v>13429.9317634217</v>
      </c>
      <c r="C100" s="129" t="n">
        <f aca="false">B100-D100</f>
        <v>3510.77658799265</v>
      </c>
      <c r="D100" s="129" t="n">
        <f aca="false">E99*$B$4/12</f>
        <v>9919.15517542901</v>
      </c>
      <c r="E100" s="129" t="n">
        <f aca="false">E99-C100</f>
        <v>1980320.25849781</v>
      </c>
    </row>
    <row r="101" customFormat="false" ht="15" hidden="false" customHeight="true" outlineLevel="0" collapsed="false">
      <c r="A101" s="127" t="n">
        <v>93</v>
      </c>
      <c r="B101" s="36" t="n">
        <f aca="false">$B$6</f>
        <v>13429.9317634217</v>
      </c>
      <c r="C101" s="36" t="n">
        <f aca="false">B101-D101</f>
        <v>3528.33047093261</v>
      </c>
      <c r="D101" s="36" t="n">
        <f aca="false">E100*$B$4/12</f>
        <v>9901.60129248904</v>
      </c>
      <c r="E101" s="36" t="n">
        <f aca="false">E100-C101</f>
        <v>1976791.92802688</v>
      </c>
    </row>
    <row r="102" customFormat="false" ht="15" hidden="false" customHeight="true" outlineLevel="0" collapsed="false">
      <c r="A102" s="128" t="n">
        <v>94</v>
      </c>
      <c r="B102" s="129" t="n">
        <f aca="false">$B$6</f>
        <v>13429.9317634217</v>
      </c>
      <c r="C102" s="129" t="n">
        <f aca="false">B102-D102</f>
        <v>3545.97212328728</v>
      </c>
      <c r="D102" s="129" t="n">
        <f aca="false">E101*$B$4/12</f>
        <v>9883.95964013438</v>
      </c>
      <c r="E102" s="129" t="n">
        <f aca="false">E101-C102</f>
        <v>1973245.95590359</v>
      </c>
    </row>
    <row r="103" customFormat="false" ht="15" hidden="false" customHeight="true" outlineLevel="0" collapsed="false">
      <c r="A103" s="127" t="n">
        <v>95</v>
      </c>
      <c r="B103" s="36" t="n">
        <f aca="false">$B$6</f>
        <v>13429.9317634217</v>
      </c>
      <c r="C103" s="36" t="n">
        <f aca="false">B103-D103</f>
        <v>3563.70198390371</v>
      </c>
      <c r="D103" s="36" t="n">
        <f aca="false">E102*$B$4/12</f>
        <v>9866.22977951794</v>
      </c>
      <c r="E103" s="36" t="n">
        <f aca="false">E102-C103</f>
        <v>1969682.25391968</v>
      </c>
    </row>
    <row r="104" customFormat="false" ht="15" hidden="false" customHeight="true" outlineLevel="0" collapsed="false">
      <c r="A104" s="128" t="n">
        <v>96</v>
      </c>
      <c r="B104" s="129" t="n">
        <f aca="false">$B$6</f>
        <v>13429.9317634217</v>
      </c>
      <c r="C104" s="129" t="n">
        <f aca="false">B104-D104</f>
        <v>3581.52049382323</v>
      </c>
      <c r="D104" s="129" t="n">
        <f aca="false">E103*$B$4/12</f>
        <v>9848.41126959842</v>
      </c>
      <c r="E104" s="129" t="n">
        <f aca="false">E103-C104</f>
        <v>1966100.73342586</v>
      </c>
    </row>
    <row r="105" customFormat="false" ht="15" hidden="false" customHeight="true" outlineLevel="0" collapsed="false">
      <c r="A105" s="127" t="n">
        <v>97</v>
      </c>
      <c r="B105" s="36" t="n">
        <f aca="false">$B$6</f>
        <v>13429.9317634217</v>
      </c>
      <c r="C105" s="36" t="n">
        <f aca="false">B105-D105</f>
        <v>3599.42809629235</v>
      </c>
      <c r="D105" s="36" t="n">
        <f aca="false">E104*$B$4/12</f>
        <v>9830.50366712931</v>
      </c>
      <c r="E105" s="36" t="n">
        <f aca="false">E104-C105</f>
        <v>1962501.30532957</v>
      </c>
    </row>
    <row r="106" customFormat="false" ht="15" hidden="false" customHeight="true" outlineLevel="0" collapsed="false">
      <c r="A106" s="128" t="n">
        <v>98</v>
      </c>
      <c r="B106" s="129" t="n">
        <f aca="false">$B$6</f>
        <v>13429.9317634217</v>
      </c>
      <c r="C106" s="129" t="n">
        <f aca="false">B106-D106</f>
        <v>3617.42523677381</v>
      </c>
      <c r="D106" s="129" t="n">
        <f aca="false">E105*$B$4/12</f>
        <v>9812.50652664785</v>
      </c>
      <c r="E106" s="129" t="n">
        <f aca="false">E105-C106</f>
        <v>1958883.8800928</v>
      </c>
    </row>
    <row r="107" customFormat="false" ht="15" hidden="false" customHeight="true" outlineLevel="0" collapsed="false">
      <c r="A107" s="127" t="n">
        <v>99</v>
      </c>
      <c r="B107" s="36" t="n">
        <f aca="false">$B$6</f>
        <v>13429.9317634217</v>
      </c>
      <c r="C107" s="36" t="n">
        <f aca="false">B107-D107</f>
        <v>3635.51236295768</v>
      </c>
      <c r="D107" s="36" t="n">
        <f aca="false">E106*$B$4/12</f>
        <v>9794.41940046398</v>
      </c>
      <c r="E107" s="36" t="n">
        <f aca="false">E106-C107</f>
        <v>1955248.36772984</v>
      </c>
    </row>
    <row r="108" customFormat="false" ht="15" hidden="false" customHeight="true" outlineLevel="0" collapsed="false">
      <c r="A108" s="128" t="n">
        <v>100</v>
      </c>
      <c r="B108" s="129" t="n">
        <f aca="false">$B$6</f>
        <v>13429.9317634217</v>
      </c>
      <c r="C108" s="129" t="n">
        <f aca="false">B108-D108</f>
        <v>3653.68992477247</v>
      </c>
      <c r="D108" s="129" t="n">
        <f aca="false">E107*$B$4/12</f>
        <v>9776.24183864919</v>
      </c>
      <c r="E108" s="129" t="n">
        <f aca="false">E107-C108</f>
        <v>1951594.67780507</v>
      </c>
    </row>
    <row r="109" customFormat="false" ht="15" hidden="false" customHeight="true" outlineLevel="0" collapsed="false">
      <c r="A109" s="127" t="n">
        <v>101</v>
      </c>
      <c r="B109" s="36" t="n">
        <f aca="false">$B$6</f>
        <v>13429.9317634217</v>
      </c>
      <c r="C109" s="36" t="n">
        <f aca="false">B109-D109</f>
        <v>3671.95837439633</v>
      </c>
      <c r="D109" s="36" t="n">
        <f aca="false">E108*$B$4/12</f>
        <v>9757.97338902533</v>
      </c>
      <c r="E109" s="36" t="n">
        <f aca="false">E108-C109</f>
        <v>1947922.71943067</v>
      </c>
    </row>
    <row r="110" customFormat="false" ht="15" hidden="false" customHeight="true" outlineLevel="0" collapsed="false">
      <c r="A110" s="128" t="n">
        <v>102</v>
      </c>
      <c r="B110" s="129" t="n">
        <f aca="false">$B$6</f>
        <v>13429.9317634217</v>
      </c>
      <c r="C110" s="129" t="n">
        <f aca="false">B110-D110</f>
        <v>3690.31816626831</v>
      </c>
      <c r="D110" s="129" t="n">
        <f aca="false">E109*$B$4/12</f>
        <v>9739.61359715334</v>
      </c>
      <c r="E110" s="129" t="n">
        <f aca="false">E109-C110</f>
        <v>1944232.4012644</v>
      </c>
    </row>
    <row r="111" customFormat="false" ht="15" hidden="false" customHeight="true" outlineLevel="0" collapsed="false">
      <c r="A111" s="127" t="n">
        <v>103</v>
      </c>
      <c r="B111" s="36" t="n">
        <f aca="false">$B$6</f>
        <v>13429.9317634217</v>
      </c>
      <c r="C111" s="36" t="n">
        <f aca="false">B111-D111</f>
        <v>3708.76975709965</v>
      </c>
      <c r="D111" s="36" t="n">
        <f aca="false">E110*$B$4/12</f>
        <v>9721.162006322</v>
      </c>
      <c r="E111" s="36" t="n">
        <f aca="false">E110-C111</f>
        <v>1940523.6315073</v>
      </c>
    </row>
    <row r="112" customFormat="false" ht="15" hidden="false" customHeight="true" outlineLevel="0" collapsed="false">
      <c r="A112" s="128" t="n">
        <v>104</v>
      </c>
      <c r="B112" s="129" t="n">
        <f aca="false">$B$6</f>
        <v>13429.9317634217</v>
      </c>
      <c r="C112" s="129" t="n">
        <f aca="false">B112-D112</f>
        <v>3727.31360588515</v>
      </c>
      <c r="D112" s="129" t="n">
        <f aca="false">E111*$B$4/12</f>
        <v>9702.6181575365</v>
      </c>
      <c r="E112" s="129" t="n">
        <f aca="false">E111-C112</f>
        <v>1936796.31790142</v>
      </c>
    </row>
    <row r="113" customFormat="false" ht="15" hidden="false" customHeight="true" outlineLevel="0" collapsed="false">
      <c r="A113" s="127" t="n">
        <v>105</v>
      </c>
      <c r="B113" s="36" t="n">
        <f aca="false">$B$6</f>
        <v>13429.9317634217</v>
      </c>
      <c r="C113" s="36" t="n">
        <f aca="false">B113-D113</f>
        <v>3745.95017391458</v>
      </c>
      <c r="D113" s="36" t="n">
        <f aca="false">E112*$B$4/12</f>
        <v>9683.98158950708</v>
      </c>
      <c r="E113" s="36" t="n">
        <f aca="false">E112-C113</f>
        <v>1933050.3677275</v>
      </c>
    </row>
    <row r="114" customFormat="false" ht="15" hidden="false" customHeight="true" outlineLevel="0" collapsed="false">
      <c r="A114" s="128" t="n">
        <v>106</v>
      </c>
      <c r="B114" s="129" t="n">
        <f aca="false">$B$6</f>
        <v>13429.9317634217</v>
      </c>
      <c r="C114" s="129" t="n">
        <f aca="false">B114-D114</f>
        <v>3764.67992478415</v>
      </c>
      <c r="D114" s="129" t="n">
        <f aca="false">E113*$B$4/12</f>
        <v>9665.2518386375</v>
      </c>
      <c r="E114" s="129" t="n">
        <f aca="false">E113-C114</f>
        <v>1929285.68780272</v>
      </c>
    </row>
    <row r="115" customFormat="false" ht="15" hidden="false" customHeight="true" outlineLevel="0" collapsed="false">
      <c r="A115" s="127" t="n">
        <v>107</v>
      </c>
      <c r="B115" s="36" t="n">
        <f aca="false">$B$6</f>
        <v>13429.9317634217</v>
      </c>
      <c r="C115" s="36" t="n">
        <f aca="false">B115-D115</f>
        <v>3783.50332440807</v>
      </c>
      <c r="D115" s="36" t="n">
        <f aca="false">E114*$B$4/12</f>
        <v>9646.42843901358</v>
      </c>
      <c r="E115" s="36" t="n">
        <f aca="false">E114-C115</f>
        <v>1925502.18447831</v>
      </c>
    </row>
    <row r="116" customFormat="false" ht="15" hidden="false" customHeight="true" outlineLevel="0" collapsed="false">
      <c r="A116" s="128" t="n">
        <v>108</v>
      </c>
      <c r="B116" s="129" t="n">
        <f aca="false">$B$6</f>
        <v>13429.9317634217</v>
      </c>
      <c r="C116" s="129" t="n">
        <f aca="false">B116-D116</f>
        <v>3802.42084103011</v>
      </c>
      <c r="D116" s="129" t="n">
        <f aca="false">E115*$B$4/12</f>
        <v>9627.51092239154</v>
      </c>
      <c r="E116" s="129" t="n">
        <f aca="false">E115-C116</f>
        <v>1921699.76363728</v>
      </c>
    </row>
    <row r="117" customFormat="false" ht="15" hidden="false" customHeight="true" outlineLevel="0" collapsed="false">
      <c r="A117" s="127" t="n">
        <v>109</v>
      </c>
      <c r="B117" s="36" t="n">
        <f aca="false">$B$6</f>
        <v>13429.9317634217</v>
      </c>
      <c r="C117" s="36" t="n">
        <f aca="false">B117-D117</f>
        <v>3821.43294523526</v>
      </c>
      <c r="D117" s="36" t="n">
        <f aca="false">E116*$B$4/12</f>
        <v>9608.49881818639</v>
      </c>
      <c r="E117" s="36" t="n">
        <f aca="false">E116-C117</f>
        <v>1917878.33069204</v>
      </c>
    </row>
    <row r="118" customFormat="false" ht="15" hidden="false" customHeight="true" outlineLevel="0" collapsed="false">
      <c r="A118" s="128" t="n">
        <v>110</v>
      </c>
      <c r="B118" s="129" t="n">
        <f aca="false">$B$6</f>
        <v>13429.9317634217</v>
      </c>
      <c r="C118" s="129" t="n">
        <f aca="false">B118-D118</f>
        <v>3840.54010996144</v>
      </c>
      <c r="D118" s="129" t="n">
        <f aca="false">E117*$B$4/12</f>
        <v>9589.39165346022</v>
      </c>
      <c r="E118" s="129" t="n">
        <f aca="false">E117-C118</f>
        <v>1914037.79058208</v>
      </c>
    </row>
    <row r="119" customFormat="false" ht="15" hidden="false" customHeight="true" outlineLevel="0" collapsed="false">
      <c r="A119" s="127" t="n">
        <v>111</v>
      </c>
      <c r="B119" s="36" t="n">
        <f aca="false">$B$6</f>
        <v>13429.9317634217</v>
      </c>
      <c r="C119" s="36" t="n">
        <f aca="false">B119-D119</f>
        <v>3859.74281051125</v>
      </c>
      <c r="D119" s="36" t="n">
        <f aca="false">E118*$B$4/12</f>
        <v>9570.18895291041</v>
      </c>
      <c r="E119" s="36" t="n">
        <f aca="false">E118-C119</f>
        <v>1910178.04777157</v>
      </c>
    </row>
    <row r="120" customFormat="false" ht="15" hidden="false" customHeight="true" outlineLevel="0" collapsed="false">
      <c r="A120" s="128" t="n">
        <v>112</v>
      </c>
      <c r="B120" s="129" t="n">
        <f aca="false">$B$6</f>
        <v>13429.9317634217</v>
      </c>
      <c r="C120" s="129" t="n">
        <f aca="false">B120-D120</f>
        <v>3879.0415245638</v>
      </c>
      <c r="D120" s="129" t="n">
        <f aca="false">E119*$B$4/12</f>
        <v>9550.89023885785</v>
      </c>
      <c r="E120" s="129" t="n">
        <f aca="false">E119-C120</f>
        <v>1906299.00624701</v>
      </c>
    </row>
    <row r="121" customFormat="false" ht="15" hidden="false" customHeight="true" outlineLevel="0" collapsed="false">
      <c r="A121" s="127" t="n">
        <v>113</v>
      </c>
      <c r="B121" s="36" t="n">
        <f aca="false">$B$6</f>
        <v>13429.9317634217</v>
      </c>
      <c r="C121" s="36" t="n">
        <f aca="false">B121-D121</f>
        <v>3898.43673218662</v>
      </c>
      <c r="D121" s="36" t="n">
        <f aca="false">E120*$B$4/12</f>
        <v>9531.49503123503</v>
      </c>
      <c r="E121" s="36" t="n">
        <f aca="false">E120-C121</f>
        <v>1902400.56951482</v>
      </c>
    </row>
    <row r="122" customFormat="false" ht="15" hidden="false" customHeight="true" outlineLevel="0" collapsed="false">
      <c r="A122" s="128" t="n">
        <v>114</v>
      </c>
      <c r="B122" s="129" t="n">
        <f aca="false">$B$6</f>
        <v>13429.9317634217</v>
      </c>
      <c r="C122" s="129" t="n">
        <f aca="false">B122-D122</f>
        <v>3917.92891584756</v>
      </c>
      <c r="D122" s="129" t="n">
        <f aca="false">E121*$B$4/12</f>
        <v>9512.0028475741</v>
      </c>
      <c r="E122" s="129" t="n">
        <f aca="false">E121-C122</f>
        <v>1898482.64059897</v>
      </c>
    </row>
    <row r="123" customFormat="false" ht="15" hidden="false" customHeight="true" outlineLevel="0" collapsed="false">
      <c r="A123" s="127" t="n">
        <v>115</v>
      </c>
      <c r="B123" s="36" t="n">
        <f aca="false">$B$6</f>
        <v>13429.9317634217</v>
      </c>
      <c r="C123" s="36" t="n">
        <f aca="false">B123-D123</f>
        <v>3937.51856042679</v>
      </c>
      <c r="D123" s="36" t="n">
        <f aca="false">E122*$B$4/12</f>
        <v>9492.41320299486</v>
      </c>
      <c r="E123" s="36" t="n">
        <f aca="false">E122-C123</f>
        <v>1894545.12203855</v>
      </c>
    </row>
    <row r="124" customFormat="false" ht="15" hidden="false" customHeight="true" outlineLevel="0" collapsed="false">
      <c r="A124" s="128" t="n">
        <v>116</v>
      </c>
      <c r="B124" s="129" t="n">
        <f aca="false">$B$6</f>
        <v>13429.9317634217</v>
      </c>
      <c r="C124" s="129" t="n">
        <f aca="false">B124-D124</f>
        <v>3957.20615322893</v>
      </c>
      <c r="D124" s="129" t="n">
        <f aca="false">E123*$B$4/12</f>
        <v>9472.72561019273</v>
      </c>
      <c r="E124" s="129" t="n">
        <f aca="false">E123-C124</f>
        <v>1890587.91588532</v>
      </c>
    </row>
    <row r="125" customFormat="false" ht="15" hidden="false" customHeight="true" outlineLevel="0" collapsed="false">
      <c r="A125" s="127" t="n">
        <v>117</v>
      </c>
      <c r="B125" s="36" t="n">
        <f aca="false">$B$6</f>
        <v>13429.9317634217</v>
      </c>
      <c r="C125" s="36" t="n">
        <f aca="false">B125-D125</f>
        <v>3976.99218399507</v>
      </c>
      <c r="D125" s="36" t="n">
        <f aca="false">E124*$B$4/12</f>
        <v>9452.93957942658</v>
      </c>
      <c r="E125" s="36" t="n">
        <f aca="false">E124-C125</f>
        <v>1886610.92370132</v>
      </c>
    </row>
    <row r="126" customFormat="false" ht="15" hidden="false" customHeight="true" outlineLevel="0" collapsed="false">
      <c r="A126" s="128" t="n">
        <v>118</v>
      </c>
      <c r="B126" s="129" t="n">
        <f aca="false">$B$6</f>
        <v>13429.9317634217</v>
      </c>
      <c r="C126" s="129" t="n">
        <f aca="false">B126-D126</f>
        <v>3996.87714491505</v>
      </c>
      <c r="D126" s="129" t="n">
        <f aca="false">E125*$B$4/12</f>
        <v>9433.05461850661</v>
      </c>
      <c r="E126" s="129" t="n">
        <f aca="false">E125-C126</f>
        <v>1882614.04655641</v>
      </c>
    </row>
    <row r="127" customFormat="false" ht="15" hidden="false" customHeight="true" outlineLevel="0" collapsed="false">
      <c r="A127" s="127" t="n">
        <v>119</v>
      </c>
      <c r="B127" s="36" t="n">
        <f aca="false">$B$6</f>
        <v>13429.9317634217</v>
      </c>
      <c r="C127" s="36" t="n">
        <f aca="false">B127-D127</f>
        <v>4016.86153063962</v>
      </c>
      <c r="D127" s="36" t="n">
        <f aca="false">E126*$B$4/12</f>
        <v>9413.07023278203</v>
      </c>
      <c r="E127" s="36" t="n">
        <f aca="false">E126-C127</f>
        <v>1878597.18502577</v>
      </c>
    </row>
    <row r="128" customFormat="false" ht="15" hidden="false" customHeight="true" outlineLevel="0" collapsed="false">
      <c r="A128" s="128" t="n">
        <v>120</v>
      </c>
      <c r="B128" s="129" t="n">
        <f aca="false">$B$6</f>
        <v>13429.9317634217</v>
      </c>
      <c r="C128" s="129" t="n">
        <f aca="false">B128-D128</f>
        <v>4036.94583829282</v>
      </c>
      <c r="D128" s="129" t="n">
        <f aca="false">E127*$B$4/12</f>
        <v>9392.98592512883</v>
      </c>
      <c r="E128" s="129" t="n">
        <f aca="false">E127-C128</f>
        <v>1874560.23918747</v>
      </c>
    </row>
    <row r="129" customFormat="false" ht="15" hidden="false" customHeight="true" outlineLevel="0" collapsed="false">
      <c r="A129" s="127" t="n">
        <v>121</v>
      </c>
      <c r="B129" s="36" t="n">
        <f aca="false">$B$6</f>
        <v>13429.9317634217</v>
      </c>
      <c r="C129" s="36" t="n">
        <f aca="false">B129-D129</f>
        <v>4057.13056748428</v>
      </c>
      <c r="D129" s="36" t="n">
        <f aca="false">E128*$B$4/12</f>
        <v>9372.80119593737</v>
      </c>
      <c r="E129" s="36" t="n">
        <f aca="false">E128-C129</f>
        <v>1870503.10861999</v>
      </c>
    </row>
    <row r="130" customFormat="false" ht="15" hidden="false" customHeight="true" outlineLevel="0" collapsed="false">
      <c r="A130" s="128" t="n">
        <v>122</v>
      </c>
      <c r="B130" s="129" t="n">
        <f aca="false">$B$6</f>
        <v>13429.9317634217</v>
      </c>
      <c r="C130" s="129" t="n">
        <f aca="false">B130-D130</f>
        <v>4077.41622032171</v>
      </c>
      <c r="D130" s="129" t="n">
        <f aca="false">E129*$B$4/12</f>
        <v>9352.51554309995</v>
      </c>
      <c r="E130" s="129" t="n">
        <f aca="false">E129-C130</f>
        <v>1866425.69239967</v>
      </c>
    </row>
    <row r="131" customFormat="false" ht="15" hidden="false" customHeight="true" outlineLevel="0" collapsed="false">
      <c r="A131" s="127" t="n">
        <v>123</v>
      </c>
      <c r="B131" s="36" t="n">
        <f aca="false">$B$6</f>
        <v>13429.9317634217</v>
      </c>
      <c r="C131" s="36" t="n">
        <f aca="false">B131-D131</f>
        <v>4097.80330142332</v>
      </c>
      <c r="D131" s="36" t="n">
        <f aca="false">E130*$B$4/12</f>
        <v>9332.12846199834</v>
      </c>
      <c r="E131" s="36" t="n">
        <f aca="false">E130-C131</f>
        <v>1862327.88909824</v>
      </c>
    </row>
    <row r="132" customFormat="false" ht="15" hidden="false" customHeight="true" outlineLevel="0" collapsed="false">
      <c r="A132" s="128" t="n">
        <v>124</v>
      </c>
      <c r="B132" s="129" t="n">
        <f aca="false">$B$6</f>
        <v>13429.9317634217</v>
      </c>
      <c r="C132" s="129" t="n">
        <f aca="false">B132-D132</f>
        <v>4118.29231793043</v>
      </c>
      <c r="D132" s="129" t="n">
        <f aca="false">E131*$B$4/12</f>
        <v>9311.63944549122</v>
      </c>
      <c r="E132" s="129" t="n">
        <f aca="false">E131-C132</f>
        <v>1858209.59678031</v>
      </c>
    </row>
    <row r="133" customFormat="false" ht="15" hidden="false" customHeight="true" outlineLevel="0" collapsed="false">
      <c r="A133" s="127" t="n">
        <v>125</v>
      </c>
      <c r="B133" s="36" t="n">
        <f aca="false">$B$6</f>
        <v>13429.9317634217</v>
      </c>
      <c r="C133" s="36" t="n">
        <f aca="false">B133-D133</f>
        <v>4138.88377952008</v>
      </c>
      <c r="D133" s="36" t="n">
        <f aca="false">E132*$B$4/12</f>
        <v>9291.04798390157</v>
      </c>
      <c r="E133" s="36" t="n">
        <f aca="false">E132-C133</f>
        <v>1854070.71300079</v>
      </c>
    </row>
    <row r="134" customFormat="false" ht="15" hidden="false" customHeight="true" outlineLevel="0" collapsed="false">
      <c r="A134" s="128" t="n">
        <v>126</v>
      </c>
      <c r="B134" s="129" t="n">
        <f aca="false">$B$6</f>
        <v>13429.9317634217</v>
      </c>
      <c r="C134" s="129" t="n">
        <f aca="false">B134-D134</f>
        <v>4159.57819841769</v>
      </c>
      <c r="D134" s="129" t="n">
        <f aca="false">E133*$B$4/12</f>
        <v>9270.35356500397</v>
      </c>
      <c r="E134" s="129" t="n">
        <f aca="false">E133-C134</f>
        <v>1849911.13480238</v>
      </c>
    </row>
    <row r="135" customFormat="false" ht="15" hidden="false" customHeight="true" outlineLevel="0" collapsed="false">
      <c r="A135" s="127" t="n">
        <v>127</v>
      </c>
      <c r="B135" s="36" t="n">
        <f aca="false">$B$6</f>
        <v>13429.9317634217</v>
      </c>
      <c r="C135" s="36" t="n">
        <f aca="false">B135-D135</f>
        <v>4180.37608940977</v>
      </c>
      <c r="D135" s="36" t="n">
        <f aca="false">E134*$B$4/12</f>
        <v>9249.55567401188</v>
      </c>
      <c r="E135" s="36" t="n">
        <f aca="false">E134-C135</f>
        <v>1845730.75871297</v>
      </c>
    </row>
    <row r="136" customFormat="false" ht="15" hidden="false" customHeight="true" outlineLevel="0" collapsed="false">
      <c r="A136" s="128" t="n">
        <v>128</v>
      </c>
      <c r="B136" s="129" t="n">
        <f aca="false">$B$6</f>
        <v>13429.9317634217</v>
      </c>
      <c r="C136" s="129" t="n">
        <f aca="false">B136-D136</f>
        <v>4201.27796985682</v>
      </c>
      <c r="D136" s="129" t="n">
        <f aca="false">E135*$B$4/12</f>
        <v>9228.65379356483</v>
      </c>
      <c r="E136" s="129" t="n">
        <f aca="false">E135-C136</f>
        <v>1841529.48074311</v>
      </c>
    </row>
    <row r="137" customFormat="false" ht="15" hidden="false" customHeight="true" outlineLevel="0" collapsed="false">
      <c r="A137" s="127" t="n">
        <v>129</v>
      </c>
      <c r="B137" s="36" t="n">
        <f aca="false">$B$6</f>
        <v>13429.9317634217</v>
      </c>
      <c r="C137" s="36" t="n">
        <f aca="false">B137-D137</f>
        <v>4222.28435970611</v>
      </c>
      <c r="D137" s="36" t="n">
        <f aca="false">E136*$B$4/12</f>
        <v>9207.64740371555</v>
      </c>
      <c r="E137" s="36" t="n">
        <f aca="false">E136-C137</f>
        <v>1837307.1963834</v>
      </c>
    </row>
    <row r="138" customFormat="false" ht="15" hidden="false" customHeight="true" outlineLevel="0" collapsed="false">
      <c r="A138" s="128" t="n">
        <v>130</v>
      </c>
      <c r="B138" s="129" t="n">
        <f aca="false">$B$6</f>
        <v>13429.9317634217</v>
      </c>
      <c r="C138" s="129" t="n">
        <f aca="false">B138-D138</f>
        <v>4243.39578150464</v>
      </c>
      <c r="D138" s="129" t="n">
        <f aca="false">E137*$B$4/12</f>
        <v>9186.53598191702</v>
      </c>
      <c r="E138" s="129" t="n">
        <f aca="false">E137-C138</f>
        <v>1833063.8006019</v>
      </c>
    </row>
    <row r="139" customFormat="false" ht="15" hidden="false" customHeight="true" outlineLevel="0" collapsed="false">
      <c r="A139" s="127" t="n">
        <v>131</v>
      </c>
      <c r="B139" s="36" t="n">
        <f aca="false">$B$6</f>
        <v>13429.9317634217</v>
      </c>
      <c r="C139" s="36" t="n">
        <f aca="false">B139-D139</f>
        <v>4264.61276041216</v>
      </c>
      <c r="D139" s="36" t="n">
        <f aca="false">E138*$B$4/12</f>
        <v>9165.3190030095</v>
      </c>
      <c r="E139" s="36" t="n">
        <f aca="false">E138-C139</f>
        <v>1828799.18784149</v>
      </c>
    </row>
    <row r="140" customFormat="false" ht="15" hidden="false" customHeight="true" outlineLevel="0" collapsed="false">
      <c r="A140" s="128" t="n">
        <v>132</v>
      </c>
      <c r="B140" s="129" t="n">
        <f aca="false">$B$6</f>
        <v>13429.9317634217</v>
      </c>
      <c r="C140" s="129" t="n">
        <f aca="false">B140-D140</f>
        <v>4285.93582421422</v>
      </c>
      <c r="D140" s="129" t="n">
        <f aca="false">E139*$B$4/12</f>
        <v>9143.99593920743</v>
      </c>
      <c r="E140" s="129" t="n">
        <f aca="false">E139-C140</f>
        <v>1824513.25201727</v>
      </c>
    </row>
    <row r="141" customFormat="false" ht="15" hidden="false" customHeight="true" outlineLevel="0" collapsed="false">
      <c r="A141" s="127" t="n">
        <v>133</v>
      </c>
      <c r="B141" s="36" t="n">
        <f aca="false">$B$6</f>
        <v>13429.9317634217</v>
      </c>
      <c r="C141" s="36" t="n">
        <f aca="false">B141-D141</f>
        <v>4307.36550333529</v>
      </c>
      <c r="D141" s="36" t="n">
        <f aca="false">E140*$B$4/12</f>
        <v>9122.56626008636</v>
      </c>
      <c r="E141" s="36" t="n">
        <f aca="false">E140-C141</f>
        <v>1820205.88651394</v>
      </c>
    </row>
    <row r="142" customFormat="false" ht="15" hidden="false" customHeight="true" outlineLevel="0" collapsed="false">
      <c r="A142" s="128" t="n">
        <v>134</v>
      </c>
      <c r="B142" s="129" t="n">
        <f aca="false">$B$6</f>
        <v>13429.9317634217</v>
      </c>
      <c r="C142" s="129" t="n">
        <f aca="false">B142-D142</f>
        <v>4328.90233085197</v>
      </c>
      <c r="D142" s="129" t="n">
        <f aca="false">E141*$B$4/12</f>
        <v>9101.02943256969</v>
      </c>
      <c r="E142" s="129" t="n">
        <f aca="false">E141-C142</f>
        <v>1815876.98418309</v>
      </c>
    </row>
    <row r="143" customFormat="false" ht="15" hidden="false" customHeight="true" outlineLevel="0" collapsed="false">
      <c r="A143" s="127" t="n">
        <v>135</v>
      </c>
      <c r="B143" s="36" t="n">
        <f aca="false">$B$6</f>
        <v>13429.9317634217</v>
      </c>
      <c r="C143" s="36" t="n">
        <f aca="false">B143-D143</f>
        <v>4350.54684250623</v>
      </c>
      <c r="D143" s="36" t="n">
        <f aca="false">E142*$B$4/12</f>
        <v>9079.38492091543</v>
      </c>
      <c r="E143" s="36" t="n">
        <f aca="false">E142-C143</f>
        <v>1811526.43734058</v>
      </c>
    </row>
    <row r="144" customFormat="false" ht="15" hidden="false" customHeight="true" outlineLevel="0" collapsed="false">
      <c r="A144" s="128" t="n">
        <v>136</v>
      </c>
      <c r="B144" s="129" t="n">
        <f aca="false">$B$6</f>
        <v>13429.9317634217</v>
      </c>
      <c r="C144" s="129" t="n">
        <f aca="false">B144-D144</f>
        <v>4372.29957671876</v>
      </c>
      <c r="D144" s="129" t="n">
        <f aca="false">E143*$B$4/12</f>
        <v>9057.6321867029</v>
      </c>
      <c r="E144" s="129" t="n">
        <f aca="false">E143-C144</f>
        <v>1807154.13776386</v>
      </c>
    </row>
    <row r="145" customFormat="false" ht="15" hidden="false" customHeight="true" outlineLevel="0" collapsed="false">
      <c r="A145" s="127" t="n">
        <v>137</v>
      </c>
      <c r="B145" s="36" t="n">
        <f aca="false">$B$6</f>
        <v>13429.9317634217</v>
      </c>
      <c r="C145" s="36" t="n">
        <f aca="false">B145-D145</f>
        <v>4394.16107460235</v>
      </c>
      <c r="D145" s="36" t="n">
        <f aca="false">E144*$B$4/12</f>
        <v>9035.7706888193</v>
      </c>
      <c r="E145" s="36" t="n">
        <f aca="false">E144-C145</f>
        <v>1802759.97668926</v>
      </c>
    </row>
    <row r="146" customFormat="false" ht="15" hidden="false" customHeight="true" outlineLevel="0" collapsed="false">
      <c r="A146" s="128" t="n">
        <v>138</v>
      </c>
      <c r="B146" s="129" t="n">
        <f aca="false">$B$6</f>
        <v>13429.9317634217</v>
      </c>
      <c r="C146" s="129" t="n">
        <f aca="false">B146-D146</f>
        <v>4416.13187997536</v>
      </c>
      <c r="D146" s="129" t="n">
        <f aca="false">E145*$B$4/12</f>
        <v>9013.79988344629</v>
      </c>
      <c r="E146" s="129" t="n">
        <f aca="false">E145-C146</f>
        <v>1798343.84480928</v>
      </c>
    </row>
    <row r="147" customFormat="false" ht="15" hidden="false" customHeight="true" outlineLevel="0" collapsed="false">
      <c r="A147" s="127" t="n">
        <v>139</v>
      </c>
      <c r="B147" s="36" t="n">
        <f aca="false">$B$6</f>
        <v>13429.9317634217</v>
      </c>
      <c r="C147" s="36" t="n">
        <f aca="false">B147-D147</f>
        <v>4438.21253937524</v>
      </c>
      <c r="D147" s="36" t="n">
        <f aca="false">E146*$B$4/12</f>
        <v>8991.71922404641</v>
      </c>
      <c r="E147" s="36" t="n">
        <f aca="false">E146-C147</f>
        <v>1793905.63226991</v>
      </c>
    </row>
    <row r="148" customFormat="false" ht="15" hidden="false" customHeight="true" outlineLevel="0" collapsed="false">
      <c r="A148" s="128" t="n">
        <v>140</v>
      </c>
      <c r="B148" s="129" t="n">
        <f aca="false">$B$6</f>
        <v>13429.9317634217</v>
      </c>
      <c r="C148" s="129" t="n">
        <f aca="false">B148-D148</f>
        <v>4460.40360207212</v>
      </c>
      <c r="D148" s="129" t="n">
        <f aca="false">E147*$B$4/12</f>
        <v>8969.52816134954</v>
      </c>
      <c r="E148" s="129" t="n">
        <f aca="false">E147-C148</f>
        <v>1789445.22866784</v>
      </c>
    </row>
    <row r="149" customFormat="false" ht="15" hidden="false" customHeight="true" outlineLevel="0" collapsed="false">
      <c r="A149" s="127" t="n">
        <v>141</v>
      </c>
      <c r="B149" s="36" t="n">
        <f aca="false">$B$6</f>
        <v>13429.9317634217</v>
      </c>
      <c r="C149" s="36" t="n">
        <f aca="false">B149-D149</f>
        <v>4482.70562008248</v>
      </c>
      <c r="D149" s="36" t="n">
        <f aca="false">E148*$B$4/12</f>
        <v>8947.22614333918</v>
      </c>
      <c r="E149" s="36" t="n">
        <f aca="false">E148-C149</f>
        <v>1784962.52304775</v>
      </c>
    </row>
    <row r="150" customFormat="false" ht="15" hidden="false" customHeight="true" outlineLevel="0" collapsed="false">
      <c r="A150" s="128" t="n">
        <v>142</v>
      </c>
      <c r="B150" s="129" t="n">
        <f aca="false">$B$6</f>
        <v>13429.9317634217</v>
      </c>
      <c r="C150" s="129" t="n">
        <f aca="false">B150-D150</f>
        <v>4505.11914818289</v>
      </c>
      <c r="D150" s="129" t="n">
        <f aca="false">E149*$B$4/12</f>
        <v>8924.81261523877</v>
      </c>
      <c r="E150" s="129" t="n">
        <f aca="false">E149-C150</f>
        <v>1780457.40389957</v>
      </c>
    </row>
    <row r="151" customFormat="false" ht="15" hidden="false" customHeight="true" outlineLevel="0" collapsed="false">
      <c r="A151" s="127" t="n">
        <v>143</v>
      </c>
      <c r="B151" s="36" t="n">
        <f aca="false">$B$6</f>
        <v>13429.9317634217</v>
      </c>
      <c r="C151" s="36" t="n">
        <f aca="false">B151-D151</f>
        <v>4527.64474392381</v>
      </c>
      <c r="D151" s="36" t="n">
        <f aca="false">E150*$B$4/12</f>
        <v>8902.28701949785</v>
      </c>
      <c r="E151" s="36" t="n">
        <f aca="false">E150-C151</f>
        <v>1775929.75915565</v>
      </c>
    </row>
    <row r="152" customFormat="false" ht="15" hidden="false" customHeight="true" outlineLevel="0" collapsed="false">
      <c r="A152" s="128" t="n">
        <v>144</v>
      </c>
      <c r="B152" s="129" t="n">
        <f aca="false">$B$6</f>
        <v>13429.9317634217</v>
      </c>
      <c r="C152" s="129" t="n">
        <f aca="false">B152-D152</f>
        <v>4550.28296764343</v>
      </c>
      <c r="D152" s="129" t="n">
        <f aca="false">E151*$B$4/12</f>
        <v>8879.64879577823</v>
      </c>
      <c r="E152" s="129" t="n">
        <f aca="false">E151-C152</f>
        <v>1771379.476188</v>
      </c>
    </row>
    <row r="153" customFormat="false" ht="15" hidden="false" customHeight="true" outlineLevel="0" collapsed="false">
      <c r="A153" s="127" t="n">
        <v>145</v>
      </c>
      <c r="B153" s="36" t="n">
        <f aca="false">$B$6</f>
        <v>13429.9317634217</v>
      </c>
      <c r="C153" s="36" t="n">
        <f aca="false">B153-D153</f>
        <v>4573.03438248164</v>
      </c>
      <c r="D153" s="36" t="n">
        <f aca="false">E152*$B$4/12</f>
        <v>8856.89738094001</v>
      </c>
      <c r="E153" s="36" t="n">
        <f aca="false">E152-C153</f>
        <v>1766806.44180552</v>
      </c>
    </row>
    <row r="154" customFormat="false" ht="15" hidden="false" customHeight="true" outlineLevel="0" collapsed="false">
      <c r="A154" s="128" t="n">
        <v>146</v>
      </c>
      <c r="B154" s="129" t="n">
        <f aca="false">$B$6</f>
        <v>13429.9317634217</v>
      </c>
      <c r="C154" s="129" t="n">
        <f aca="false">B154-D154</f>
        <v>4595.89955439405</v>
      </c>
      <c r="D154" s="129" t="n">
        <f aca="false">E153*$B$4/12</f>
        <v>8834.03220902761</v>
      </c>
      <c r="E154" s="129" t="n">
        <f aca="false">E153-C154</f>
        <v>1762210.54225113</v>
      </c>
    </row>
    <row r="155" customFormat="false" ht="15" hidden="false" customHeight="true" outlineLevel="0" collapsed="false">
      <c r="A155" s="127" t="n">
        <v>147</v>
      </c>
      <c r="B155" s="36" t="n">
        <f aca="false">$B$6</f>
        <v>13429.9317634217</v>
      </c>
      <c r="C155" s="36" t="n">
        <f aca="false">B155-D155</f>
        <v>4618.87905216602</v>
      </c>
      <c r="D155" s="36" t="n">
        <f aca="false">E154*$B$4/12</f>
        <v>8811.05271125564</v>
      </c>
      <c r="E155" s="36" t="n">
        <f aca="false">E154-C155</f>
        <v>1757591.66319896</v>
      </c>
    </row>
    <row r="156" customFormat="false" ht="15" hidden="false" customHeight="true" outlineLevel="0" collapsed="false">
      <c r="A156" s="128" t="n">
        <v>148</v>
      </c>
      <c r="B156" s="129" t="n">
        <f aca="false">$B$6</f>
        <v>13429.9317634217</v>
      </c>
      <c r="C156" s="129" t="n">
        <f aca="false">B156-D156</f>
        <v>4641.97344742685</v>
      </c>
      <c r="D156" s="129" t="n">
        <f aca="false">E155*$B$4/12</f>
        <v>8787.95831599481</v>
      </c>
      <c r="E156" s="129" t="n">
        <f aca="false">E155-C156</f>
        <v>1752949.68975153</v>
      </c>
    </row>
    <row r="157" customFormat="false" ht="15" hidden="false" customHeight="true" outlineLevel="0" collapsed="false">
      <c r="A157" s="127" t="n">
        <v>149</v>
      </c>
      <c r="B157" s="36" t="n">
        <f aca="false">$B$6</f>
        <v>13429.9317634217</v>
      </c>
      <c r="C157" s="36" t="n">
        <f aca="false">B157-D157</f>
        <v>4665.18331466398</v>
      </c>
      <c r="D157" s="36" t="n">
        <f aca="false">E156*$B$4/12</f>
        <v>8764.74844875767</v>
      </c>
      <c r="E157" s="36" t="n">
        <f aca="false">E156-C157</f>
        <v>1748284.50643687</v>
      </c>
    </row>
    <row r="158" customFormat="false" ht="15" hidden="false" customHeight="true" outlineLevel="0" collapsed="false">
      <c r="A158" s="128" t="n">
        <v>150</v>
      </c>
      <c r="B158" s="129" t="n">
        <f aca="false">$B$6</f>
        <v>13429.9317634217</v>
      </c>
      <c r="C158" s="129" t="n">
        <f aca="false">B158-D158</f>
        <v>4688.50923123731</v>
      </c>
      <c r="D158" s="129" t="n">
        <f aca="false">E157*$B$4/12</f>
        <v>8741.42253218435</v>
      </c>
      <c r="E158" s="129" t="n">
        <f aca="false">E157-C158</f>
        <v>1743595.99720563</v>
      </c>
    </row>
    <row r="159" customFormat="false" ht="15" hidden="false" customHeight="true" outlineLevel="0" collapsed="false">
      <c r="A159" s="127" t="n">
        <v>151</v>
      </c>
      <c r="B159" s="36" t="n">
        <f aca="false">$B$6</f>
        <v>13429.9317634217</v>
      </c>
      <c r="C159" s="36" t="n">
        <f aca="false">B159-D159</f>
        <v>4711.95177739349</v>
      </c>
      <c r="D159" s="36" t="n">
        <f aca="false">E158*$B$4/12</f>
        <v>8717.97998602817</v>
      </c>
      <c r="E159" s="36" t="n">
        <f aca="false">E158-C159</f>
        <v>1738884.04542824</v>
      </c>
    </row>
    <row r="160" customFormat="false" ht="15" hidden="false" customHeight="true" outlineLevel="0" collapsed="false">
      <c r="A160" s="128" t="n">
        <v>152</v>
      </c>
      <c r="B160" s="129" t="n">
        <f aca="false">$B$6</f>
        <v>13429.9317634217</v>
      </c>
      <c r="C160" s="129" t="n">
        <f aca="false">B160-D160</f>
        <v>4735.51153628046</v>
      </c>
      <c r="D160" s="129" t="n">
        <f aca="false">E159*$B$4/12</f>
        <v>8694.4202271412</v>
      </c>
      <c r="E160" s="129" t="n">
        <f aca="false">E159-C160</f>
        <v>1734148.53389196</v>
      </c>
    </row>
    <row r="161" customFormat="false" ht="15" hidden="false" customHeight="true" outlineLevel="0" collapsed="false">
      <c r="A161" s="127" t="n">
        <v>153</v>
      </c>
      <c r="B161" s="36" t="n">
        <f aca="false">$B$6</f>
        <v>13429.9317634217</v>
      </c>
      <c r="C161" s="36" t="n">
        <f aca="false">B161-D161</f>
        <v>4759.18909396186</v>
      </c>
      <c r="D161" s="36" t="n">
        <f aca="false">E160*$B$4/12</f>
        <v>8670.74266945979</v>
      </c>
      <c r="E161" s="36" t="n">
        <f aca="false">E160-C161</f>
        <v>1729389.344798</v>
      </c>
    </row>
    <row r="162" customFormat="false" ht="15" hidden="false" customHeight="true" outlineLevel="0" collapsed="false">
      <c r="A162" s="128" t="n">
        <v>154</v>
      </c>
      <c r="B162" s="129" t="n">
        <f aca="false">$B$6</f>
        <v>13429.9317634217</v>
      </c>
      <c r="C162" s="129" t="n">
        <f aca="false">B162-D162</f>
        <v>4782.98503943167</v>
      </c>
      <c r="D162" s="129" t="n">
        <f aca="false">E161*$B$4/12</f>
        <v>8646.94672398999</v>
      </c>
      <c r="E162" s="129" t="n">
        <f aca="false">E161-C162</f>
        <v>1724606.35975857</v>
      </c>
    </row>
    <row r="163" customFormat="false" ht="15" hidden="false" customHeight="true" outlineLevel="0" collapsed="false">
      <c r="A163" s="127" t="n">
        <v>155</v>
      </c>
      <c r="B163" s="36" t="n">
        <f aca="false">$B$6</f>
        <v>13429.9317634217</v>
      </c>
      <c r="C163" s="36" t="n">
        <f aca="false">B163-D163</f>
        <v>4806.89996462883</v>
      </c>
      <c r="D163" s="36" t="n">
        <f aca="false">E162*$B$4/12</f>
        <v>8623.03179879283</v>
      </c>
      <c r="E163" s="36" t="n">
        <f aca="false">E162-C163</f>
        <v>1719799.45979394</v>
      </c>
    </row>
    <row r="164" customFormat="false" ht="15" hidden="false" customHeight="true" outlineLevel="0" collapsed="false">
      <c r="A164" s="128" t="n">
        <v>156</v>
      </c>
      <c r="B164" s="129" t="n">
        <f aca="false">$B$6</f>
        <v>13429.9317634217</v>
      </c>
      <c r="C164" s="129" t="n">
        <f aca="false">B164-D164</f>
        <v>4830.93446445197</v>
      </c>
      <c r="D164" s="129" t="n">
        <f aca="false">E163*$B$4/12</f>
        <v>8598.99729896969</v>
      </c>
      <c r="E164" s="129" t="n">
        <f aca="false">E163-C164</f>
        <v>1714968.52532949</v>
      </c>
    </row>
    <row r="165" customFormat="false" ht="15" hidden="false" customHeight="true" outlineLevel="0" collapsed="false">
      <c r="A165" s="127" t="n">
        <v>157</v>
      </c>
      <c r="B165" s="36" t="n">
        <f aca="false">$B$6</f>
        <v>13429.9317634217</v>
      </c>
      <c r="C165" s="36" t="n">
        <f aca="false">B165-D165</f>
        <v>4855.08913677423</v>
      </c>
      <c r="D165" s="36" t="n">
        <f aca="false">E164*$B$4/12</f>
        <v>8574.84262664743</v>
      </c>
      <c r="E165" s="36" t="n">
        <f aca="false">E164-C165</f>
        <v>1710113.43619271</v>
      </c>
    </row>
    <row r="166" customFormat="false" ht="15" hidden="false" customHeight="true" outlineLevel="0" collapsed="false">
      <c r="A166" s="128" t="n">
        <v>158</v>
      </c>
      <c r="B166" s="129" t="n">
        <f aca="false">$B$6</f>
        <v>13429.9317634217</v>
      </c>
      <c r="C166" s="129" t="n">
        <f aca="false">B166-D166</f>
        <v>4879.3645824581</v>
      </c>
      <c r="D166" s="129" t="n">
        <f aca="false">E165*$B$4/12</f>
        <v>8550.56718096356</v>
      </c>
      <c r="E166" s="129" t="n">
        <f aca="false">E165-C166</f>
        <v>1705234.07161025</v>
      </c>
    </row>
    <row r="167" customFormat="false" ht="15" hidden="false" customHeight="true" outlineLevel="0" collapsed="false">
      <c r="A167" s="127" t="n">
        <v>159</v>
      </c>
      <c r="B167" s="36" t="n">
        <f aca="false">$B$6</f>
        <v>13429.9317634217</v>
      </c>
      <c r="C167" s="36" t="n">
        <f aca="false">B167-D167</f>
        <v>4903.76140537039</v>
      </c>
      <c r="D167" s="36" t="n">
        <f aca="false">E166*$B$4/12</f>
        <v>8526.17035805126</v>
      </c>
      <c r="E167" s="36" t="n">
        <f aca="false">E166-C167</f>
        <v>1700330.31020488</v>
      </c>
    </row>
    <row r="168" customFormat="false" ht="15" hidden="false" customHeight="true" outlineLevel="0" collapsed="false">
      <c r="A168" s="128" t="n">
        <v>160</v>
      </c>
      <c r="B168" s="129" t="n">
        <f aca="false">$B$6</f>
        <v>13429.9317634217</v>
      </c>
      <c r="C168" s="129" t="n">
        <f aca="false">B168-D168</f>
        <v>4928.28021239724</v>
      </c>
      <c r="D168" s="129" t="n">
        <f aca="false">E167*$B$4/12</f>
        <v>8501.65155102441</v>
      </c>
      <c r="E168" s="129" t="n">
        <f aca="false">E167-C168</f>
        <v>1695402.02999249</v>
      </c>
    </row>
    <row r="169" customFormat="false" ht="15" hidden="false" customHeight="true" outlineLevel="0" collapsed="false">
      <c r="A169" s="127" t="n">
        <v>161</v>
      </c>
      <c r="B169" s="36" t="n">
        <f aca="false">$B$6</f>
        <v>13429.9317634217</v>
      </c>
      <c r="C169" s="36" t="n">
        <f aca="false">B169-D169</f>
        <v>4952.92161345923</v>
      </c>
      <c r="D169" s="36" t="n">
        <f aca="false">E168*$B$4/12</f>
        <v>8477.01014996243</v>
      </c>
      <c r="E169" s="36" t="n">
        <f aca="false">E168-C169</f>
        <v>1690449.10837903</v>
      </c>
    </row>
    <row r="170" customFormat="false" ht="15" hidden="false" customHeight="true" outlineLevel="0" collapsed="false">
      <c r="A170" s="128" t="n">
        <v>162</v>
      </c>
      <c r="B170" s="129" t="n">
        <f aca="false">$B$6</f>
        <v>13429.9317634217</v>
      </c>
      <c r="C170" s="129" t="n">
        <f aca="false">B170-D170</f>
        <v>4977.68622152653</v>
      </c>
      <c r="D170" s="129" t="n">
        <f aca="false">E169*$B$4/12</f>
        <v>8452.24554189513</v>
      </c>
      <c r="E170" s="129" t="n">
        <f aca="false">E169-C170</f>
        <v>1685471.4221575</v>
      </c>
    </row>
    <row r="171" customFormat="false" ht="15" hidden="false" customHeight="true" outlineLevel="0" collapsed="false">
      <c r="A171" s="127" t="n">
        <v>163</v>
      </c>
      <c r="B171" s="36" t="n">
        <f aca="false">$B$6</f>
        <v>13429.9317634217</v>
      </c>
      <c r="C171" s="36" t="n">
        <f aca="false">B171-D171</f>
        <v>5002.57465263416</v>
      </c>
      <c r="D171" s="36" t="n">
        <f aca="false">E170*$B$4/12</f>
        <v>8427.3571107875</v>
      </c>
      <c r="E171" s="36" t="n">
        <f aca="false">E170-C171</f>
        <v>1680468.84750487</v>
      </c>
    </row>
    <row r="172" customFormat="false" ht="15" hidden="false" customHeight="true" outlineLevel="0" collapsed="false">
      <c r="A172" s="128" t="n">
        <v>164</v>
      </c>
      <c r="B172" s="129" t="n">
        <f aca="false">$B$6</f>
        <v>13429.9317634217</v>
      </c>
      <c r="C172" s="129" t="n">
        <f aca="false">B172-D172</f>
        <v>5027.58752589733</v>
      </c>
      <c r="D172" s="129" t="n">
        <f aca="false">E171*$B$4/12</f>
        <v>8402.34423752433</v>
      </c>
      <c r="E172" s="129" t="n">
        <f aca="false">E171-C172</f>
        <v>1675441.25997897</v>
      </c>
    </row>
    <row r="173" customFormat="false" ht="15" hidden="false" customHeight="true" outlineLevel="0" collapsed="false">
      <c r="A173" s="127" t="n">
        <v>165</v>
      </c>
      <c r="B173" s="36" t="n">
        <f aca="false">$B$6</f>
        <v>13429.9317634217</v>
      </c>
      <c r="C173" s="36" t="n">
        <f aca="false">B173-D173</f>
        <v>5052.72546352682</v>
      </c>
      <c r="D173" s="36" t="n">
        <f aca="false">E172*$B$4/12</f>
        <v>8377.20629989484</v>
      </c>
      <c r="E173" s="36" t="n">
        <f aca="false">E172-C173</f>
        <v>1670388.53451544</v>
      </c>
    </row>
    <row r="174" customFormat="false" ht="15" hidden="false" customHeight="true" outlineLevel="0" collapsed="false">
      <c r="A174" s="128" t="n">
        <v>166</v>
      </c>
      <c r="B174" s="129" t="n">
        <f aca="false">$B$6</f>
        <v>13429.9317634217</v>
      </c>
      <c r="C174" s="129" t="n">
        <f aca="false">B174-D174</f>
        <v>5077.98909084445</v>
      </c>
      <c r="D174" s="129" t="n">
        <f aca="false">E173*$B$4/12</f>
        <v>8351.94267257721</v>
      </c>
      <c r="E174" s="129" t="n">
        <f aca="false">E173-C174</f>
        <v>1665310.5454246</v>
      </c>
    </row>
    <row r="175" customFormat="false" ht="15" hidden="false" customHeight="true" outlineLevel="0" collapsed="false">
      <c r="A175" s="127" t="n">
        <v>167</v>
      </c>
      <c r="B175" s="36" t="n">
        <f aca="false">$B$6</f>
        <v>13429.9317634217</v>
      </c>
      <c r="C175" s="36" t="n">
        <f aca="false">B175-D175</f>
        <v>5103.37903629867</v>
      </c>
      <c r="D175" s="36" t="n">
        <f aca="false">E174*$B$4/12</f>
        <v>8326.55272712298</v>
      </c>
      <c r="E175" s="36" t="n">
        <f aca="false">E174-C175</f>
        <v>1660207.1663883</v>
      </c>
    </row>
    <row r="176" customFormat="false" ht="15" hidden="false" customHeight="true" outlineLevel="0" collapsed="false">
      <c r="A176" s="128" t="n">
        <v>168</v>
      </c>
      <c r="B176" s="129" t="n">
        <f aca="false">$B$6</f>
        <v>13429.9317634217</v>
      </c>
      <c r="C176" s="129" t="n">
        <f aca="false">B176-D176</f>
        <v>5128.89593148017</v>
      </c>
      <c r="D176" s="129" t="n">
        <f aca="false">E175*$B$4/12</f>
        <v>8301.03583194149</v>
      </c>
      <c r="E176" s="129" t="n">
        <f aca="false">E175-C176</f>
        <v>1655078.27045682</v>
      </c>
    </row>
    <row r="177" customFormat="false" ht="15" hidden="false" customHeight="true" outlineLevel="0" collapsed="false">
      <c r="A177" s="127" t="n">
        <v>169</v>
      </c>
      <c r="B177" s="36" t="n">
        <f aca="false">$B$6</f>
        <v>13429.9317634217</v>
      </c>
      <c r="C177" s="36" t="n">
        <f aca="false">B177-D177</f>
        <v>5154.54041113757</v>
      </c>
      <c r="D177" s="36" t="n">
        <f aca="false">E176*$B$4/12</f>
        <v>8275.39135228409</v>
      </c>
      <c r="E177" s="36" t="n">
        <f aca="false">E176-C177</f>
        <v>1649923.73004568</v>
      </c>
    </row>
    <row r="178" customFormat="false" ht="15" hidden="false" customHeight="true" outlineLevel="0" collapsed="false">
      <c r="A178" s="128" t="n">
        <v>170</v>
      </c>
      <c r="B178" s="129" t="n">
        <f aca="false">$B$6</f>
        <v>13429.9317634217</v>
      </c>
      <c r="C178" s="129" t="n">
        <f aca="false">B178-D178</f>
        <v>5180.31311319325</v>
      </c>
      <c r="D178" s="129" t="n">
        <f aca="false">E177*$B$4/12</f>
        <v>8249.6186502284</v>
      </c>
      <c r="E178" s="129" t="n">
        <f aca="false">E177-C178</f>
        <v>1644743.41693249</v>
      </c>
    </row>
    <row r="179" customFormat="false" ht="15" hidden="false" customHeight="true" outlineLevel="0" collapsed="false">
      <c r="A179" s="127" t="n">
        <v>171</v>
      </c>
      <c r="B179" s="36" t="n">
        <f aca="false">$B$6</f>
        <v>13429.9317634217</v>
      </c>
      <c r="C179" s="36" t="n">
        <f aca="false">B179-D179</f>
        <v>5206.21467875922</v>
      </c>
      <c r="D179" s="36" t="n">
        <f aca="false">E178*$B$4/12</f>
        <v>8223.71708466243</v>
      </c>
      <c r="E179" s="36" t="n">
        <f aca="false">E178-C179</f>
        <v>1639537.20225373</v>
      </c>
    </row>
    <row r="180" customFormat="false" ht="15" hidden="false" customHeight="true" outlineLevel="0" collapsed="false">
      <c r="A180" s="128" t="n">
        <v>172</v>
      </c>
      <c r="B180" s="129" t="n">
        <f aca="false">$B$6</f>
        <v>13429.9317634217</v>
      </c>
      <c r="C180" s="129" t="n">
        <f aca="false">B180-D180</f>
        <v>5232.24575215302</v>
      </c>
      <c r="D180" s="129" t="n">
        <f aca="false">E179*$B$4/12</f>
        <v>8197.68601126864</v>
      </c>
      <c r="E180" s="129" t="n">
        <f aca="false">E179-C180</f>
        <v>1634304.95650157</v>
      </c>
    </row>
    <row r="181" customFormat="false" ht="15" hidden="false" customHeight="true" outlineLevel="0" collapsed="false">
      <c r="A181" s="127" t="n">
        <v>173</v>
      </c>
      <c r="B181" s="36" t="n">
        <f aca="false">$B$6</f>
        <v>13429.9317634217</v>
      </c>
      <c r="C181" s="36" t="n">
        <f aca="false">B181-D181</f>
        <v>5258.40698091378</v>
      </c>
      <c r="D181" s="36" t="n">
        <f aca="false">E180*$B$4/12</f>
        <v>8171.52478250787</v>
      </c>
      <c r="E181" s="36" t="n">
        <f aca="false">E180-C181</f>
        <v>1629046.54952066</v>
      </c>
    </row>
    <row r="182" customFormat="false" ht="15" hidden="false" customHeight="true" outlineLevel="0" collapsed="false">
      <c r="A182" s="128" t="n">
        <v>174</v>
      </c>
      <c r="B182" s="129" t="n">
        <f aca="false">$B$6</f>
        <v>13429.9317634217</v>
      </c>
      <c r="C182" s="129" t="n">
        <f aca="false">B182-D182</f>
        <v>5284.69901581835</v>
      </c>
      <c r="D182" s="129" t="n">
        <f aca="false">E181*$B$4/12</f>
        <v>8145.2327476033</v>
      </c>
      <c r="E182" s="129" t="n">
        <f aca="false">E181-C182</f>
        <v>1623761.85050484</v>
      </c>
    </row>
    <row r="183" customFormat="false" ht="15" hidden="false" customHeight="true" outlineLevel="0" collapsed="false">
      <c r="A183" s="127" t="n">
        <v>175</v>
      </c>
      <c r="B183" s="36" t="n">
        <f aca="false">$B$6</f>
        <v>13429.9317634217</v>
      </c>
      <c r="C183" s="36" t="n">
        <f aca="false">B183-D183</f>
        <v>5311.12251089744</v>
      </c>
      <c r="D183" s="36" t="n">
        <f aca="false">E182*$B$4/12</f>
        <v>8118.80925252421</v>
      </c>
      <c r="E183" s="36" t="n">
        <f aca="false">E182-C183</f>
        <v>1618450.72799395</v>
      </c>
    </row>
    <row r="184" customFormat="false" ht="15" hidden="false" customHeight="true" outlineLevel="0" collapsed="false">
      <c r="A184" s="128" t="n">
        <v>176</v>
      </c>
      <c r="B184" s="129" t="n">
        <f aca="false">$B$6</f>
        <v>13429.9317634217</v>
      </c>
      <c r="C184" s="129" t="n">
        <f aca="false">B184-D184</f>
        <v>5337.67812345193</v>
      </c>
      <c r="D184" s="129" t="n">
        <f aca="false">E183*$B$4/12</f>
        <v>8092.25363996973</v>
      </c>
      <c r="E184" s="129" t="n">
        <f aca="false">E183-C184</f>
        <v>1613113.04987049</v>
      </c>
    </row>
    <row r="185" customFormat="false" ht="15" hidden="false" customHeight="true" outlineLevel="0" collapsed="false">
      <c r="A185" s="127" t="n">
        <v>177</v>
      </c>
      <c r="B185" s="36" t="n">
        <f aca="false">$B$6</f>
        <v>13429.9317634217</v>
      </c>
      <c r="C185" s="36" t="n">
        <f aca="false">B185-D185</f>
        <v>5364.36651406919</v>
      </c>
      <c r="D185" s="36" t="n">
        <f aca="false">E184*$B$4/12</f>
        <v>8065.56524935247</v>
      </c>
      <c r="E185" s="36" t="n">
        <f aca="false">E184-C185</f>
        <v>1607748.68335642</v>
      </c>
    </row>
    <row r="186" customFormat="false" ht="15" hidden="false" customHeight="true" outlineLevel="0" collapsed="false">
      <c r="A186" s="128" t="n">
        <v>178</v>
      </c>
      <c r="B186" s="129" t="n">
        <f aca="false">$B$6</f>
        <v>13429.9317634217</v>
      </c>
      <c r="C186" s="129" t="n">
        <f aca="false">B186-D186</f>
        <v>5391.18834663954</v>
      </c>
      <c r="D186" s="129" t="n">
        <f aca="false">E185*$B$4/12</f>
        <v>8038.74341678212</v>
      </c>
      <c r="E186" s="129" t="n">
        <f aca="false">E185-C186</f>
        <v>1602357.49500978</v>
      </c>
    </row>
    <row r="187" customFormat="false" ht="15" hidden="false" customHeight="true" outlineLevel="0" collapsed="false">
      <c r="A187" s="127" t="n">
        <v>179</v>
      </c>
      <c r="B187" s="36" t="n">
        <f aca="false">$B$6</f>
        <v>13429.9317634217</v>
      </c>
      <c r="C187" s="36" t="n">
        <f aca="false">B187-D187</f>
        <v>5418.14428837273</v>
      </c>
      <c r="D187" s="36" t="n">
        <f aca="false">E186*$B$4/12</f>
        <v>8011.78747504892</v>
      </c>
      <c r="E187" s="36" t="n">
        <f aca="false">E186-C187</f>
        <v>1596939.35072141</v>
      </c>
    </row>
    <row r="188" customFormat="false" ht="15" hidden="false" customHeight="true" outlineLevel="0" collapsed="false">
      <c r="A188" s="128" t="n">
        <v>180</v>
      </c>
      <c r="B188" s="129" t="n">
        <f aca="false">$B$6</f>
        <v>13429.9317634217</v>
      </c>
      <c r="C188" s="129" t="n">
        <f aca="false">B188-D188</f>
        <v>5445.2350098146</v>
      </c>
      <c r="D188" s="129" t="n">
        <f aca="false">E187*$B$4/12</f>
        <v>7984.69675360706</v>
      </c>
      <c r="E188" s="129" t="n">
        <f aca="false">E187-C188</f>
        <v>1591494.1157116</v>
      </c>
    </row>
    <row r="189" customFormat="false" ht="15" hidden="false" customHeight="true" outlineLevel="0" collapsed="false">
      <c r="A189" s="127" t="n">
        <v>181</v>
      </c>
      <c r="B189" s="36" t="n">
        <f aca="false">$B$6</f>
        <v>13429.9317634217</v>
      </c>
      <c r="C189" s="36" t="n">
        <f aca="false">B189-D189</f>
        <v>5472.46118486367</v>
      </c>
      <c r="D189" s="36" t="n">
        <f aca="false">E188*$B$4/12</f>
        <v>7957.47057855799</v>
      </c>
      <c r="E189" s="36" t="n">
        <f aca="false">E188-C189</f>
        <v>1586021.65452673</v>
      </c>
    </row>
    <row r="190" customFormat="false" ht="15" hidden="false" customHeight="true" outlineLevel="0" collapsed="false">
      <c r="A190" s="128" t="n">
        <v>182</v>
      </c>
      <c r="B190" s="129" t="n">
        <f aca="false">$B$6</f>
        <v>13429.9317634217</v>
      </c>
      <c r="C190" s="129" t="n">
        <f aca="false">B190-D190</f>
        <v>5499.82349078799</v>
      </c>
      <c r="D190" s="129" t="n">
        <f aca="false">E189*$B$4/12</f>
        <v>7930.10827263367</v>
      </c>
      <c r="E190" s="129" t="n">
        <f aca="false">E189-C190</f>
        <v>1580521.83103595</v>
      </c>
    </row>
    <row r="191" customFormat="false" ht="15" hidden="false" customHeight="true" outlineLevel="0" collapsed="false">
      <c r="A191" s="127" t="n">
        <v>183</v>
      </c>
      <c r="B191" s="36" t="n">
        <f aca="false">$B$6</f>
        <v>13429.9317634217</v>
      </c>
      <c r="C191" s="36" t="n">
        <f aca="false">B191-D191</f>
        <v>5527.32260824193</v>
      </c>
      <c r="D191" s="36" t="n">
        <f aca="false">E190*$B$4/12</f>
        <v>7902.60915517973</v>
      </c>
      <c r="E191" s="36" t="n">
        <f aca="false">E190-C191</f>
        <v>1574994.5084277</v>
      </c>
    </row>
    <row r="192" customFormat="false" ht="15" hidden="false" customHeight="true" outlineLevel="0" collapsed="false">
      <c r="A192" s="128" t="n">
        <v>184</v>
      </c>
      <c r="B192" s="129" t="n">
        <f aca="false">$B$6</f>
        <v>13429.9317634217</v>
      </c>
      <c r="C192" s="129" t="n">
        <f aca="false">B192-D192</f>
        <v>5554.95922128314</v>
      </c>
      <c r="D192" s="129" t="n">
        <f aca="false">E191*$B$4/12</f>
        <v>7874.97254213852</v>
      </c>
      <c r="E192" s="129" t="n">
        <f aca="false">E191-C192</f>
        <v>1569439.54920642</v>
      </c>
    </row>
    <row r="193" customFormat="false" ht="15" hidden="false" customHeight="true" outlineLevel="0" collapsed="false">
      <c r="A193" s="127" t="n">
        <v>185</v>
      </c>
      <c r="B193" s="36" t="n">
        <f aca="false">$B$6</f>
        <v>13429.9317634217</v>
      </c>
      <c r="C193" s="36" t="n">
        <f aca="false">B193-D193</f>
        <v>5582.73401738956</v>
      </c>
      <c r="D193" s="36" t="n">
        <f aca="false">E192*$B$4/12</f>
        <v>7847.1977460321</v>
      </c>
      <c r="E193" s="36" t="n">
        <f aca="false">E192-C193</f>
        <v>1563856.81518903</v>
      </c>
    </row>
    <row r="194" customFormat="false" ht="15" hidden="false" customHeight="true" outlineLevel="0" collapsed="false">
      <c r="A194" s="128" t="n">
        <v>186</v>
      </c>
      <c r="B194" s="129" t="n">
        <f aca="false">$B$6</f>
        <v>13429.9317634217</v>
      </c>
      <c r="C194" s="129" t="n">
        <f aca="false">B194-D194</f>
        <v>5610.6476874765</v>
      </c>
      <c r="D194" s="129" t="n">
        <f aca="false">E193*$B$4/12</f>
        <v>7819.28407594515</v>
      </c>
      <c r="E194" s="129" t="n">
        <f aca="false">E193-C194</f>
        <v>1558246.16750155</v>
      </c>
    </row>
    <row r="195" customFormat="false" ht="15" hidden="false" customHeight="true" outlineLevel="0" collapsed="false">
      <c r="A195" s="127" t="n">
        <v>187</v>
      </c>
      <c r="B195" s="36" t="n">
        <f aca="false">$B$6</f>
        <v>13429.9317634217</v>
      </c>
      <c r="C195" s="36" t="n">
        <f aca="false">B195-D195</f>
        <v>5638.70092591389</v>
      </c>
      <c r="D195" s="36" t="n">
        <f aca="false">E194*$B$4/12</f>
        <v>7791.23083750777</v>
      </c>
      <c r="E195" s="36" t="n">
        <f aca="false">E194-C195</f>
        <v>1552607.46657564</v>
      </c>
    </row>
    <row r="196" customFormat="false" ht="15" hidden="false" customHeight="true" outlineLevel="0" collapsed="false">
      <c r="A196" s="128" t="n">
        <v>188</v>
      </c>
      <c r="B196" s="129" t="n">
        <f aca="false">$B$6</f>
        <v>13429.9317634217</v>
      </c>
      <c r="C196" s="129" t="n">
        <f aca="false">B196-D196</f>
        <v>5666.89443054346</v>
      </c>
      <c r="D196" s="129" t="n">
        <f aca="false">E195*$B$4/12</f>
        <v>7763.0373328782</v>
      </c>
      <c r="E196" s="129" t="n">
        <f aca="false">E195-C196</f>
        <v>1546940.5721451</v>
      </c>
    </row>
    <row r="197" customFormat="false" ht="15" hidden="false" customHeight="true" outlineLevel="0" collapsed="false">
      <c r="A197" s="127" t="n">
        <v>189</v>
      </c>
      <c r="B197" s="36" t="n">
        <f aca="false">$B$6</f>
        <v>13429.9317634217</v>
      </c>
      <c r="C197" s="36" t="n">
        <f aca="false">B197-D197</f>
        <v>5695.22890269617</v>
      </c>
      <c r="D197" s="36" t="n">
        <f aca="false">E196*$B$4/12</f>
        <v>7734.70286072548</v>
      </c>
      <c r="E197" s="36" t="n">
        <f aca="false">E196-C197</f>
        <v>1541245.3432424</v>
      </c>
    </row>
    <row r="198" customFormat="false" ht="15" hidden="false" customHeight="true" outlineLevel="0" collapsed="false">
      <c r="A198" s="128" t="n">
        <v>190</v>
      </c>
      <c r="B198" s="129" t="n">
        <f aca="false">$B$6</f>
        <v>13429.9317634217</v>
      </c>
      <c r="C198" s="129" t="n">
        <f aca="false">B198-D198</f>
        <v>5723.70504720965</v>
      </c>
      <c r="D198" s="129" t="n">
        <f aca="false">E197*$B$4/12</f>
        <v>7706.226716212</v>
      </c>
      <c r="E198" s="129" t="n">
        <f aca="false">E197-C198</f>
        <v>1535521.63819519</v>
      </c>
    </row>
    <row r="199" customFormat="false" ht="15" hidden="false" customHeight="true" outlineLevel="0" collapsed="false">
      <c r="A199" s="127" t="n">
        <v>191</v>
      </c>
      <c r="B199" s="36" t="n">
        <f aca="false">$B$6</f>
        <v>13429.9317634217</v>
      </c>
      <c r="C199" s="36" t="n">
        <f aca="false">B199-D199</f>
        <v>5752.3235724457</v>
      </c>
      <c r="D199" s="36" t="n">
        <f aca="false">E198*$B$4/12</f>
        <v>7677.60819097595</v>
      </c>
      <c r="E199" s="36" t="n">
        <f aca="false">E198-C199</f>
        <v>1529769.31462275</v>
      </c>
    </row>
    <row r="200" customFormat="false" ht="15" hidden="false" customHeight="true" outlineLevel="0" collapsed="false">
      <c r="A200" s="128" t="n">
        <v>192</v>
      </c>
      <c r="B200" s="129" t="n">
        <f aca="false">$B$6</f>
        <v>13429.9317634217</v>
      </c>
      <c r="C200" s="129" t="n">
        <f aca="false">B200-D200</f>
        <v>5781.08519030793</v>
      </c>
      <c r="D200" s="129" t="n">
        <f aca="false">E199*$B$4/12</f>
        <v>7648.84657311373</v>
      </c>
      <c r="E200" s="129" t="n">
        <f aca="false">E199-C200</f>
        <v>1523988.22943244</v>
      </c>
    </row>
    <row r="201" customFormat="false" ht="15" hidden="false" customHeight="true" outlineLevel="0" collapsed="false">
      <c r="A201" s="127" t="n">
        <v>193</v>
      </c>
      <c r="B201" s="36" t="n">
        <f aca="false">$B$6</f>
        <v>13429.9317634217</v>
      </c>
      <c r="C201" s="36" t="n">
        <f aca="false">B201-D201</f>
        <v>5809.99061625947</v>
      </c>
      <c r="D201" s="36" t="n">
        <f aca="false">E200*$B$4/12</f>
        <v>7619.94114716219</v>
      </c>
      <c r="E201" s="36" t="n">
        <f aca="false">E200-C201</f>
        <v>1518178.23881618</v>
      </c>
    </row>
    <row r="202" customFormat="false" ht="15" hidden="false" customHeight="true" outlineLevel="0" collapsed="false">
      <c r="A202" s="128" t="n">
        <v>194</v>
      </c>
      <c r="B202" s="129" t="n">
        <f aca="false">$B$6</f>
        <v>13429.9317634217</v>
      </c>
      <c r="C202" s="129" t="n">
        <f aca="false">B202-D202</f>
        <v>5839.04056934077</v>
      </c>
      <c r="D202" s="129" t="n">
        <f aca="false">E201*$B$4/12</f>
        <v>7590.89119408089</v>
      </c>
      <c r="E202" s="129" t="n">
        <f aca="false">E201-C202</f>
        <v>1512339.19824684</v>
      </c>
    </row>
    <row r="203" customFormat="false" ht="15" hidden="false" customHeight="true" outlineLevel="0" collapsed="false">
      <c r="A203" s="127" t="n">
        <v>195</v>
      </c>
      <c r="B203" s="36" t="n">
        <f aca="false">$B$6</f>
        <v>13429.9317634217</v>
      </c>
      <c r="C203" s="36" t="n">
        <f aca="false">B203-D203</f>
        <v>5868.23577218747</v>
      </c>
      <c r="D203" s="36" t="n">
        <f aca="false">E202*$B$4/12</f>
        <v>7561.69599123418</v>
      </c>
      <c r="E203" s="36" t="n">
        <f aca="false">E202-C203</f>
        <v>1506470.96247465</v>
      </c>
    </row>
    <row r="204" customFormat="false" ht="15" hidden="false" customHeight="true" outlineLevel="0" collapsed="false">
      <c r="A204" s="128" t="n">
        <v>196</v>
      </c>
      <c r="B204" s="129" t="n">
        <f aca="false">$B$6</f>
        <v>13429.9317634217</v>
      </c>
      <c r="C204" s="129" t="n">
        <f aca="false">B204-D204</f>
        <v>5897.57695104841</v>
      </c>
      <c r="D204" s="129" t="n">
        <f aca="false">E203*$B$4/12</f>
        <v>7532.35481237325</v>
      </c>
      <c r="E204" s="129" t="n">
        <f aca="false">E203-C204</f>
        <v>1500573.3855236</v>
      </c>
    </row>
    <row r="205" customFormat="false" ht="15" hidden="false" customHeight="true" outlineLevel="0" collapsed="false">
      <c r="A205" s="127" t="n">
        <v>197</v>
      </c>
      <c r="B205" s="36" t="n">
        <f aca="false">$B$6</f>
        <v>13429.9317634217</v>
      </c>
      <c r="C205" s="36" t="n">
        <f aca="false">B205-D205</f>
        <v>5927.06483580365</v>
      </c>
      <c r="D205" s="36" t="n">
        <f aca="false">E204*$B$4/12</f>
        <v>7502.86692761801</v>
      </c>
      <c r="E205" s="36" t="n">
        <f aca="false">E204-C205</f>
        <v>1494646.3206878</v>
      </c>
    </row>
    <row r="206" customFormat="false" ht="15" hidden="false" customHeight="true" outlineLevel="0" collapsed="false">
      <c r="A206" s="128" t="n">
        <v>198</v>
      </c>
      <c r="B206" s="129" t="n">
        <f aca="false">$B$6</f>
        <v>13429.9317634217</v>
      </c>
      <c r="C206" s="129" t="n">
        <f aca="false">B206-D206</f>
        <v>5956.70015998267</v>
      </c>
      <c r="D206" s="129" t="n">
        <f aca="false">E205*$B$4/12</f>
        <v>7473.23160343899</v>
      </c>
      <c r="E206" s="129" t="n">
        <f aca="false">E205-C206</f>
        <v>1488689.62052781</v>
      </c>
    </row>
    <row r="207" customFormat="false" ht="15" hidden="false" customHeight="true" outlineLevel="0" collapsed="false">
      <c r="A207" s="127" t="n">
        <v>199</v>
      </c>
      <c r="B207" s="36" t="n">
        <f aca="false">$B$6</f>
        <v>13429.9317634217</v>
      </c>
      <c r="C207" s="36" t="n">
        <f aca="false">B207-D207</f>
        <v>5986.48366078258</v>
      </c>
      <c r="D207" s="36" t="n">
        <f aca="false">E206*$B$4/12</f>
        <v>7443.44810263907</v>
      </c>
      <c r="E207" s="36" t="n">
        <f aca="false">E206-C207</f>
        <v>1482703.13686703</v>
      </c>
    </row>
    <row r="208" customFormat="false" ht="15" hidden="false" customHeight="true" outlineLevel="0" collapsed="false">
      <c r="A208" s="128" t="n">
        <v>200</v>
      </c>
      <c r="B208" s="129" t="n">
        <f aca="false">$B$6</f>
        <v>13429.9317634217</v>
      </c>
      <c r="C208" s="129" t="n">
        <f aca="false">B208-D208</f>
        <v>6016.41607908649</v>
      </c>
      <c r="D208" s="129" t="n">
        <f aca="false">E207*$B$4/12</f>
        <v>7413.51568433516</v>
      </c>
      <c r="E208" s="129" t="n">
        <f aca="false">E207-C208</f>
        <v>1476686.72078795</v>
      </c>
    </row>
    <row r="209" customFormat="false" ht="15" hidden="false" customHeight="true" outlineLevel="0" collapsed="false">
      <c r="A209" s="127" t="n">
        <v>201</v>
      </c>
      <c r="B209" s="36" t="n">
        <f aca="false">$B$6</f>
        <v>13429.9317634217</v>
      </c>
      <c r="C209" s="36" t="n">
        <f aca="false">B209-D209</f>
        <v>6046.49815948193</v>
      </c>
      <c r="D209" s="36" t="n">
        <f aca="false">E208*$B$4/12</f>
        <v>7383.43360393973</v>
      </c>
      <c r="E209" s="36" t="n">
        <f aca="false">E208-C209</f>
        <v>1470640.22262846</v>
      </c>
    </row>
    <row r="210" customFormat="false" ht="15" hidden="false" customHeight="true" outlineLevel="0" collapsed="false">
      <c r="A210" s="128" t="n">
        <v>202</v>
      </c>
      <c r="B210" s="129" t="n">
        <f aca="false">$B$6</f>
        <v>13429.9317634217</v>
      </c>
      <c r="C210" s="129" t="n">
        <f aca="false">B210-D210</f>
        <v>6076.73065027934</v>
      </c>
      <c r="D210" s="129" t="n">
        <f aca="false">E209*$B$4/12</f>
        <v>7353.20111314232</v>
      </c>
      <c r="E210" s="129" t="n">
        <f aca="false">E209-C210</f>
        <v>1464563.49197818</v>
      </c>
    </row>
    <row r="211" customFormat="false" ht="15" hidden="false" customHeight="true" outlineLevel="0" collapsed="false">
      <c r="A211" s="127" t="n">
        <v>203</v>
      </c>
      <c r="B211" s="36" t="n">
        <f aca="false">$B$6</f>
        <v>13429.9317634217</v>
      </c>
      <c r="C211" s="36" t="n">
        <f aca="false">B211-D211</f>
        <v>6107.11430353073</v>
      </c>
      <c r="D211" s="36" t="n">
        <f aca="false">E210*$B$4/12</f>
        <v>7322.81745989092</v>
      </c>
      <c r="E211" s="36" t="n">
        <f aca="false">E210-C211</f>
        <v>1458456.37767465</v>
      </c>
    </row>
    <row r="212" customFormat="false" ht="15" hidden="false" customHeight="true" outlineLevel="0" collapsed="false">
      <c r="A212" s="128" t="n">
        <v>204</v>
      </c>
      <c r="B212" s="129" t="n">
        <f aca="false">$B$6</f>
        <v>13429.9317634217</v>
      </c>
      <c r="C212" s="129" t="n">
        <f aca="false">B212-D212</f>
        <v>6137.64987504839</v>
      </c>
      <c r="D212" s="129" t="n">
        <f aca="false">E211*$B$4/12</f>
        <v>7292.28188837327</v>
      </c>
      <c r="E212" s="129" t="n">
        <f aca="false">E211-C212</f>
        <v>1452318.72779961</v>
      </c>
    </row>
    <row r="213" customFormat="false" ht="15" hidden="false" customHeight="true" outlineLevel="0" collapsed="false">
      <c r="A213" s="127" t="n">
        <v>205</v>
      </c>
      <c r="B213" s="36" t="n">
        <f aca="false">$B$6</f>
        <v>13429.9317634217</v>
      </c>
      <c r="C213" s="36" t="n">
        <f aca="false">B213-D213</f>
        <v>6168.33812442363</v>
      </c>
      <c r="D213" s="36" t="n">
        <f aca="false">E212*$B$4/12</f>
        <v>7261.59363899803</v>
      </c>
      <c r="E213" s="36" t="n">
        <f aca="false">E212-C213</f>
        <v>1446150.38967518</v>
      </c>
    </row>
    <row r="214" customFormat="false" ht="15" hidden="false" customHeight="true" outlineLevel="0" collapsed="false">
      <c r="A214" s="128" t="n">
        <v>206</v>
      </c>
      <c r="B214" s="129" t="n">
        <f aca="false">$B$6</f>
        <v>13429.9317634217</v>
      </c>
      <c r="C214" s="129" t="n">
        <f aca="false">B214-D214</f>
        <v>6199.17981504575</v>
      </c>
      <c r="D214" s="129" t="n">
        <f aca="false">E213*$B$4/12</f>
        <v>7230.75194837591</v>
      </c>
      <c r="E214" s="129" t="n">
        <f aca="false">E213-C214</f>
        <v>1439951.20986014</v>
      </c>
    </row>
    <row r="215" customFormat="false" ht="15" hidden="false" customHeight="true" outlineLevel="0" collapsed="false">
      <c r="A215" s="127" t="n">
        <v>207</v>
      </c>
      <c r="B215" s="36" t="n">
        <f aca="false">$B$6</f>
        <v>13429.9317634217</v>
      </c>
      <c r="C215" s="36" t="n">
        <f aca="false">B215-D215</f>
        <v>6230.17571412098</v>
      </c>
      <c r="D215" s="36" t="n">
        <f aca="false">E214*$B$4/12</f>
        <v>7199.75604930068</v>
      </c>
      <c r="E215" s="36" t="n">
        <f aca="false">E214-C215</f>
        <v>1433721.03414602</v>
      </c>
    </row>
    <row r="216" customFormat="false" ht="15" hidden="false" customHeight="true" outlineLevel="0" collapsed="false">
      <c r="A216" s="128" t="n">
        <v>208</v>
      </c>
      <c r="B216" s="129" t="n">
        <f aca="false">$B$6</f>
        <v>13429.9317634217</v>
      </c>
      <c r="C216" s="129" t="n">
        <f aca="false">B216-D216</f>
        <v>6261.32659269158</v>
      </c>
      <c r="D216" s="129" t="n">
        <f aca="false">E215*$B$4/12</f>
        <v>7168.60517073008</v>
      </c>
      <c r="E216" s="129" t="n">
        <f aca="false">E215-C216</f>
        <v>1427459.70755332</v>
      </c>
    </row>
    <row r="217" customFormat="false" ht="15" hidden="false" customHeight="true" outlineLevel="0" collapsed="false">
      <c r="A217" s="127" t="n">
        <v>209</v>
      </c>
      <c r="B217" s="36" t="n">
        <f aca="false">$B$6</f>
        <v>13429.9317634217</v>
      </c>
      <c r="C217" s="36" t="n">
        <f aca="false">B217-D217</f>
        <v>6292.63322565504</v>
      </c>
      <c r="D217" s="36" t="n">
        <f aca="false">E216*$B$4/12</f>
        <v>7137.29853776662</v>
      </c>
      <c r="E217" s="36" t="n">
        <f aca="false">E216-C217</f>
        <v>1421167.07432767</v>
      </c>
    </row>
    <row r="218" customFormat="false" ht="15" hidden="false" customHeight="true" outlineLevel="0" collapsed="false">
      <c r="A218" s="128" t="n">
        <v>210</v>
      </c>
      <c r="B218" s="129" t="n">
        <f aca="false">$B$6</f>
        <v>13429.9317634217</v>
      </c>
      <c r="C218" s="129" t="n">
        <f aca="false">B218-D218</f>
        <v>6324.09639178331</v>
      </c>
      <c r="D218" s="129" t="n">
        <f aca="false">E217*$B$4/12</f>
        <v>7105.83537163834</v>
      </c>
      <c r="E218" s="129" t="n">
        <f aca="false">E217-C218</f>
        <v>1414842.97793589</v>
      </c>
    </row>
    <row r="219" customFormat="false" ht="15" hidden="false" customHeight="true" outlineLevel="0" collapsed="false">
      <c r="A219" s="127" t="n">
        <v>211</v>
      </c>
      <c r="B219" s="36" t="n">
        <f aca="false">$B$6</f>
        <v>13429.9317634217</v>
      </c>
      <c r="C219" s="36" t="n">
        <f aca="false">B219-D219</f>
        <v>6355.71687374223</v>
      </c>
      <c r="D219" s="36" t="n">
        <f aca="false">E218*$B$4/12</f>
        <v>7074.21488967943</v>
      </c>
      <c r="E219" s="36" t="n">
        <f aca="false">E218-C219</f>
        <v>1408487.26106214</v>
      </c>
    </row>
    <row r="220" customFormat="false" ht="15" hidden="false" customHeight="true" outlineLevel="0" collapsed="false">
      <c r="A220" s="128" t="n">
        <v>212</v>
      </c>
      <c r="B220" s="129" t="n">
        <f aca="false">$B$6</f>
        <v>13429.9317634217</v>
      </c>
      <c r="C220" s="129" t="n">
        <f aca="false">B220-D220</f>
        <v>6387.49545811094</v>
      </c>
      <c r="D220" s="129" t="n">
        <f aca="false">E219*$B$4/12</f>
        <v>7042.43630531072</v>
      </c>
      <c r="E220" s="129" t="n">
        <f aca="false">E219-C220</f>
        <v>1402099.76560403</v>
      </c>
    </row>
    <row r="221" customFormat="false" ht="15" hidden="false" customHeight="true" outlineLevel="0" collapsed="false">
      <c r="A221" s="127" t="n">
        <v>213</v>
      </c>
      <c r="B221" s="36" t="n">
        <f aca="false">$B$6</f>
        <v>13429.9317634217</v>
      </c>
      <c r="C221" s="36" t="n">
        <f aca="false">B221-D221</f>
        <v>6419.43293540149</v>
      </c>
      <c r="D221" s="36" t="n">
        <f aca="false">E220*$B$4/12</f>
        <v>7010.49882802016</v>
      </c>
      <c r="E221" s="36" t="n">
        <f aca="false">E220-C221</f>
        <v>1395680.33266863</v>
      </c>
    </row>
    <row r="222" customFormat="false" ht="15" hidden="false" customHeight="true" outlineLevel="0" collapsed="false">
      <c r="A222" s="128" t="n">
        <v>214</v>
      </c>
      <c r="B222" s="129" t="n">
        <f aca="false">$B$6</f>
        <v>13429.9317634217</v>
      </c>
      <c r="C222" s="129" t="n">
        <f aca="false">B222-D222</f>
        <v>6451.5301000785</v>
      </c>
      <c r="D222" s="129" t="n">
        <f aca="false">E221*$B$4/12</f>
        <v>6978.40166334315</v>
      </c>
      <c r="E222" s="129" t="n">
        <f aca="false">E221-C222</f>
        <v>1389228.80256855</v>
      </c>
    </row>
    <row r="223" customFormat="false" ht="15" hidden="false" customHeight="true" outlineLevel="0" collapsed="false">
      <c r="A223" s="127" t="n">
        <v>215</v>
      </c>
      <c r="B223" s="36" t="n">
        <f aca="false">$B$6</f>
        <v>13429.9317634217</v>
      </c>
      <c r="C223" s="36" t="n">
        <f aca="false">B223-D223</f>
        <v>6483.7877505789</v>
      </c>
      <c r="D223" s="36" t="n">
        <f aca="false">E222*$B$4/12</f>
        <v>6946.14401284276</v>
      </c>
      <c r="E223" s="36" t="n">
        <f aca="false">E222-C223</f>
        <v>1382745.01481797</v>
      </c>
    </row>
    <row r="224" customFormat="false" ht="15" hidden="false" customHeight="true" outlineLevel="0" collapsed="false">
      <c r="A224" s="128" t="n">
        <v>216</v>
      </c>
      <c r="B224" s="129" t="n">
        <f aca="false">$B$6</f>
        <v>13429.9317634217</v>
      </c>
      <c r="C224" s="129" t="n">
        <f aca="false">B224-D224</f>
        <v>6516.20668933179</v>
      </c>
      <c r="D224" s="129" t="n">
        <f aca="false">E223*$B$4/12</f>
        <v>6913.72507408987</v>
      </c>
      <c r="E224" s="129" t="n">
        <f aca="false">E223-C224</f>
        <v>1376228.80812864</v>
      </c>
    </row>
    <row r="225" customFormat="false" ht="15" hidden="false" customHeight="true" outlineLevel="0" collapsed="false">
      <c r="A225" s="127" t="n">
        <v>217</v>
      </c>
      <c r="B225" s="36" t="n">
        <f aca="false">$B$6</f>
        <v>13429.9317634217</v>
      </c>
      <c r="C225" s="36" t="n">
        <f aca="false">B225-D225</f>
        <v>6548.78772277845</v>
      </c>
      <c r="D225" s="36" t="n">
        <f aca="false">E224*$B$4/12</f>
        <v>6881.14404064321</v>
      </c>
      <c r="E225" s="36" t="n">
        <f aca="false">E224-C225</f>
        <v>1369680.02040586</v>
      </c>
    </row>
    <row r="226" customFormat="false" ht="15" hidden="false" customHeight="true" outlineLevel="0" collapsed="false">
      <c r="A226" s="128" t="n">
        <v>218</v>
      </c>
      <c r="B226" s="129" t="n">
        <f aca="false">$B$6</f>
        <v>13429.9317634217</v>
      </c>
      <c r="C226" s="129" t="n">
        <f aca="false">B226-D226</f>
        <v>6581.53166139234</v>
      </c>
      <c r="D226" s="129" t="n">
        <f aca="false">E225*$B$4/12</f>
        <v>6848.40010202931</v>
      </c>
      <c r="E226" s="129" t="n">
        <f aca="false">E225-C226</f>
        <v>1363098.48874447</v>
      </c>
    </row>
    <row r="227" customFormat="false" ht="15" hidden="false" customHeight="true" outlineLevel="0" collapsed="false">
      <c r="A227" s="127" t="n">
        <v>219</v>
      </c>
      <c r="B227" s="36" t="n">
        <f aca="false">$B$6</f>
        <v>13429.9317634217</v>
      </c>
      <c r="C227" s="36" t="n">
        <f aca="false">B227-D227</f>
        <v>6614.4393196993</v>
      </c>
      <c r="D227" s="36" t="n">
        <f aca="false">E226*$B$4/12</f>
        <v>6815.49244372235</v>
      </c>
      <c r="E227" s="36" t="n">
        <f aca="false">E226-C227</f>
        <v>1356484.04942477</v>
      </c>
    </row>
    <row r="228" customFormat="false" ht="15" hidden="false" customHeight="true" outlineLevel="0" collapsed="false">
      <c r="A228" s="128" t="n">
        <v>220</v>
      </c>
      <c r="B228" s="129" t="n">
        <f aca="false">$B$6</f>
        <v>13429.9317634217</v>
      </c>
      <c r="C228" s="129" t="n">
        <f aca="false">B228-D228</f>
        <v>6647.5115162978</v>
      </c>
      <c r="D228" s="129" t="n">
        <f aca="false">E227*$B$4/12</f>
        <v>6782.42024712386</v>
      </c>
      <c r="E228" s="129" t="n">
        <f aca="false">E227-C228</f>
        <v>1349836.53790847</v>
      </c>
    </row>
    <row r="229" customFormat="false" ht="15" hidden="false" customHeight="true" outlineLevel="0" collapsed="false">
      <c r="A229" s="127" t="n">
        <v>221</v>
      </c>
      <c r="B229" s="36" t="n">
        <f aca="false">$B$6</f>
        <v>13429.9317634217</v>
      </c>
      <c r="C229" s="36" t="n">
        <f aca="false">B229-D229</f>
        <v>6680.74907387929</v>
      </c>
      <c r="D229" s="36" t="n">
        <f aca="false">E228*$B$4/12</f>
        <v>6749.18268954237</v>
      </c>
      <c r="E229" s="36" t="n">
        <f aca="false">E228-C229</f>
        <v>1343155.78883459</v>
      </c>
    </row>
    <row r="230" customFormat="false" ht="15" hidden="false" customHeight="true" outlineLevel="0" collapsed="false">
      <c r="A230" s="128" t="n">
        <v>222</v>
      </c>
      <c r="B230" s="129" t="n">
        <f aca="false">$B$6</f>
        <v>13429.9317634217</v>
      </c>
      <c r="C230" s="129" t="n">
        <f aca="false">B230-D230</f>
        <v>6714.15281924869</v>
      </c>
      <c r="D230" s="129" t="n">
        <f aca="false">E229*$B$4/12</f>
        <v>6715.77894417297</v>
      </c>
      <c r="E230" s="129" t="n">
        <f aca="false">E229-C230</f>
        <v>1336441.63601535</v>
      </c>
    </row>
    <row r="231" customFormat="false" ht="15" hidden="false" customHeight="true" outlineLevel="0" collapsed="false">
      <c r="A231" s="127" t="n">
        <v>223</v>
      </c>
      <c r="B231" s="36" t="n">
        <f aca="false">$B$6</f>
        <v>13429.9317634217</v>
      </c>
      <c r="C231" s="36" t="n">
        <f aca="false">B231-D231</f>
        <v>6747.72358334493</v>
      </c>
      <c r="D231" s="36" t="n">
        <f aca="false">E230*$B$4/12</f>
        <v>6682.20818007673</v>
      </c>
      <c r="E231" s="36" t="n">
        <f aca="false">E230-C231</f>
        <v>1329693.912432</v>
      </c>
    </row>
    <row r="232" customFormat="false" ht="15" hidden="false" customHeight="true" outlineLevel="0" collapsed="false">
      <c r="A232" s="128" t="n">
        <v>224</v>
      </c>
      <c r="B232" s="129" t="n">
        <f aca="false">$B$6</f>
        <v>13429.9317634217</v>
      </c>
      <c r="C232" s="129" t="n">
        <f aca="false">B232-D232</f>
        <v>6781.46220126165</v>
      </c>
      <c r="D232" s="129" t="n">
        <f aca="false">E231*$B$4/12</f>
        <v>6648.46956216</v>
      </c>
      <c r="E232" s="129" t="n">
        <f aca="false">E231-C232</f>
        <v>1322912.45023074</v>
      </c>
    </row>
    <row r="233" customFormat="false" ht="15" hidden="false" customHeight="true" outlineLevel="0" collapsed="false">
      <c r="A233" s="127" t="n">
        <v>225</v>
      </c>
      <c r="B233" s="36" t="n">
        <f aca="false">$B$6</f>
        <v>13429.9317634217</v>
      </c>
      <c r="C233" s="36" t="n">
        <f aca="false">B233-D233</f>
        <v>6815.36951226796</v>
      </c>
      <c r="D233" s="36" t="n">
        <f aca="false">E232*$B$4/12</f>
        <v>6614.5622511537</v>
      </c>
      <c r="E233" s="36" t="n">
        <f aca="false">E232-C233</f>
        <v>1316097.08071847</v>
      </c>
    </row>
    <row r="234" customFormat="false" ht="15" hidden="false" customHeight="true" outlineLevel="0" collapsed="false">
      <c r="A234" s="128" t="n">
        <v>226</v>
      </c>
      <c r="B234" s="129" t="n">
        <f aca="false">$B$6</f>
        <v>13429.9317634217</v>
      </c>
      <c r="C234" s="129" t="n">
        <f aca="false">B234-D234</f>
        <v>6849.4463598293</v>
      </c>
      <c r="D234" s="129" t="n">
        <f aca="false">E233*$B$4/12</f>
        <v>6580.48540359236</v>
      </c>
      <c r="E234" s="129" t="n">
        <f aca="false">E233-C234</f>
        <v>1309247.63435864</v>
      </c>
    </row>
    <row r="235" customFormat="false" ht="15" hidden="false" customHeight="true" outlineLevel="0" collapsed="false">
      <c r="A235" s="127" t="n">
        <v>227</v>
      </c>
      <c r="B235" s="36" t="n">
        <f aca="false">$B$6</f>
        <v>13429.9317634217</v>
      </c>
      <c r="C235" s="36" t="n">
        <f aca="false">B235-D235</f>
        <v>6883.69359162845</v>
      </c>
      <c r="D235" s="36" t="n">
        <f aca="false">E234*$B$4/12</f>
        <v>6546.23817179321</v>
      </c>
      <c r="E235" s="36" t="n">
        <f aca="false">E234-C235</f>
        <v>1302363.94076701</v>
      </c>
    </row>
    <row r="236" customFormat="false" ht="15" hidden="false" customHeight="true" outlineLevel="0" collapsed="false">
      <c r="A236" s="128" t="n">
        <v>228</v>
      </c>
      <c r="B236" s="129" t="n">
        <f aca="false">$B$6</f>
        <v>13429.9317634217</v>
      </c>
      <c r="C236" s="129" t="n">
        <f aca="false">B236-D236</f>
        <v>6918.11205958659</v>
      </c>
      <c r="D236" s="129" t="n">
        <f aca="false">E235*$B$4/12</f>
        <v>6511.81970383507</v>
      </c>
      <c r="E236" s="129" t="n">
        <f aca="false">E235-C236</f>
        <v>1295445.82870743</v>
      </c>
    </row>
    <row r="237" customFormat="false" ht="15" hidden="false" customHeight="true" outlineLevel="0" collapsed="false">
      <c r="A237" s="127" t="n">
        <v>229</v>
      </c>
      <c r="B237" s="36" t="n">
        <f aca="false">$B$6</f>
        <v>13429.9317634217</v>
      </c>
      <c r="C237" s="36" t="n">
        <f aca="false">B237-D237</f>
        <v>6952.70261988452</v>
      </c>
      <c r="D237" s="36" t="n">
        <f aca="false">E236*$B$4/12</f>
        <v>6477.22914353713</v>
      </c>
      <c r="E237" s="36" t="n">
        <f aca="false">E236-C237</f>
        <v>1288493.12608754</v>
      </c>
    </row>
    <row r="238" customFormat="false" ht="15" hidden="false" customHeight="true" outlineLevel="0" collapsed="false">
      <c r="A238" s="128" t="n">
        <v>230</v>
      </c>
      <c r="B238" s="129" t="n">
        <f aca="false">$B$6</f>
        <v>13429.9317634217</v>
      </c>
      <c r="C238" s="129" t="n">
        <f aca="false">B238-D238</f>
        <v>6987.46613298395</v>
      </c>
      <c r="D238" s="129" t="n">
        <f aca="false">E237*$B$4/12</f>
        <v>6442.46563043771</v>
      </c>
      <c r="E238" s="129" t="n">
        <f aca="false">E237-C238</f>
        <v>1281505.65995456</v>
      </c>
    </row>
    <row r="239" customFormat="false" ht="15" hidden="false" customHeight="true" outlineLevel="0" collapsed="false">
      <c r="A239" s="127" t="n">
        <v>231</v>
      </c>
      <c r="B239" s="36" t="n">
        <f aca="false">$B$6</f>
        <v>13429.9317634217</v>
      </c>
      <c r="C239" s="36" t="n">
        <f aca="false">B239-D239</f>
        <v>7022.40346364886</v>
      </c>
      <c r="D239" s="36" t="n">
        <f aca="false">E238*$B$4/12</f>
        <v>6407.52829977279</v>
      </c>
      <c r="E239" s="36" t="n">
        <f aca="false">E238-C239</f>
        <v>1274483.25649091</v>
      </c>
    </row>
    <row r="240" customFormat="false" ht="15" hidden="false" customHeight="true" outlineLevel="0" collapsed="false">
      <c r="A240" s="128" t="n">
        <v>232</v>
      </c>
      <c r="B240" s="129" t="n">
        <f aca="false">$B$6</f>
        <v>13429.9317634217</v>
      </c>
      <c r="C240" s="129" t="n">
        <f aca="false">B240-D240</f>
        <v>7057.51548096711</v>
      </c>
      <c r="D240" s="129" t="n">
        <f aca="false">E239*$B$4/12</f>
        <v>6372.41628245455</v>
      </c>
      <c r="E240" s="129" t="n">
        <f aca="false">E239-C240</f>
        <v>1267425.74100994</v>
      </c>
    </row>
    <row r="241" customFormat="false" ht="15" hidden="false" customHeight="true" outlineLevel="0" collapsed="false">
      <c r="A241" s="127" t="n">
        <v>233</v>
      </c>
      <c r="B241" s="36" t="n">
        <f aca="false">$B$6</f>
        <v>13429.9317634217</v>
      </c>
      <c r="C241" s="36" t="n">
        <f aca="false">B241-D241</f>
        <v>7092.80305837194</v>
      </c>
      <c r="D241" s="36" t="n">
        <f aca="false">E240*$B$4/12</f>
        <v>6337.12870504971</v>
      </c>
      <c r="E241" s="36" t="n">
        <f aca="false">E240-C241</f>
        <v>1260332.93795157</v>
      </c>
    </row>
    <row r="242" customFormat="false" ht="15" hidden="false" customHeight="true" outlineLevel="0" collapsed="false">
      <c r="A242" s="128" t="n">
        <v>234</v>
      </c>
      <c r="B242" s="129" t="n">
        <f aca="false">$B$6</f>
        <v>13429.9317634217</v>
      </c>
      <c r="C242" s="129" t="n">
        <f aca="false">B242-D242</f>
        <v>7128.2670736638</v>
      </c>
      <c r="D242" s="129" t="n">
        <f aca="false">E241*$B$4/12</f>
        <v>6301.66468975785</v>
      </c>
      <c r="E242" s="129" t="n">
        <f aca="false">E241-C242</f>
        <v>1253204.67087791</v>
      </c>
    </row>
    <row r="243" customFormat="false" ht="15" hidden="false" customHeight="true" outlineLevel="0" collapsed="false">
      <c r="A243" s="127" t="n">
        <v>235</v>
      </c>
      <c r="B243" s="36" t="n">
        <f aca="false">$B$6</f>
        <v>13429.9317634217</v>
      </c>
      <c r="C243" s="36" t="n">
        <f aca="false">B243-D243</f>
        <v>7163.90840903212</v>
      </c>
      <c r="D243" s="36" t="n">
        <f aca="false">E242*$B$4/12</f>
        <v>6266.02335438953</v>
      </c>
      <c r="E243" s="36" t="n">
        <f aca="false">E242-C243</f>
        <v>1246040.76246887</v>
      </c>
    </row>
    <row r="244" customFormat="false" ht="15" hidden="false" customHeight="true" outlineLevel="0" collapsed="false">
      <c r="A244" s="128" t="n">
        <v>236</v>
      </c>
      <c r="B244" s="129" t="n">
        <f aca="false">$B$6</f>
        <v>13429.9317634217</v>
      </c>
      <c r="C244" s="129" t="n">
        <f aca="false">B244-D244</f>
        <v>7199.72795107728</v>
      </c>
      <c r="D244" s="129" t="n">
        <f aca="false">E243*$B$4/12</f>
        <v>6230.20381234437</v>
      </c>
      <c r="E244" s="129" t="n">
        <f aca="false">E243-C244</f>
        <v>1238841.0345178</v>
      </c>
    </row>
    <row r="245" customFormat="false" ht="15" hidden="false" customHeight="true" outlineLevel="0" collapsed="false">
      <c r="A245" s="127" t="n">
        <v>237</v>
      </c>
      <c r="B245" s="36" t="n">
        <f aca="false">$B$6</f>
        <v>13429.9317634217</v>
      </c>
      <c r="C245" s="36" t="n">
        <f aca="false">B245-D245</f>
        <v>7235.72659083267</v>
      </c>
      <c r="D245" s="36" t="n">
        <f aca="false">E244*$B$4/12</f>
        <v>6194.20517258899</v>
      </c>
      <c r="E245" s="36" t="n">
        <f aca="false">E244-C245</f>
        <v>1231605.30792696</v>
      </c>
    </row>
    <row r="246" customFormat="false" ht="15" hidden="false" customHeight="true" outlineLevel="0" collapsed="false">
      <c r="A246" s="128" t="n">
        <v>238</v>
      </c>
      <c r="B246" s="129" t="n">
        <f aca="false">$B$6</f>
        <v>13429.9317634217</v>
      </c>
      <c r="C246" s="129" t="n">
        <f aca="false">B246-D246</f>
        <v>7271.90522378683</v>
      </c>
      <c r="D246" s="129" t="n">
        <f aca="false">E245*$B$4/12</f>
        <v>6158.02653963482</v>
      </c>
      <c r="E246" s="129" t="n">
        <f aca="false">E245-C246</f>
        <v>1224333.40270318</v>
      </c>
    </row>
    <row r="247" customFormat="false" ht="15" hidden="false" customHeight="true" outlineLevel="0" collapsed="false">
      <c r="A247" s="127" t="n">
        <v>239</v>
      </c>
      <c r="B247" s="36" t="n">
        <f aca="false">$B$6</f>
        <v>13429.9317634217</v>
      </c>
      <c r="C247" s="36" t="n">
        <f aca="false">B247-D247</f>
        <v>7308.26474990577</v>
      </c>
      <c r="D247" s="36" t="n">
        <f aca="false">E246*$B$4/12</f>
        <v>6121.66701351589</v>
      </c>
      <c r="E247" s="36" t="n">
        <f aca="false">E246-C247</f>
        <v>1217025.13795327</v>
      </c>
    </row>
    <row r="248" customFormat="false" ht="15" hidden="false" customHeight="true" outlineLevel="0" collapsed="false">
      <c r="A248" s="128" t="n">
        <v>240</v>
      </c>
      <c r="B248" s="129" t="n">
        <f aca="false">$B$6</f>
        <v>13429.9317634217</v>
      </c>
      <c r="C248" s="129" t="n">
        <f aca="false">B248-D248</f>
        <v>7344.8060736553</v>
      </c>
      <c r="D248" s="129" t="n">
        <f aca="false">E247*$B$4/12</f>
        <v>6085.12568976636</v>
      </c>
      <c r="E248" s="129" t="n">
        <f aca="false">E247-C248</f>
        <v>1209680.33187962</v>
      </c>
    </row>
    <row r="249" customFormat="false" ht="15" hidden="false" customHeight="true" outlineLevel="0" collapsed="false">
      <c r="A249" s="127" t="n">
        <v>241</v>
      </c>
      <c r="B249" s="36" t="n">
        <f aca="false">$B$6</f>
        <v>13429.9317634217</v>
      </c>
      <c r="C249" s="36" t="n">
        <f aca="false">B249-D249</f>
        <v>7381.53010402357</v>
      </c>
      <c r="D249" s="36" t="n">
        <f aca="false">E248*$B$4/12</f>
        <v>6048.40165939808</v>
      </c>
      <c r="E249" s="36" t="n">
        <f aca="false">E248-C249</f>
        <v>1202298.80177559</v>
      </c>
    </row>
    <row r="250" customFormat="false" ht="15" hidden="false" customHeight="true" outlineLevel="0" collapsed="false">
      <c r="A250" s="128" t="n">
        <v>242</v>
      </c>
      <c r="B250" s="129" t="n">
        <f aca="false">$B$6</f>
        <v>13429.9317634217</v>
      </c>
      <c r="C250" s="129" t="n">
        <f aca="false">B250-D250</f>
        <v>7418.43775454369</v>
      </c>
      <c r="D250" s="129" t="n">
        <f aca="false">E249*$B$4/12</f>
        <v>6011.49400887796</v>
      </c>
      <c r="E250" s="129" t="n">
        <f aca="false">E249-C250</f>
        <v>1194880.36402105</v>
      </c>
    </row>
    <row r="251" customFormat="false" ht="15" hidden="false" customHeight="true" outlineLevel="0" collapsed="false">
      <c r="A251" s="127" t="n">
        <v>243</v>
      </c>
      <c r="B251" s="36" t="n">
        <f aca="false">$B$6</f>
        <v>13429.9317634217</v>
      </c>
      <c r="C251" s="36" t="n">
        <f aca="false">B251-D251</f>
        <v>7455.52994331641</v>
      </c>
      <c r="D251" s="36" t="n">
        <f aca="false">E250*$B$4/12</f>
        <v>5974.40182010525</v>
      </c>
      <c r="E251" s="36" t="n">
        <f aca="false">E250-C251</f>
        <v>1187424.83407773</v>
      </c>
    </row>
    <row r="252" customFormat="false" ht="15" hidden="false" customHeight="true" outlineLevel="0" collapsed="false">
      <c r="A252" s="128" t="n">
        <v>244</v>
      </c>
      <c r="B252" s="129" t="n">
        <f aca="false">$B$6</f>
        <v>13429.9317634217</v>
      </c>
      <c r="C252" s="129" t="n">
        <f aca="false">B252-D252</f>
        <v>7492.80759303299</v>
      </c>
      <c r="D252" s="129" t="n">
        <f aca="false">E251*$B$4/12</f>
        <v>5937.12417038866</v>
      </c>
      <c r="E252" s="129" t="n">
        <f aca="false">E251-C252</f>
        <v>1179932.0264847</v>
      </c>
    </row>
    <row r="253" customFormat="false" ht="15" hidden="false" customHeight="true" outlineLevel="0" collapsed="false">
      <c r="A253" s="127" t="n">
        <v>245</v>
      </c>
      <c r="B253" s="36" t="n">
        <f aca="false">$B$6</f>
        <v>13429.9317634217</v>
      </c>
      <c r="C253" s="36" t="n">
        <f aca="false">B253-D253</f>
        <v>7530.27163099816</v>
      </c>
      <c r="D253" s="36" t="n">
        <f aca="false">E252*$B$4/12</f>
        <v>5899.6601324235</v>
      </c>
      <c r="E253" s="36" t="n">
        <f aca="false">E252-C253</f>
        <v>1172401.7548537</v>
      </c>
    </row>
    <row r="254" customFormat="false" ht="15" hidden="false" customHeight="true" outlineLevel="0" collapsed="false">
      <c r="A254" s="128" t="n">
        <v>246</v>
      </c>
      <c r="B254" s="129" t="n">
        <f aca="false">$B$6</f>
        <v>13429.9317634217</v>
      </c>
      <c r="C254" s="129" t="n">
        <f aca="false">B254-D254</f>
        <v>7567.92298915315</v>
      </c>
      <c r="D254" s="129" t="n">
        <f aca="false">E253*$B$4/12</f>
        <v>5862.00877426851</v>
      </c>
      <c r="E254" s="129" t="n">
        <f aca="false">E253-C254</f>
        <v>1164833.83186455</v>
      </c>
    </row>
    <row r="255" customFormat="false" ht="15" hidden="false" customHeight="true" outlineLevel="0" collapsed="false">
      <c r="A255" s="127" t="n">
        <v>247</v>
      </c>
      <c r="B255" s="36" t="n">
        <f aca="false">$B$6</f>
        <v>13429.9317634217</v>
      </c>
      <c r="C255" s="36" t="n">
        <f aca="false">B255-D255</f>
        <v>7605.76260409891</v>
      </c>
      <c r="D255" s="36" t="n">
        <f aca="false">E254*$B$4/12</f>
        <v>5824.16915932274</v>
      </c>
      <c r="E255" s="36" t="n">
        <f aca="false">E254-C255</f>
        <v>1157228.06926045</v>
      </c>
    </row>
    <row r="256" customFormat="false" ht="15" hidden="false" customHeight="true" outlineLevel="0" collapsed="false">
      <c r="A256" s="128" t="n">
        <v>248</v>
      </c>
      <c r="B256" s="129" t="n">
        <f aca="false">$B$6</f>
        <v>13429.9317634217</v>
      </c>
      <c r="C256" s="129" t="n">
        <f aca="false">B256-D256</f>
        <v>7643.79141711941</v>
      </c>
      <c r="D256" s="129" t="n">
        <f aca="false">E255*$B$4/12</f>
        <v>5786.14034630225</v>
      </c>
      <c r="E256" s="129" t="n">
        <f aca="false">E255-C256</f>
        <v>1149584.27784333</v>
      </c>
    </row>
    <row r="257" customFormat="false" ht="15" hidden="false" customHeight="true" outlineLevel="0" collapsed="false">
      <c r="A257" s="127" t="n">
        <v>249</v>
      </c>
      <c r="B257" s="36" t="n">
        <f aca="false">$B$6</f>
        <v>13429.9317634217</v>
      </c>
      <c r="C257" s="36" t="n">
        <f aca="false">B257-D257</f>
        <v>7682.010374205</v>
      </c>
      <c r="D257" s="36" t="n">
        <f aca="false">E256*$B$4/12</f>
        <v>5747.92138921665</v>
      </c>
      <c r="E257" s="36" t="n">
        <f aca="false">E256-C257</f>
        <v>1141902.26746913</v>
      </c>
    </row>
    <row r="258" customFormat="false" ht="15" hidden="false" customHeight="true" outlineLevel="0" collapsed="false">
      <c r="A258" s="128" t="n">
        <v>250</v>
      </c>
      <c r="B258" s="129" t="n">
        <f aca="false">$B$6</f>
        <v>13429.9317634217</v>
      </c>
      <c r="C258" s="129" t="n">
        <f aca="false">B258-D258</f>
        <v>7720.42042607603</v>
      </c>
      <c r="D258" s="129" t="n">
        <f aca="false">E257*$B$4/12</f>
        <v>5709.51133734563</v>
      </c>
      <c r="E258" s="129" t="n">
        <f aca="false">E257-C258</f>
        <v>1134181.84704305</v>
      </c>
    </row>
    <row r="259" customFormat="false" ht="15" hidden="false" customHeight="true" outlineLevel="0" collapsed="false">
      <c r="A259" s="127" t="n">
        <v>251</v>
      </c>
      <c r="B259" s="36" t="n">
        <f aca="false">$B$6</f>
        <v>13429.9317634217</v>
      </c>
      <c r="C259" s="36" t="n">
        <f aca="false">B259-D259</f>
        <v>7759.02252820641</v>
      </c>
      <c r="D259" s="36" t="n">
        <f aca="false">E258*$B$4/12</f>
        <v>5670.90923521525</v>
      </c>
      <c r="E259" s="36" t="n">
        <f aca="false">E258-C259</f>
        <v>1126422.82451484</v>
      </c>
    </row>
    <row r="260" customFormat="false" ht="15" hidden="false" customHeight="true" outlineLevel="0" collapsed="false">
      <c r="A260" s="128" t="n">
        <v>252</v>
      </c>
      <c r="B260" s="129" t="n">
        <f aca="false">$B$6</f>
        <v>13429.9317634217</v>
      </c>
      <c r="C260" s="129" t="n">
        <f aca="false">B260-D260</f>
        <v>7797.81764084744</v>
      </c>
      <c r="D260" s="129" t="n">
        <f aca="false">E259*$B$4/12</f>
        <v>5632.11412257421</v>
      </c>
      <c r="E260" s="129" t="n">
        <f aca="false">E259-C260</f>
        <v>1118625.006874</v>
      </c>
    </row>
    <row r="261" customFormat="false" ht="15" hidden="false" customHeight="true" outlineLevel="0" collapsed="false">
      <c r="A261" s="127" t="n">
        <v>253</v>
      </c>
      <c r="B261" s="36" t="n">
        <f aca="false">$B$6</f>
        <v>13429.9317634217</v>
      </c>
      <c r="C261" s="36" t="n">
        <f aca="false">B261-D261</f>
        <v>7836.80672905168</v>
      </c>
      <c r="D261" s="36" t="n">
        <f aca="false">E260*$B$4/12</f>
        <v>5593.12503436998</v>
      </c>
      <c r="E261" s="36" t="n">
        <f aca="false">E260-C261</f>
        <v>1110788.20014494</v>
      </c>
    </row>
    <row r="262" customFormat="false" ht="15" hidden="false" customHeight="true" outlineLevel="0" collapsed="false">
      <c r="A262" s="128" t="n">
        <v>254</v>
      </c>
      <c r="B262" s="129" t="n">
        <f aca="false">$B$6</f>
        <v>13429.9317634217</v>
      </c>
      <c r="C262" s="129" t="n">
        <f aca="false">B262-D262</f>
        <v>7875.99076269694</v>
      </c>
      <c r="D262" s="129" t="n">
        <f aca="false">E261*$B$4/12</f>
        <v>5553.94100072472</v>
      </c>
      <c r="E262" s="129" t="n">
        <f aca="false">E261-C262</f>
        <v>1102912.20938225</v>
      </c>
    </row>
    <row r="263" customFormat="false" ht="15" hidden="false" customHeight="true" outlineLevel="0" collapsed="false">
      <c r="A263" s="127" t="n">
        <v>255</v>
      </c>
      <c r="B263" s="36" t="n">
        <f aca="false">$B$6</f>
        <v>13429.9317634217</v>
      </c>
      <c r="C263" s="36" t="n">
        <f aca="false">B263-D263</f>
        <v>7915.37071651042</v>
      </c>
      <c r="D263" s="36" t="n">
        <f aca="false">E262*$B$4/12</f>
        <v>5514.56104691123</v>
      </c>
      <c r="E263" s="36" t="n">
        <f aca="false">E262-C263</f>
        <v>1094996.83866574</v>
      </c>
    </row>
    <row r="264" customFormat="false" ht="15" hidden="false" customHeight="true" outlineLevel="0" collapsed="false">
      <c r="A264" s="128" t="n">
        <v>256</v>
      </c>
      <c r="B264" s="129" t="n">
        <f aca="false">$B$6</f>
        <v>13429.9317634217</v>
      </c>
      <c r="C264" s="129" t="n">
        <f aca="false">B264-D264</f>
        <v>7954.94757009297</v>
      </c>
      <c r="D264" s="129" t="n">
        <f aca="false">E263*$B$4/12</f>
        <v>5474.98419332868</v>
      </c>
      <c r="E264" s="129" t="n">
        <f aca="false">E263-C264</f>
        <v>1087041.89109564</v>
      </c>
    </row>
    <row r="265" customFormat="false" ht="15" hidden="false" customHeight="true" outlineLevel="0" collapsed="false">
      <c r="A265" s="127" t="n">
        <v>257</v>
      </c>
      <c r="B265" s="36" t="n">
        <f aca="false">$B$6</f>
        <v>13429.9317634217</v>
      </c>
      <c r="C265" s="36" t="n">
        <f aca="false">B265-D265</f>
        <v>7994.72230794344</v>
      </c>
      <c r="D265" s="36" t="n">
        <f aca="false">E264*$B$4/12</f>
        <v>5435.20945547822</v>
      </c>
      <c r="E265" s="36" t="n">
        <f aca="false">E264-C265</f>
        <v>1079047.1687877</v>
      </c>
    </row>
    <row r="266" customFormat="false" ht="15" hidden="false" customHeight="true" outlineLevel="0" collapsed="false">
      <c r="A266" s="128" t="n">
        <v>258</v>
      </c>
      <c r="B266" s="129" t="n">
        <f aca="false">$B$6</f>
        <v>13429.9317634217</v>
      </c>
      <c r="C266" s="129" t="n">
        <f aca="false">B266-D266</f>
        <v>8034.69591948316</v>
      </c>
      <c r="D266" s="129" t="n">
        <f aca="false">E265*$B$4/12</f>
        <v>5395.2358439385</v>
      </c>
      <c r="E266" s="129" t="n">
        <f aca="false">E265-C266</f>
        <v>1071012.47286822</v>
      </c>
    </row>
    <row r="267" customFormat="false" ht="15" hidden="false" customHeight="true" outlineLevel="0" collapsed="false">
      <c r="A267" s="127" t="n">
        <v>259</v>
      </c>
      <c r="B267" s="36" t="n">
        <f aca="false">$B$6</f>
        <v>13429.9317634217</v>
      </c>
      <c r="C267" s="36" t="n">
        <f aca="false">B267-D267</f>
        <v>8074.86939908057</v>
      </c>
      <c r="D267" s="36" t="n">
        <f aca="false">E266*$B$4/12</f>
        <v>5355.06236434108</v>
      </c>
      <c r="E267" s="36" t="n">
        <f aca="false">E266-C267</f>
        <v>1062937.60346914</v>
      </c>
    </row>
    <row r="268" customFormat="false" ht="15" hidden="false" customHeight="true" outlineLevel="0" collapsed="false">
      <c r="A268" s="128" t="n">
        <v>260</v>
      </c>
      <c r="B268" s="129" t="n">
        <f aca="false">$B$6</f>
        <v>13429.9317634217</v>
      </c>
      <c r="C268" s="129" t="n">
        <f aca="false">B268-D268</f>
        <v>8115.24374607598</v>
      </c>
      <c r="D268" s="129" t="n">
        <f aca="false">E267*$B$4/12</f>
        <v>5314.68801734568</v>
      </c>
      <c r="E268" s="129" t="n">
        <f aca="false">E267-C268</f>
        <v>1054822.35972306</v>
      </c>
    </row>
    <row r="269" customFormat="false" ht="15" hidden="false" customHeight="true" outlineLevel="0" collapsed="false">
      <c r="A269" s="127" t="n">
        <v>261</v>
      </c>
      <c r="B269" s="36" t="n">
        <f aca="false">$B$6</f>
        <v>13429.9317634217</v>
      </c>
      <c r="C269" s="36" t="n">
        <f aca="false">B269-D269</f>
        <v>8155.81996480636</v>
      </c>
      <c r="D269" s="36" t="n">
        <f aca="false">E268*$B$4/12</f>
        <v>5274.1117986153</v>
      </c>
      <c r="E269" s="36" t="n">
        <f aca="false">E268-C269</f>
        <v>1046666.53975825</v>
      </c>
    </row>
    <row r="270" customFormat="false" ht="15" hidden="false" customHeight="true" outlineLevel="0" collapsed="false">
      <c r="A270" s="128" t="n">
        <v>262</v>
      </c>
      <c r="B270" s="129" t="n">
        <f aca="false">$B$6</f>
        <v>13429.9317634217</v>
      </c>
      <c r="C270" s="129" t="n">
        <f aca="false">B270-D270</f>
        <v>8196.59906463039</v>
      </c>
      <c r="D270" s="129" t="n">
        <f aca="false">E269*$B$4/12</f>
        <v>5233.33269879127</v>
      </c>
      <c r="E270" s="129" t="n">
        <f aca="false">E269-C270</f>
        <v>1038469.94069362</v>
      </c>
    </row>
    <row r="271" customFormat="false" ht="15" hidden="false" customHeight="true" outlineLevel="0" collapsed="false">
      <c r="A271" s="127" t="n">
        <v>263</v>
      </c>
      <c r="B271" s="36" t="n">
        <f aca="false">$B$6</f>
        <v>13429.9317634217</v>
      </c>
      <c r="C271" s="36" t="n">
        <f aca="false">B271-D271</f>
        <v>8237.58205995354</v>
      </c>
      <c r="D271" s="36" t="n">
        <f aca="false">E270*$B$4/12</f>
        <v>5192.34970346812</v>
      </c>
      <c r="E271" s="36" t="n">
        <f aca="false">E270-C271</f>
        <v>1030232.35863367</v>
      </c>
    </row>
    <row r="272" customFormat="false" ht="15" hidden="false" customHeight="true" outlineLevel="0" collapsed="false">
      <c r="A272" s="128" t="n">
        <v>264</v>
      </c>
      <c r="B272" s="129" t="n">
        <f aca="false">$B$6</f>
        <v>13429.9317634217</v>
      </c>
      <c r="C272" s="129" t="n">
        <f aca="false">B272-D272</f>
        <v>8278.76997025331</v>
      </c>
      <c r="D272" s="129" t="n">
        <f aca="false">E271*$B$4/12</f>
        <v>5151.16179316835</v>
      </c>
      <c r="E272" s="129" t="n">
        <f aca="false">E271-C272</f>
        <v>1021953.58866342</v>
      </c>
    </row>
    <row r="273" customFormat="false" ht="15" hidden="false" customHeight="true" outlineLevel="0" collapsed="false">
      <c r="A273" s="127" t="n">
        <v>265</v>
      </c>
      <c r="B273" s="36" t="n">
        <f aca="false">$B$6</f>
        <v>13429.9317634217</v>
      </c>
      <c r="C273" s="36" t="n">
        <f aca="false">B273-D273</f>
        <v>8320.16382010457</v>
      </c>
      <c r="D273" s="36" t="n">
        <f aca="false">E272*$B$4/12</f>
        <v>5109.76794331708</v>
      </c>
      <c r="E273" s="36" t="n">
        <f aca="false">E272-C273</f>
        <v>1013633.42484331</v>
      </c>
    </row>
    <row r="274" customFormat="false" ht="15" hidden="false" customHeight="true" outlineLevel="0" collapsed="false">
      <c r="A274" s="128" t="n">
        <v>266</v>
      </c>
      <c r="B274" s="129" t="n">
        <f aca="false">$B$6</f>
        <v>13429.9317634217</v>
      </c>
      <c r="C274" s="129" t="n">
        <f aca="false">B274-D274</f>
        <v>8361.7646392051</v>
      </c>
      <c r="D274" s="129" t="n">
        <f aca="false">E273*$B$4/12</f>
        <v>5068.16712421656</v>
      </c>
      <c r="E274" s="129" t="n">
        <f aca="false">E273-C274</f>
        <v>1005271.66020411</v>
      </c>
    </row>
    <row r="275" customFormat="false" ht="15" hidden="false" customHeight="true" outlineLevel="0" collapsed="false">
      <c r="A275" s="127" t="n">
        <v>267</v>
      </c>
      <c r="B275" s="36" t="n">
        <f aca="false">$B$6</f>
        <v>13429.9317634217</v>
      </c>
      <c r="C275" s="36" t="n">
        <f aca="false">B275-D275</f>
        <v>8403.57346240112</v>
      </c>
      <c r="D275" s="36" t="n">
        <f aca="false">E274*$B$4/12</f>
        <v>5026.35830102053</v>
      </c>
      <c r="E275" s="36" t="n">
        <f aca="false">E274-C275</f>
        <v>996868.086741706</v>
      </c>
    </row>
    <row r="276" customFormat="false" ht="15" hidden="false" customHeight="true" outlineLevel="0" collapsed="false">
      <c r="A276" s="128" t="n">
        <v>268</v>
      </c>
      <c r="B276" s="129" t="n">
        <f aca="false">$B$6</f>
        <v>13429.9317634217</v>
      </c>
      <c r="C276" s="129" t="n">
        <f aca="false">B276-D276</f>
        <v>8445.59132971313</v>
      </c>
      <c r="D276" s="129" t="n">
        <f aca="false">E275*$B$4/12</f>
        <v>4984.34043370853</v>
      </c>
      <c r="E276" s="129" t="n">
        <f aca="false">E275-C276</f>
        <v>988422.495411992</v>
      </c>
    </row>
    <row r="277" customFormat="false" ht="15" hidden="false" customHeight="true" outlineLevel="0" collapsed="false">
      <c r="A277" s="127" t="n">
        <v>269</v>
      </c>
      <c r="B277" s="36" t="n">
        <f aca="false">$B$6</f>
        <v>13429.9317634217</v>
      </c>
      <c r="C277" s="36" t="n">
        <f aca="false">B277-D277</f>
        <v>8487.81928636169</v>
      </c>
      <c r="D277" s="36" t="n">
        <f aca="false">E276*$B$4/12</f>
        <v>4942.11247705996</v>
      </c>
      <c r="E277" s="36" t="n">
        <f aca="false">E276-C277</f>
        <v>979934.676125631</v>
      </c>
    </row>
    <row r="278" customFormat="false" ht="15" hidden="false" customHeight="true" outlineLevel="0" collapsed="false">
      <c r="A278" s="128" t="n">
        <v>270</v>
      </c>
      <c r="B278" s="129" t="n">
        <f aca="false">$B$6</f>
        <v>13429.9317634217</v>
      </c>
      <c r="C278" s="129" t="n">
        <f aca="false">B278-D278</f>
        <v>8530.2583827935</v>
      </c>
      <c r="D278" s="129" t="n">
        <f aca="false">E277*$B$4/12</f>
        <v>4899.67338062815</v>
      </c>
      <c r="E278" s="129" t="n">
        <f aca="false">E277-C278</f>
        <v>971404.417742837</v>
      </c>
    </row>
    <row r="279" customFormat="false" ht="15" hidden="false" customHeight="true" outlineLevel="0" collapsed="false">
      <c r="A279" s="127" t="n">
        <v>271</v>
      </c>
      <c r="B279" s="36" t="n">
        <f aca="false">$B$6</f>
        <v>13429.9317634217</v>
      </c>
      <c r="C279" s="36" t="n">
        <f aca="false">B279-D279</f>
        <v>8572.90967470747</v>
      </c>
      <c r="D279" s="36" t="n">
        <f aca="false">E278*$B$4/12</f>
        <v>4857.02208871419</v>
      </c>
      <c r="E279" s="36" t="n">
        <f aca="false">E278-C279</f>
        <v>962831.50806813</v>
      </c>
    </row>
    <row r="280" customFormat="false" ht="15" hidden="false" customHeight="true" outlineLevel="0" collapsed="false">
      <c r="A280" s="128" t="n">
        <v>272</v>
      </c>
      <c r="B280" s="129" t="n">
        <f aca="false">$B$6</f>
        <v>13429.9317634217</v>
      </c>
      <c r="C280" s="129" t="n">
        <f aca="false">B280-D280</f>
        <v>8615.77422308101</v>
      </c>
      <c r="D280" s="129" t="n">
        <f aca="false">E279*$B$4/12</f>
        <v>4814.15754034065</v>
      </c>
      <c r="E280" s="129" t="n">
        <f aca="false">E279-C280</f>
        <v>954215.733845049</v>
      </c>
    </row>
    <row r="281" customFormat="false" ht="15" hidden="false" customHeight="true" outlineLevel="0" collapsed="false">
      <c r="A281" s="127" t="n">
        <v>273</v>
      </c>
      <c r="B281" s="36" t="n">
        <f aca="false">$B$6</f>
        <v>13429.9317634217</v>
      </c>
      <c r="C281" s="36" t="n">
        <f aca="false">B281-D281</f>
        <v>8658.85309419641</v>
      </c>
      <c r="D281" s="36" t="n">
        <f aca="false">E280*$B$4/12</f>
        <v>4771.07866922524</v>
      </c>
      <c r="E281" s="36" t="n">
        <f aca="false">E280-C281</f>
        <v>945556.880750852</v>
      </c>
    </row>
    <row r="282" customFormat="false" ht="15" hidden="false" customHeight="true" outlineLevel="0" collapsed="false">
      <c r="A282" s="128" t="n">
        <v>274</v>
      </c>
      <c r="B282" s="129" t="n">
        <f aca="false">$B$6</f>
        <v>13429.9317634217</v>
      </c>
      <c r="C282" s="129" t="n">
        <f aca="false">B282-D282</f>
        <v>8702.14735966739</v>
      </c>
      <c r="D282" s="129" t="n">
        <f aca="false">E281*$B$4/12</f>
        <v>4727.78440375426</v>
      </c>
      <c r="E282" s="129" t="n">
        <f aca="false">E281-C282</f>
        <v>936854.733391185</v>
      </c>
    </row>
    <row r="283" customFormat="false" ht="15" hidden="false" customHeight="true" outlineLevel="0" collapsed="false">
      <c r="A283" s="127" t="n">
        <v>275</v>
      </c>
      <c r="B283" s="36" t="n">
        <f aca="false">$B$6</f>
        <v>13429.9317634217</v>
      </c>
      <c r="C283" s="36" t="n">
        <f aca="false">B283-D283</f>
        <v>8745.65809646573</v>
      </c>
      <c r="D283" s="36" t="n">
        <f aca="false">E282*$B$4/12</f>
        <v>4684.27366695593</v>
      </c>
      <c r="E283" s="36" t="n">
        <f aca="false">E282-C283</f>
        <v>928109.075294719</v>
      </c>
    </row>
    <row r="284" customFormat="false" ht="15" hidden="false" customHeight="true" outlineLevel="0" collapsed="false">
      <c r="A284" s="128" t="n">
        <v>276</v>
      </c>
      <c r="B284" s="129" t="n">
        <f aca="false">$B$6</f>
        <v>13429.9317634217</v>
      </c>
      <c r="C284" s="129" t="n">
        <f aca="false">B284-D284</f>
        <v>8789.38638694806</v>
      </c>
      <c r="D284" s="129" t="n">
        <f aca="false">E283*$B$4/12</f>
        <v>4640.5453764736</v>
      </c>
      <c r="E284" s="129" t="n">
        <f aca="false">E283-C284</f>
        <v>919319.688907771</v>
      </c>
    </row>
    <row r="285" customFormat="false" ht="15" hidden="false" customHeight="true" outlineLevel="0" collapsed="false">
      <c r="A285" s="127" t="n">
        <v>277</v>
      </c>
      <c r="B285" s="36" t="n">
        <f aca="false">$B$6</f>
        <v>13429.9317634217</v>
      </c>
      <c r="C285" s="36" t="n">
        <f aca="false">B285-D285</f>
        <v>8833.3333188828</v>
      </c>
      <c r="D285" s="36" t="n">
        <f aca="false">E284*$B$4/12</f>
        <v>4596.59844453886</v>
      </c>
      <c r="E285" s="36" t="n">
        <f aca="false">E284-C285</f>
        <v>910486.355588888</v>
      </c>
    </row>
    <row r="286" customFormat="false" ht="15" hidden="false" customHeight="true" outlineLevel="0" collapsed="false">
      <c r="A286" s="128" t="n">
        <v>278</v>
      </c>
      <c r="B286" s="129" t="n">
        <f aca="false">$B$6</f>
        <v>13429.9317634217</v>
      </c>
      <c r="C286" s="129" t="n">
        <f aca="false">B286-D286</f>
        <v>8877.49998547721</v>
      </c>
      <c r="D286" s="129" t="n">
        <f aca="false">E285*$B$4/12</f>
        <v>4552.43177794444</v>
      </c>
      <c r="E286" s="129" t="n">
        <f aca="false">E285-C286</f>
        <v>901608.855603411</v>
      </c>
    </row>
    <row r="287" customFormat="false" ht="15" hidden="false" customHeight="true" outlineLevel="0" collapsed="false">
      <c r="A287" s="127" t="n">
        <v>279</v>
      </c>
      <c r="B287" s="36" t="n">
        <f aca="false">$B$6</f>
        <v>13429.9317634217</v>
      </c>
      <c r="C287" s="36" t="n">
        <f aca="false">B287-D287</f>
        <v>8921.8874854046</v>
      </c>
      <c r="D287" s="36" t="n">
        <f aca="false">E286*$B$4/12</f>
        <v>4508.04427801706</v>
      </c>
      <c r="E287" s="36" t="n">
        <f aca="false">E286-C287</f>
        <v>892686.968118007</v>
      </c>
    </row>
    <row r="288" customFormat="false" ht="15" hidden="false" customHeight="true" outlineLevel="0" collapsed="false">
      <c r="A288" s="128" t="n">
        <v>280</v>
      </c>
      <c r="B288" s="129" t="n">
        <f aca="false">$B$6</f>
        <v>13429.9317634217</v>
      </c>
      <c r="C288" s="129" t="n">
        <f aca="false">B288-D288</f>
        <v>8966.49692283162</v>
      </c>
      <c r="D288" s="129" t="n">
        <f aca="false">E287*$B$4/12</f>
        <v>4463.43484059003</v>
      </c>
      <c r="E288" s="129" t="n">
        <f aca="false">E287-C288</f>
        <v>883720.471195175</v>
      </c>
    </row>
    <row r="289" customFormat="false" ht="15" hidden="false" customHeight="true" outlineLevel="0" collapsed="false">
      <c r="A289" s="127" t="n">
        <v>281</v>
      </c>
      <c r="B289" s="36" t="n">
        <f aca="false">$B$6</f>
        <v>13429.9317634217</v>
      </c>
      <c r="C289" s="36" t="n">
        <f aca="false">B289-D289</f>
        <v>9011.32940744578</v>
      </c>
      <c r="D289" s="36" t="n">
        <f aca="false">E288*$B$4/12</f>
        <v>4418.60235597588</v>
      </c>
      <c r="E289" s="36" t="n">
        <f aca="false">E288-C289</f>
        <v>874709.141787729</v>
      </c>
    </row>
    <row r="290" customFormat="false" ht="15" hidden="false" customHeight="true" outlineLevel="0" collapsed="false">
      <c r="A290" s="128" t="n">
        <v>282</v>
      </c>
      <c r="B290" s="129" t="n">
        <f aca="false">$B$6</f>
        <v>13429.9317634217</v>
      </c>
      <c r="C290" s="129" t="n">
        <f aca="false">B290-D290</f>
        <v>9056.38605448301</v>
      </c>
      <c r="D290" s="129" t="n">
        <f aca="false">E289*$B$4/12</f>
        <v>4373.54570893865</v>
      </c>
      <c r="E290" s="129" t="n">
        <f aca="false">E289-C290</f>
        <v>865652.755733246</v>
      </c>
    </row>
    <row r="291" customFormat="false" ht="15" hidden="false" customHeight="true" outlineLevel="0" collapsed="false">
      <c r="A291" s="127" t="n">
        <v>283</v>
      </c>
      <c r="B291" s="36" t="n">
        <f aca="false">$B$6</f>
        <v>13429.9317634217</v>
      </c>
      <c r="C291" s="36" t="n">
        <f aca="false">B291-D291</f>
        <v>9101.66798475542</v>
      </c>
      <c r="D291" s="36" t="n">
        <f aca="false">E290*$B$4/12</f>
        <v>4328.26377866623</v>
      </c>
      <c r="E291" s="36" t="n">
        <f aca="false">E290-C291</f>
        <v>856551.087748491</v>
      </c>
    </row>
    <row r="292" customFormat="false" ht="15" hidden="false" customHeight="true" outlineLevel="0" collapsed="false">
      <c r="A292" s="128" t="n">
        <v>284</v>
      </c>
      <c r="B292" s="129" t="n">
        <f aca="false">$B$6</f>
        <v>13429.9317634217</v>
      </c>
      <c r="C292" s="129" t="n">
        <f aca="false">B292-D292</f>
        <v>9147.1763246792</v>
      </c>
      <c r="D292" s="129" t="n">
        <f aca="false">E291*$B$4/12</f>
        <v>4282.75543874245</v>
      </c>
      <c r="E292" s="129" t="n">
        <f aca="false">E291-C292</f>
        <v>847403.911423812</v>
      </c>
    </row>
    <row r="293" customFormat="false" ht="15" hidden="false" customHeight="true" outlineLevel="0" collapsed="false">
      <c r="A293" s="127" t="n">
        <v>285</v>
      </c>
      <c r="B293" s="36" t="n">
        <f aca="false">$B$6</f>
        <v>13429.9317634217</v>
      </c>
      <c r="C293" s="36" t="n">
        <f aca="false">B293-D293</f>
        <v>9192.9122063026</v>
      </c>
      <c r="D293" s="36" t="n">
        <f aca="false">E292*$B$4/12</f>
        <v>4237.01955711906</v>
      </c>
      <c r="E293" s="36" t="n">
        <f aca="false">E292-C293</f>
        <v>838210.999217509</v>
      </c>
    </row>
    <row r="294" customFormat="false" ht="15" hidden="false" customHeight="true" outlineLevel="0" collapsed="false">
      <c r="A294" s="128" t="n">
        <v>286</v>
      </c>
      <c r="B294" s="129" t="n">
        <f aca="false">$B$6</f>
        <v>13429.9317634217</v>
      </c>
      <c r="C294" s="129" t="n">
        <f aca="false">B294-D294</f>
        <v>9238.87676733411</v>
      </c>
      <c r="D294" s="129" t="n">
        <f aca="false">E293*$B$4/12</f>
        <v>4191.05499608754</v>
      </c>
      <c r="E294" s="129" t="n">
        <f aca="false">E293-C294</f>
        <v>828972.122450175</v>
      </c>
    </row>
    <row r="295" customFormat="false" ht="15" hidden="false" customHeight="true" outlineLevel="0" collapsed="false">
      <c r="A295" s="127" t="n">
        <v>287</v>
      </c>
      <c r="B295" s="36" t="n">
        <f aca="false">$B$6</f>
        <v>13429.9317634217</v>
      </c>
      <c r="C295" s="36" t="n">
        <f aca="false">B295-D295</f>
        <v>9285.07115117078</v>
      </c>
      <c r="D295" s="36" t="n">
        <f aca="false">E294*$B$4/12</f>
        <v>4144.86061225087</v>
      </c>
      <c r="E295" s="36" t="n">
        <f aca="false">E294-C295</f>
        <v>819687.051299004</v>
      </c>
    </row>
    <row r="296" customFormat="false" ht="15" hidden="false" customHeight="true" outlineLevel="0" collapsed="false">
      <c r="A296" s="128" t="n">
        <v>288</v>
      </c>
      <c r="B296" s="129" t="n">
        <f aca="false">$B$6</f>
        <v>13429.9317634217</v>
      </c>
      <c r="C296" s="129" t="n">
        <f aca="false">B296-D296</f>
        <v>9331.49650692664</v>
      </c>
      <c r="D296" s="129" t="n">
        <f aca="false">E295*$B$4/12</f>
        <v>4098.43525649502</v>
      </c>
      <c r="E296" s="129" t="n">
        <f aca="false">E295-C296</f>
        <v>810355.554792078</v>
      </c>
    </row>
    <row r="297" customFormat="false" ht="15" hidden="false" customHeight="true" outlineLevel="0" collapsed="false">
      <c r="A297" s="127" t="n">
        <v>289</v>
      </c>
      <c r="B297" s="36" t="n">
        <f aca="false">$B$6</f>
        <v>13429.9317634217</v>
      </c>
      <c r="C297" s="36" t="n">
        <f aca="false">B297-D297</f>
        <v>9378.15398946127</v>
      </c>
      <c r="D297" s="36" t="n">
        <f aca="false">E296*$B$4/12</f>
        <v>4051.77777396039</v>
      </c>
      <c r="E297" s="36" t="n">
        <f aca="false">E296-C297</f>
        <v>800977.400802616</v>
      </c>
    </row>
    <row r="298" customFormat="false" ht="15" hidden="false" customHeight="true" outlineLevel="0" collapsed="false">
      <c r="A298" s="128" t="n">
        <v>290</v>
      </c>
      <c r="B298" s="129" t="n">
        <f aca="false">$B$6</f>
        <v>13429.9317634217</v>
      </c>
      <c r="C298" s="129" t="n">
        <f aca="false">B298-D298</f>
        <v>9425.04475940857</v>
      </c>
      <c r="D298" s="129" t="n">
        <f aca="false">E297*$B$4/12</f>
        <v>4004.88700401308</v>
      </c>
      <c r="E298" s="129" t="n">
        <f aca="false">E297-C298</f>
        <v>791552.356043208</v>
      </c>
    </row>
    <row r="299" customFormat="false" ht="15" hidden="false" customHeight="true" outlineLevel="0" collapsed="false">
      <c r="A299" s="127" t="n">
        <v>291</v>
      </c>
      <c r="B299" s="36" t="n">
        <f aca="false">$B$6</f>
        <v>13429.9317634217</v>
      </c>
      <c r="C299" s="36" t="n">
        <f aca="false">B299-D299</f>
        <v>9472.16998320562</v>
      </c>
      <c r="D299" s="36" t="n">
        <f aca="false">E298*$B$4/12</f>
        <v>3957.76178021604</v>
      </c>
      <c r="E299" s="36" t="n">
        <f aca="false">E298-C299</f>
        <v>782080.186060002</v>
      </c>
    </row>
    <row r="300" customFormat="false" ht="15" hidden="false" customHeight="true" outlineLevel="0" collapsed="false">
      <c r="A300" s="128" t="n">
        <v>292</v>
      </c>
      <c r="B300" s="129" t="n">
        <f aca="false">$B$6</f>
        <v>13429.9317634217</v>
      </c>
      <c r="C300" s="129" t="n">
        <f aca="false">B300-D300</f>
        <v>9519.53083312165</v>
      </c>
      <c r="D300" s="129" t="n">
        <f aca="false">E299*$B$4/12</f>
        <v>3910.40093030001</v>
      </c>
      <c r="E300" s="129" t="n">
        <f aca="false">E299-C300</f>
        <v>772560.655226881</v>
      </c>
    </row>
    <row r="301" customFormat="false" ht="15" hidden="false" customHeight="true" outlineLevel="0" collapsed="false">
      <c r="A301" s="127" t="n">
        <v>293</v>
      </c>
      <c r="B301" s="36" t="n">
        <f aca="false">$B$6</f>
        <v>13429.9317634217</v>
      </c>
      <c r="C301" s="36" t="n">
        <f aca="false">B301-D301</f>
        <v>9567.12848728725</v>
      </c>
      <c r="D301" s="36" t="n">
        <f aca="false">E300*$B$4/12</f>
        <v>3862.8032761344</v>
      </c>
      <c r="E301" s="36" t="n">
        <f aca="false">E300-C301</f>
        <v>762993.526739593</v>
      </c>
    </row>
    <row r="302" customFormat="false" ht="15" hidden="false" customHeight="true" outlineLevel="0" collapsed="false">
      <c r="A302" s="128" t="n">
        <v>294</v>
      </c>
      <c r="B302" s="129" t="n">
        <f aca="false">$B$6</f>
        <v>13429.9317634217</v>
      </c>
      <c r="C302" s="129" t="n">
        <f aca="false">B302-D302</f>
        <v>9614.96412972369</v>
      </c>
      <c r="D302" s="129" t="n">
        <f aca="false">E301*$B$4/12</f>
        <v>3814.96763369797</v>
      </c>
      <c r="E302" s="129" t="n">
        <f aca="false">E301-C302</f>
        <v>753378.56260987</v>
      </c>
    </row>
    <row r="303" customFormat="false" ht="15" hidden="false" customHeight="true" outlineLevel="0" collapsed="false">
      <c r="A303" s="127" t="n">
        <v>295</v>
      </c>
      <c r="B303" s="36" t="n">
        <f aca="false">$B$6</f>
        <v>13429.9317634217</v>
      </c>
      <c r="C303" s="36" t="n">
        <f aca="false">B303-D303</f>
        <v>9663.03895037231</v>
      </c>
      <c r="D303" s="36" t="n">
        <f aca="false">E302*$B$4/12</f>
        <v>3766.89281304935</v>
      </c>
      <c r="E303" s="36" t="n">
        <f aca="false">E302-C303</f>
        <v>743715.523659497</v>
      </c>
    </row>
    <row r="304" customFormat="false" ht="15" hidden="false" customHeight="true" outlineLevel="0" collapsed="false">
      <c r="A304" s="128" t="n">
        <v>296</v>
      </c>
      <c r="B304" s="129" t="n">
        <f aca="false">$B$6</f>
        <v>13429.9317634217</v>
      </c>
      <c r="C304" s="129" t="n">
        <f aca="false">B304-D304</f>
        <v>9711.35414512417</v>
      </c>
      <c r="D304" s="129" t="n">
        <f aca="false">E303*$B$4/12</f>
        <v>3718.57761829749</v>
      </c>
      <c r="E304" s="129" t="n">
        <f aca="false">E303-C304</f>
        <v>734004.169514373</v>
      </c>
    </row>
    <row r="305" customFormat="false" ht="15" hidden="false" customHeight="true" outlineLevel="0" collapsed="false">
      <c r="A305" s="127" t="n">
        <v>297</v>
      </c>
      <c r="B305" s="36" t="n">
        <f aca="false">$B$6</f>
        <v>13429.9317634217</v>
      </c>
      <c r="C305" s="36" t="n">
        <f aca="false">B305-D305</f>
        <v>9759.91091584979</v>
      </c>
      <c r="D305" s="36" t="n">
        <f aca="false">E304*$B$4/12</f>
        <v>3670.02084757187</v>
      </c>
      <c r="E305" s="36" t="n">
        <f aca="false">E304-C305</f>
        <v>724244.258598523</v>
      </c>
    </row>
    <row r="306" customFormat="false" ht="15" hidden="false" customHeight="true" outlineLevel="0" collapsed="false">
      <c r="A306" s="128" t="n">
        <v>298</v>
      </c>
      <c r="B306" s="129" t="n">
        <f aca="false">$B$6</f>
        <v>13429.9317634217</v>
      </c>
      <c r="C306" s="129" t="n">
        <f aca="false">B306-D306</f>
        <v>9808.71047042904</v>
      </c>
      <c r="D306" s="129" t="n">
        <f aca="false">E305*$B$4/12</f>
        <v>3621.22129299262</v>
      </c>
      <c r="E306" s="129" t="n">
        <f aca="false">E305-C306</f>
        <v>714435.548128094</v>
      </c>
    </row>
    <row r="307" customFormat="false" ht="15" hidden="false" customHeight="true" outlineLevel="0" collapsed="false">
      <c r="A307" s="127" t="n">
        <v>299</v>
      </c>
      <c r="B307" s="36" t="n">
        <f aca="false">$B$6</f>
        <v>13429.9317634217</v>
      </c>
      <c r="C307" s="36" t="n">
        <f aca="false">B307-D307</f>
        <v>9857.75402278118</v>
      </c>
      <c r="D307" s="36" t="n">
        <f aca="false">E306*$B$4/12</f>
        <v>3572.17774064047</v>
      </c>
      <c r="E307" s="36" t="n">
        <f aca="false">E306-C307</f>
        <v>704577.794105313</v>
      </c>
    </row>
    <row r="308" customFormat="false" ht="15" hidden="false" customHeight="true" outlineLevel="0" collapsed="false">
      <c r="A308" s="128" t="n">
        <v>300</v>
      </c>
      <c r="B308" s="129" t="n">
        <f aca="false">$B$6</f>
        <v>13429.9317634217</v>
      </c>
      <c r="C308" s="129" t="n">
        <f aca="false">B308-D308</f>
        <v>9907.04279289509</v>
      </c>
      <c r="D308" s="129" t="n">
        <f aca="false">E307*$B$4/12</f>
        <v>3522.88897052657</v>
      </c>
      <c r="E308" s="129" t="n">
        <f aca="false">E307-C308</f>
        <v>694670.751312418</v>
      </c>
    </row>
    <row r="309" customFormat="false" ht="15" hidden="false" customHeight="true" outlineLevel="0" collapsed="false">
      <c r="A309" s="127" t="n">
        <v>301</v>
      </c>
      <c r="B309" s="36" t="n">
        <f aca="false">$B$6</f>
        <v>13429.9317634217</v>
      </c>
      <c r="C309" s="36" t="n">
        <f aca="false">B309-D309</f>
        <v>9956.57800685957</v>
      </c>
      <c r="D309" s="36" t="n">
        <f aca="false">E308*$B$4/12</f>
        <v>3473.35375656209</v>
      </c>
      <c r="E309" s="36" t="n">
        <f aca="false">E308-C309</f>
        <v>684714.173305558</v>
      </c>
    </row>
    <row r="310" customFormat="false" ht="15" hidden="false" customHeight="true" outlineLevel="0" collapsed="false">
      <c r="A310" s="128" t="n">
        <v>302</v>
      </c>
      <c r="B310" s="129" t="n">
        <f aca="false">$B$6</f>
        <v>13429.9317634217</v>
      </c>
      <c r="C310" s="129" t="n">
        <f aca="false">B310-D310</f>
        <v>10006.3608968939</v>
      </c>
      <c r="D310" s="129" t="n">
        <f aca="false">E309*$B$4/12</f>
        <v>3423.57086652779</v>
      </c>
      <c r="E310" s="129" t="n">
        <f aca="false">E309-C310</f>
        <v>674707.812408665</v>
      </c>
    </row>
    <row r="311" customFormat="false" ht="15" hidden="false" customHeight="true" outlineLevel="0" collapsed="false">
      <c r="A311" s="127" t="n">
        <v>303</v>
      </c>
      <c r="B311" s="36" t="n">
        <f aca="false">$B$6</f>
        <v>13429.9317634217</v>
      </c>
      <c r="C311" s="36" t="n">
        <f aca="false">B311-D311</f>
        <v>10056.3927013783</v>
      </c>
      <c r="D311" s="36" t="n">
        <f aca="false">E310*$B$4/12</f>
        <v>3373.53906204332</v>
      </c>
      <c r="E311" s="36" t="n">
        <f aca="false">E310-C311</f>
        <v>664651.419707286</v>
      </c>
    </row>
    <row r="312" customFormat="false" ht="15" hidden="false" customHeight="true" outlineLevel="0" collapsed="false">
      <c r="A312" s="128" t="n">
        <v>304</v>
      </c>
      <c r="B312" s="129" t="n">
        <f aca="false">$B$6</f>
        <v>13429.9317634217</v>
      </c>
      <c r="C312" s="129" t="n">
        <f aca="false">B312-D312</f>
        <v>10106.6746648852</v>
      </c>
      <c r="D312" s="129" t="n">
        <f aca="false">E311*$B$4/12</f>
        <v>3323.25709853643</v>
      </c>
      <c r="E312" s="129" t="n">
        <f aca="false">E311-C312</f>
        <v>654544.745042401</v>
      </c>
    </row>
    <row r="313" customFormat="false" ht="15" hidden="false" customHeight="true" outlineLevel="0" collapsed="false">
      <c r="A313" s="127" t="n">
        <v>305</v>
      </c>
      <c r="B313" s="36" t="n">
        <f aca="false">$B$6</f>
        <v>13429.9317634217</v>
      </c>
      <c r="C313" s="36" t="n">
        <f aca="false">B313-D313</f>
        <v>10157.2080382097</v>
      </c>
      <c r="D313" s="36" t="n">
        <f aca="false">E312*$B$4/12</f>
        <v>3272.723725212</v>
      </c>
      <c r="E313" s="36" t="n">
        <f aca="false">E312-C313</f>
        <v>644387.537004191</v>
      </c>
    </row>
    <row r="314" customFormat="false" ht="15" hidden="false" customHeight="true" outlineLevel="0" collapsed="false">
      <c r="A314" s="128" t="n">
        <v>306</v>
      </c>
      <c r="B314" s="129" t="n">
        <f aca="false">$B$6</f>
        <v>13429.9317634217</v>
      </c>
      <c r="C314" s="129" t="n">
        <f aca="false">B314-D314</f>
        <v>10207.9940784007</v>
      </c>
      <c r="D314" s="129" t="n">
        <f aca="false">E313*$B$4/12</f>
        <v>3221.93768502096</v>
      </c>
      <c r="E314" s="129" t="n">
        <f aca="false">E313-C314</f>
        <v>634179.542925791</v>
      </c>
    </row>
    <row r="315" customFormat="false" ht="15" hidden="false" customHeight="true" outlineLevel="0" collapsed="false">
      <c r="A315" s="127" t="n">
        <v>307</v>
      </c>
      <c r="B315" s="36" t="n">
        <f aca="false">$B$6</f>
        <v>13429.9317634217</v>
      </c>
      <c r="C315" s="36" t="n">
        <f aca="false">B315-D315</f>
        <v>10259.0340487927</v>
      </c>
      <c r="D315" s="36" t="n">
        <f aca="false">E314*$B$4/12</f>
        <v>3170.89771462895</v>
      </c>
      <c r="E315" s="36" t="n">
        <f aca="false">E314-C315</f>
        <v>623920.508876998</v>
      </c>
    </row>
    <row r="316" customFormat="false" ht="15" hidden="false" customHeight="true" outlineLevel="0" collapsed="false">
      <c r="A316" s="128" t="n">
        <v>308</v>
      </c>
      <c r="B316" s="129" t="n">
        <f aca="false">$B$6</f>
        <v>13429.9317634217</v>
      </c>
      <c r="C316" s="129" t="n">
        <f aca="false">B316-D316</f>
        <v>10310.3292190367</v>
      </c>
      <c r="D316" s="129" t="n">
        <f aca="false">E315*$B$4/12</f>
        <v>3119.60254438499</v>
      </c>
      <c r="E316" s="129" t="n">
        <f aca="false">E315-C316</f>
        <v>613610.179657961</v>
      </c>
    </row>
    <row r="317" customFormat="false" ht="15" hidden="false" customHeight="true" outlineLevel="0" collapsed="false">
      <c r="A317" s="127" t="n">
        <v>309</v>
      </c>
      <c r="B317" s="36" t="n">
        <f aca="false">$B$6</f>
        <v>13429.9317634217</v>
      </c>
      <c r="C317" s="36" t="n">
        <f aca="false">B317-D317</f>
        <v>10361.8808651318</v>
      </c>
      <c r="D317" s="36" t="n">
        <f aca="false">E316*$B$4/12</f>
        <v>3068.05089828981</v>
      </c>
      <c r="E317" s="36" t="n">
        <f aca="false">E316-C317</f>
        <v>603248.298792829</v>
      </c>
    </row>
    <row r="318" customFormat="false" ht="15" hidden="false" customHeight="true" outlineLevel="0" collapsed="false">
      <c r="A318" s="128" t="n">
        <v>310</v>
      </c>
      <c r="B318" s="129" t="n">
        <f aca="false">$B$6</f>
        <v>13429.9317634217</v>
      </c>
      <c r="C318" s="129" t="n">
        <f aca="false">B318-D318</f>
        <v>10413.6902694575</v>
      </c>
      <c r="D318" s="129" t="n">
        <f aca="false">E317*$B$4/12</f>
        <v>3016.24149396415</v>
      </c>
      <c r="E318" s="129" t="n">
        <f aca="false">E317-C318</f>
        <v>592834.608523372</v>
      </c>
    </row>
    <row r="319" customFormat="false" ht="15" hidden="false" customHeight="true" outlineLevel="0" collapsed="false">
      <c r="A319" s="127" t="n">
        <v>311</v>
      </c>
      <c r="B319" s="36" t="n">
        <f aca="false">$B$6</f>
        <v>13429.9317634217</v>
      </c>
      <c r="C319" s="36" t="n">
        <f aca="false">B319-D319</f>
        <v>10465.7587208048</v>
      </c>
      <c r="D319" s="36" t="n">
        <f aca="false">E318*$B$4/12</f>
        <v>2964.17304261686</v>
      </c>
      <c r="E319" s="36" t="n">
        <f aca="false">E318-C319</f>
        <v>582368.849802567</v>
      </c>
    </row>
    <row r="320" customFormat="false" ht="15" hidden="false" customHeight="true" outlineLevel="0" collapsed="false">
      <c r="A320" s="128" t="n">
        <v>312</v>
      </c>
      <c r="B320" s="129" t="n">
        <f aca="false">$B$6</f>
        <v>13429.9317634217</v>
      </c>
      <c r="C320" s="129" t="n">
        <f aca="false">B320-D320</f>
        <v>10518.0875144088</v>
      </c>
      <c r="D320" s="129" t="n">
        <f aca="false">E319*$B$4/12</f>
        <v>2911.84424901284</v>
      </c>
      <c r="E320" s="129" t="n">
        <f aca="false">E319-C320</f>
        <v>571850.762288158</v>
      </c>
    </row>
    <row r="321" customFormat="false" ht="15" hidden="false" customHeight="true" outlineLevel="0" collapsed="false">
      <c r="A321" s="127" t="n">
        <v>313</v>
      </c>
      <c r="B321" s="36" t="n">
        <f aca="false">$B$6</f>
        <v>13429.9317634217</v>
      </c>
      <c r="C321" s="36" t="n">
        <f aca="false">B321-D321</f>
        <v>10570.6779519809</v>
      </c>
      <c r="D321" s="36" t="n">
        <f aca="false">E320*$B$4/12</f>
        <v>2859.25381144079</v>
      </c>
      <c r="E321" s="36" t="n">
        <f aca="false">E320-C321</f>
        <v>561280.084336177</v>
      </c>
    </row>
    <row r="322" customFormat="false" ht="15" hidden="false" customHeight="true" outlineLevel="0" collapsed="false">
      <c r="A322" s="128" t="n">
        <v>314</v>
      </c>
      <c r="B322" s="129" t="n">
        <f aca="false">$B$6</f>
        <v>13429.9317634217</v>
      </c>
      <c r="C322" s="129" t="n">
        <f aca="false">B322-D322</f>
        <v>10623.5313417408</v>
      </c>
      <c r="D322" s="129" t="n">
        <f aca="false">E321*$B$4/12</f>
        <v>2806.40042168089</v>
      </c>
      <c r="E322" s="129" t="n">
        <f aca="false">E321-C322</f>
        <v>550656.552994437</v>
      </c>
    </row>
    <row r="323" customFormat="false" ht="15" hidden="false" customHeight="true" outlineLevel="0" collapsed="false">
      <c r="A323" s="127" t="n">
        <v>315</v>
      </c>
      <c r="B323" s="36" t="n">
        <f aca="false">$B$6</f>
        <v>13429.9317634217</v>
      </c>
      <c r="C323" s="36" t="n">
        <f aca="false">B323-D323</f>
        <v>10676.6489984495</v>
      </c>
      <c r="D323" s="36" t="n">
        <f aca="false">E322*$B$4/12</f>
        <v>2753.28276497218</v>
      </c>
      <c r="E323" s="36" t="n">
        <f aca="false">E322-C323</f>
        <v>539979.903995987</v>
      </c>
    </row>
    <row r="324" customFormat="false" ht="15" hidden="false" customHeight="true" outlineLevel="0" collapsed="false">
      <c r="A324" s="128" t="n">
        <v>316</v>
      </c>
      <c r="B324" s="129" t="n">
        <f aca="false">$B$6</f>
        <v>13429.9317634217</v>
      </c>
      <c r="C324" s="129" t="n">
        <f aca="false">B324-D324</f>
        <v>10730.0322434417</v>
      </c>
      <c r="D324" s="129" t="n">
        <f aca="false">E323*$B$4/12</f>
        <v>2699.89951997994</v>
      </c>
      <c r="E324" s="129" t="n">
        <f aca="false">E323-C324</f>
        <v>529249.871752546</v>
      </c>
    </row>
    <row r="325" customFormat="false" ht="15" hidden="false" customHeight="true" outlineLevel="0" collapsed="false">
      <c r="A325" s="127" t="n">
        <v>317</v>
      </c>
      <c r="B325" s="36" t="n">
        <f aca="false">$B$6</f>
        <v>13429.9317634217</v>
      </c>
      <c r="C325" s="36" t="n">
        <f aca="false">B325-D325</f>
        <v>10783.6824046589</v>
      </c>
      <c r="D325" s="36" t="n">
        <f aca="false">E324*$B$4/12</f>
        <v>2646.24935876273</v>
      </c>
      <c r="E325" s="36" t="n">
        <f aca="false">E324-C325</f>
        <v>518466.189347887</v>
      </c>
    </row>
    <row r="326" customFormat="false" ht="15" hidden="false" customHeight="true" outlineLevel="0" collapsed="false">
      <c r="A326" s="128" t="n">
        <v>318</v>
      </c>
      <c r="B326" s="129" t="n">
        <f aca="false">$B$6</f>
        <v>13429.9317634217</v>
      </c>
      <c r="C326" s="129" t="n">
        <f aca="false">B326-D326</f>
        <v>10837.6008166822</v>
      </c>
      <c r="D326" s="129" t="n">
        <f aca="false">E325*$B$4/12</f>
        <v>2592.33094673943</v>
      </c>
      <c r="E326" s="129" t="n">
        <f aca="false">E325-C326</f>
        <v>507628.588531204</v>
      </c>
    </row>
    <row r="327" customFormat="false" ht="15" hidden="false" customHeight="true" outlineLevel="0" collapsed="false">
      <c r="A327" s="127" t="n">
        <v>319</v>
      </c>
      <c r="B327" s="36" t="n">
        <f aca="false">$B$6</f>
        <v>13429.9317634217</v>
      </c>
      <c r="C327" s="36" t="n">
        <f aca="false">B327-D327</f>
        <v>10891.7888207656</v>
      </c>
      <c r="D327" s="36" t="n">
        <f aca="false">E326*$B$4/12</f>
        <v>2538.14294265602</v>
      </c>
      <c r="E327" s="36" t="n">
        <f aca="false">E326-C327</f>
        <v>496736.799710439</v>
      </c>
    </row>
    <row r="328" customFormat="false" ht="15" hidden="false" customHeight="true" outlineLevel="0" collapsed="false">
      <c r="A328" s="128" t="n">
        <v>320</v>
      </c>
      <c r="B328" s="129" t="n">
        <f aca="false">$B$6</f>
        <v>13429.9317634217</v>
      </c>
      <c r="C328" s="129" t="n">
        <f aca="false">B328-D328</f>
        <v>10946.2477648695</v>
      </c>
      <c r="D328" s="129" t="n">
        <f aca="false">E327*$B$4/12</f>
        <v>2483.68399855219</v>
      </c>
      <c r="E328" s="129" t="n">
        <f aca="false">E327-C328</f>
        <v>485790.551945569</v>
      </c>
    </row>
    <row r="329" customFormat="false" ht="15" hidden="false" customHeight="true" outlineLevel="0" collapsed="false">
      <c r="A329" s="127" t="n">
        <v>321</v>
      </c>
      <c r="B329" s="36" t="n">
        <f aca="false">$B$6</f>
        <v>13429.9317634217</v>
      </c>
      <c r="C329" s="36" t="n">
        <f aca="false">B329-D329</f>
        <v>11000.9790036938</v>
      </c>
      <c r="D329" s="36" t="n">
        <f aca="false">E328*$B$4/12</f>
        <v>2428.95275972785</v>
      </c>
      <c r="E329" s="36" t="n">
        <f aca="false">E328-C329</f>
        <v>474789.572941875</v>
      </c>
    </row>
    <row r="330" customFormat="false" ht="15" hidden="false" customHeight="true" outlineLevel="0" collapsed="false">
      <c r="A330" s="128" t="n">
        <v>322</v>
      </c>
      <c r="B330" s="129" t="n">
        <f aca="false">$B$6</f>
        <v>13429.9317634217</v>
      </c>
      <c r="C330" s="129" t="n">
        <f aca="false">B330-D330</f>
        <v>11055.9838987123</v>
      </c>
      <c r="D330" s="129" t="n">
        <f aca="false">E329*$B$4/12</f>
        <v>2373.94786470938</v>
      </c>
      <c r="E330" s="129" t="n">
        <f aca="false">E329-C330</f>
        <v>463733.589043163</v>
      </c>
    </row>
    <row r="331" customFormat="false" ht="15" hidden="false" customHeight="true" outlineLevel="0" collapsed="false">
      <c r="A331" s="127" t="n">
        <v>323</v>
      </c>
      <c r="B331" s="36" t="n">
        <f aca="false">$B$6</f>
        <v>13429.9317634217</v>
      </c>
      <c r="C331" s="36" t="n">
        <f aca="false">B331-D331</f>
        <v>11111.2638182058</v>
      </c>
      <c r="D331" s="36" t="n">
        <f aca="false">E330*$B$4/12</f>
        <v>2318.66794521582</v>
      </c>
      <c r="E331" s="36" t="n">
        <f aca="false">E330-C331</f>
        <v>452622.325224957</v>
      </c>
    </row>
    <row r="332" customFormat="false" ht="15" hidden="false" customHeight="true" outlineLevel="0" collapsed="false">
      <c r="A332" s="128" t="n">
        <v>324</v>
      </c>
      <c r="B332" s="129" t="n">
        <f aca="false">$B$6</f>
        <v>13429.9317634217</v>
      </c>
      <c r="C332" s="129" t="n">
        <f aca="false">B332-D332</f>
        <v>11166.8201372969</v>
      </c>
      <c r="D332" s="129" t="n">
        <f aca="false">E331*$B$4/12</f>
        <v>2263.11162612479</v>
      </c>
      <c r="E332" s="129" t="n">
        <f aca="false">E331-C332</f>
        <v>441455.50508766</v>
      </c>
    </row>
    <row r="333" customFormat="false" ht="15" hidden="false" customHeight="true" outlineLevel="0" collapsed="false">
      <c r="A333" s="127" t="n">
        <v>325</v>
      </c>
      <c r="B333" s="36" t="n">
        <f aca="false">$B$6</f>
        <v>13429.9317634217</v>
      </c>
      <c r="C333" s="36" t="n">
        <f aca="false">B333-D333</f>
        <v>11222.6542379834</v>
      </c>
      <c r="D333" s="36" t="n">
        <f aca="false">E332*$B$4/12</f>
        <v>2207.2775254383</v>
      </c>
      <c r="E333" s="36" t="n">
        <f aca="false">E332-C333</f>
        <v>430232.850849677</v>
      </c>
    </row>
    <row r="334" customFormat="false" ht="15" hidden="false" customHeight="true" outlineLevel="0" collapsed="false">
      <c r="A334" s="128" t="n">
        <v>326</v>
      </c>
      <c r="B334" s="129" t="n">
        <f aca="false">$B$6</f>
        <v>13429.9317634217</v>
      </c>
      <c r="C334" s="129" t="n">
        <f aca="false">B334-D334</f>
        <v>11278.7675091733</v>
      </c>
      <c r="D334" s="129" t="n">
        <f aca="false">E333*$B$4/12</f>
        <v>2151.16425424839</v>
      </c>
      <c r="E334" s="129" t="n">
        <f aca="false">E333-C334</f>
        <v>418954.083340504</v>
      </c>
    </row>
    <row r="335" customFormat="false" ht="15" hidden="false" customHeight="true" outlineLevel="0" collapsed="false">
      <c r="A335" s="127" t="n">
        <v>327</v>
      </c>
      <c r="B335" s="36" t="n">
        <f aca="false">$B$6</f>
        <v>13429.9317634217</v>
      </c>
      <c r="C335" s="36" t="n">
        <f aca="false">B335-D335</f>
        <v>11335.1613467191</v>
      </c>
      <c r="D335" s="36" t="n">
        <f aca="false">E334*$B$4/12</f>
        <v>2094.77041670252</v>
      </c>
      <c r="E335" s="36" t="n">
        <f aca="false">E334-C335</f>
        <v>407618.921993785</v>
      </c>
    </row>
    <row r="336" customFormat="false" ht="15" hidden="false" customHeight="true" outlineLevel="0" collapsed="false">
      <c r="A336" s="128" t="n">
        <v>328</v>
      </c>
      <c r="B336" s="129" t="n">
        <f aca="false">$B$6</f>
        <v>13429.9317634217</v>
      </c>
      <c r="C336" s="129" t="n">
        <f aca="false">B336-D336</f>
        <v>11391.8371534527</v>
      </c>
      <c r="D336" s="129" t="n">
        <f aca="false">E335*$B$4/12</f>
        <v>2038.09460996892</v>
      </c>
      <c r="E336" s="129" t="n">
        <f aca="false">E335-C336</f>
        <v>396227.084840332</v>
      </c>
    </row>
    <row r="337" customFormat="false" ht="15" hidden="false" customHeight="true" outlineLevel="0" collapsed="false">
      <c r="A337" s="127" t="n">
        <v>329</v>
      </c>
      <c r="B337" s="36" t="n">
        <f aca="false">$B$6</f>
        <v>13429.9317634217</v>
      </c>
      <c r="C337" s="36" t="n">
        <f aca="false">B337-D337</f>
        <v>11448.79633922</v>
      </c>
      <c r="D337" s="36" t="n">
        <f aca="false">E336*$B$4/12</f>
        <v>1981.13542420166</v>
      </c>
      <c r="E337" s="36" t="n">
        <f aca="false">E336-C337</f>
        <v>384778.288501112</v>
      </c>
    </row>
    <row r="338" customFormat="false" ht="15" hidden="false" customHeight="true" outlineLevel="0" collapsed="false">
      <c r="A338" s="128" t="n">
        <v>330</v>
      </c>
      <c r="B338" s="129" t="n">
        <f aca="false">$B$6</f>
        <v>13429.9317634217</v>
      </c>
      <c r="C338" s="129" t="n">
        <f aca="false">B338-D338</f>
        <v>11506.0403209161</v>
      </c>
      <c r="D338" s="129" t="n">
        <f aca="false">E337*$B$4/12</f>
        <v>1923.89144250556</v>
      </c>
      <c r="E338" s="129" t="n">
        <f aca="false">E337-C338</f>
        <v>373272.248180196</v>
      </c>
    </row>
    <row r="339" customFormat="false" ht="15" hidden="false" customHeight="true" outlineLevel="0" collapsed="false">
      <c r="A339" s="127" t="n">
        <v>331</v>
      </c>
      <c r="B339" s="36" t="n">
        <f aca="false">$B$6</f>
        <v>13429.9317634217</v>
      </c>
      <c r="C339" s="36" t="n">
        <f aca="false">B339-D339</f>
        <v>11563.5705225207</v>
      </c>
      <c r="D339" s="36" t="n">
        <f aca="false">E338*$B$4/12</f>
        <v>1866.36124090098</v>
      </c>
      <c r="E339" s="36" t="n">
        <f aca="false">E338-C339</f>
        <v>361708.677657675</v>
      </c>
    </row>
    <row r="340" customFormat="false" ht="15" hidden="false" customHeight="true" outlineLevel="0" collapsed="false">
      <c r="A340" s="128" t="n">
        <v>332</v>
      </c>
      <c r="B340" s="129" t="n">
        <f aca="false">$B$6</f>
        <v>13429.9317634217</v>
      </c>
      <c r="C340" s="129" t="n">
        <f aca="false">B340-D340</f>
        <v>11621.3883751333</v>
      </c>
      <c r="D340" s="129" t="n">
        <f aca="false">E339*$B$4/12</f>
        <v>1808.54338828838</v>
      </c>
      <c r="E340" s="129" t="n">
        <f aca="false">E339-C340</f>
        <v>350087.289282542</v>
      </c>
    </row>
    <row r="341" customFormat="false" ht="15" hidden="false" customHeight="true" outlineLevel="0" collapsed="false">
      <c r="A341" s="127" t="n">
        <v>333</v>
      </c>
      <c r="B341" s="36" t="n">
        <f aca="false">$B$6</f>
        <v>13429.9317634217</v>
      </c>
      <c r="C341" s="36" t="n">
        <f aca="false">B341-D341</f>
        <v>11679.4953170089</v>
      </c>
      <c r="D341" s="36" t="n">
        <f aca="false">E340*$B$4/12</f>
        <v>1750.43644641271</v>
      </c>
      <c r="E341" s="36" t="n">
        <f aca="false">E340-C341</f>
        <v>338407.793965533</v>
      </c>
    </row>
    <row r="342" customFormat="false" ht="15" hidden="false" customHeight="true" outlineLevel="0" collapsed="false">
      <c r="A342" s="128" t="n">
        <v>334</v>
      </c>
      <c r="B342" s="129" t="n">
        <f aca="false">$B$6</f>
        <v>13429.9317634217</v>
      </c>
      <c r="C342" s="129" t="n">
        <f aca="false">B342-D342</f>
        <v>11737.892793594</v>
      </c>
      <c r="D342" s="129" t="n">
        <f aca="false">E341*$B$4/12</f>
        <v>1692.03896982767</v>
      </c>
      <c r="E342" s="129" t="n">
        <f aca="false">E341-C342</f>
        <v>326669.901171939</v>
      </c>
    </row>
    <row r="343" customFormat="false" ht="15" hidden="false" customHeight="true" outlineLevel="0" collapsed="false">
      <c r="A343" s="127" t="n">
        <v>335</v>
      </c>
      <c r="B343" s="36" t="n">
        <f aca="false">$B$6</f>
        <v>13429.9317634217</v>
      </c>
      <c r="C343" s="36" t="n">
        <f aca="false">B343-D343</f>
        <v>11796.582257562</v>
      </c>
      <c r="D343" s="36" t="n">
        <f aca="false">E342*$B$4/12</f>
        <v>1633.34950585969</v>
      </c>
      <c r="E343" s="36" t="n">
        <f aca="false">E342-C343</f>
        <v>314873.318914377</v>
      </c>
    </row>
    <row r="344" customFormat="false" ht="15" hidden="false" customHeight="true" outlineLevel="0" collapsed="false">
      <c r="A344" s="128" t="n">
        <v>336</v>
      </c>
      <c r="B344" s="129" t="n">
        <f aca="false">$B$6</f>
        <v>13429.9317634217</v>
      </c>
      <c r="C344" s="129" t="n">
        <f aca="false">B344-D344</f>
        <v>11855.5651688498</v>
      </c>
      <c r="D344" s="129" t="n">
        <f aca="false">E343*$B$4/12</f>
        <v>1574.36659457189</v>
      </c>
      <c r="E344" s="129" t="n">
        <f aca="false">E343-C344</f>
        <v>303017.753745527</v>
      </c>
    </row>
    <row r="345" customFormat="false" ht="15" hidden="false" customHeight="true" outlineLevel="0" collapsed="false">
      <c r="A345" s="127" t="n">
        <v>337</v>
      </c>
      <c r="B345" s="36" t="n">
        <f aca="false">$B$6</f>
        <v>13429.9317634217</v>
      </c>
      <c r="C345" s="36" t="n">
        <f aca="false">B345-D345</f>
        <v>11914.842994694</v>
      </c>
      <c r="D345" s="36" t="n">
        <f aca="false">E344*$B$4/12</f>
        <v>1515.08876872764</v>
      </c>
      <c r="E345" s="36" t="n">
        <f aca="false">E344-C345</f>
        <v>291102.910750833</v>
      </c>
    </row>
    <row r="346" customFormat="false" ht="15" hidden="false" customHeight="true" outlineLevel="0" collapsed="false">
      <c r="A346" s="128" t="n">
        <v>338</v>
      </c>
      <c r="B346" s="129" t="n">
        <f aca="false">$B$6</f>
        <v>13429.9317634217</v>
      </c>
      <c r="C346" s="129" t="n">
        <f aca="false">B346-D346</f>
        <v>11974.4172096675</v>
      </c>
      <c r="D346" s="129" t="n">
        <f aca="false">E345*$B$4/12</f>
        <v>1455.51455375417</v>
      </c>
      <c r="E346" s="129" t="n">
        <f aca="false">E345-C346</f>
        <v>279128.493541166</v>
      </c>
    </row>
    <row r="347" customFormat="false" ht="15" hidden="false" customHeight="true" outlineLevel="0" collapsed="false">
      <c r="A347" s="127" t="n">
        <v>339</v>
      </c>
      <c r="B347" s="36" t="n">
        <f aca="false">$B$6</f>
        <v>13429.9317634217</v>
      </c>
      <c r="C347" s="36" t="n">
        <f aca="false">B347-D347</f>
        <v>12034.2892957158</v>
      </c>
      <c r="D347" s="36" t="n">
        <f aca="false">E346*$B$4/12</f>
        <v>1395.64246770583</v>
      </c>
      <c r="E347" s="36" t="n">
        <f aca="false">E346-C347</f>
        <v>267094.20424545</v>
      </c>
    </row>
    <row r="348" customFormat="false" ht="15" hidden="false" customHeight="true" outlineLevel="0" collapsed="false">
      <c r="A348" s="128" t="n">
        <v>340</v>
      </c>
      <c r="B348" s="129" t="n">
        <f aca="false">$B$6</f>
        <v>13429.9317634217</v>
      </c>
      <c r="C348" s="129" t="n">
        <f aca="false">B348-D348</f>
        <v>12094.4607421944</v>
      </c>
      <c r="D348" s="129" t="n">
        <f aca="false">E347*$B$4/12</f>
        <v>1335.47102122725</v>
      </c>
      <c r="E348" s="129" t="n">
        <f aca="false">E347-C348</f>
        <v>254999.743503256</v>
      </c>
    </row>
    <row r="349" customFormat="false" ht="15" hidden="false" customHeight="true" outlineLevel="0" collapsed="false">
      <c r="A349" s="127" t="n">
        <v>341</v>
      </c>
      <c r="B349" s="36" t="n">
        <f aca="false">$B$6</f>
        <v>13429.9317634217</v>
      </c>
      <c r="C349" s="36" t="n">
        <f aca="false">B349-D349</f>
        <v>12154.9330459054</v>
      </c>
      <c r="D349" s="36" t="n">
        <f aca="false">E348*$B$4/12</f>
        <v>1274.99871751628</v>
      </c>
      <c r="E349" s="36" t="n">
        <f aca="false">E348-C349</f>
        <v>242844.81045735</v>
      </c>
    </row>
    <row r="350" customFormat="false" ht="15" hidden="false" customHeight="true" outlineLevel="0" collapsed="false">
      <c r="A350" s="128" t="n">
        <v>342</v>
      </c>
      <c r="B350" s="129" t="n">
        <f aca="false">$B$6</f>
        <v>13429.9317634217</v>
      </c>
      <c r="C350" s="129" t="n">
        <f aca="false">B350-D350</f>
        <v>12215.7077111349</v>
      </c>
      <c r="D350" s="129" t="n">
        <f aca="false">E349*$B$4/12</f>
        <v>1214.22405228675</v>
      </c>
      <c r="E350" s="129" t="n">
        <f aca="false">E349-C350</f>
        <v>230629.102746215</v>
      </c>
    </row>
    <row r="351" customFormat="false" ht="15" hidden="false" customHeight="true" outlineLevel="0" collapsed="false">
      <c r="A351" s="127" t="n">
        <v>343</v>
      </c>
      <c r="B351" s="36" t="n">
        <f aca="false">$B$6</f>
        <v>13429.9317634217</v>
      </c>
      <c r="C351" s="36" t="n">
        <f aca="false">B351-D351</f>
        <v>12276.7862496906</v>
      </c>
      <c r="D351" s="36" t="n">
        <f aca="false">E350*$B$4/12</f>
        <v>1153.14551373108</v>
      </c>
      <c r="E351" s="36" t="n">
        <f aca="false">E350-C351</f>
        <v>218352.316496525</v>
      </c>
    </row>
    <row r="352" customFormat="false" ht="15" hidden="false" customHeight="true" outlineLevel="0" collapsed="false">
      <c r="A352" s="128" t="n">
        <v>344</v>
      </c>
      <c r="B352" s="129" t="n">
        <f aca="false">$B$6</f>
        <v>13429.9317634217</v>
      </c>
      <c r="C352" s="129" t="n">
        <f aca="false">B352-D352</f>
        <v>12338.170180939</v>
      </c>
      <c r="D352" s="129" t="n">
        <f aca="false">E351*$B$4/12</f>
        <v>1091.76158248262</v>
      </c>
      <c r="E352" s="129" t="n">
        <f aca="false">E351-C352</f>
        <v>206014.146315586</v>
      </c>
    </row>
    <row r="353" customFormat="false" ht="15" hidden="false" customHeight="true" outlineLevel="0" collapsed="false">
      <c r="A353" s="127" t="n">
        <v>345</v>
      </c>
      <c r="B353" s="36" t="n">
        <f aca="false">$B$6</f>
        <v>13429.9317634217</v>
      </c>
      <c r="C353" s="36" t="n">
        <f aca="false">B353-D353</f>
        <v>12399.8610318437</v>
      </c>
      <c r="D353" s="36" t="n">
        <f aca="false">E352*$B$4/12</f>
        <v>1030.07073157793</v>
      </c>
      <c r="E353" s="36" t="n">
        <f aca="false">E352-C353</f>
        <v>193614.285283742</v>
      </c>
    </row>
    <row r="354" customFormat="false" ht="15" hidden="false" customHeight="true" outlineLevel="0" collapsed="false">
      <c r="A354" s="128" t="n">
        <v>346</v>
      </c>
      <c r="B354" s="129" t="n">
        <f aca="false">$B$6</f>
        <v>13429.9317634217</v>
      </c>
      <c r="C354" s="129" t="n">
        <f aca="false">B354-D354</f>
        <v>12461.8603370029</v>
      </c>
      <c r="D354" s="129" t="n">
        <f aca="false">E353*$B$4/12</f>
        <v>968.07142641871</v>
      </c>
      <c r="E354" s="129" t="n">
        <f aca="false">E353-C354</f>
        <v>181152.424946739</v>
      </c>
    </row>
    <row r="355" customFormat="false" ht="15" hidden="false" customHeight="true" outlineLevel="0" collapsed="false">
      <c r="A355" s="127" t="n">
        <v>347</v>
      </c>
      <c r="B355" s="36" t="n">
        <f aca="false">$B$6</f>
        <v>13429.9317634217</v>
      </c>
      <c r="C355" s="36" t="n">
        <f aca="false">B355-D355</f>
        <v>12524.169638688</v>
      </c>
      <c r="D355" s="36" t="n">
        <f aca="false">E354*$B$4/12</f>
        <v>905.762124733695</v>
      </c>
      <c r="E355" s="36" t="n">
        <f aca="false">E354-C355</f>
        <v>168628.255308051</v>
      </c>
    </row>
    <row r="356" customFormat="false" ht="15" hidden="false" customHeight="true" outlineLevel="0" collapsed="false">
      <c r="A356" s="128" t="n">
        <v>348</v>
      </c>
      <c r="B356" s="129" t="n">
        <f aca="false">$B$6</f>
        <v>13429.9317634217</v>
      </c>
      <c r="C356" s="129" t="n">
        <f aca="false">B356-D356</f>
        <v>12586.7904868814</v>
      </c>
      <c r="D356" s="129" t="n">
        <f aca="false">E355*$B$4/12</f>
        <v>843.141276540255</v>
      </c>
      <c r="E356" s="129" t="n">
        <f aca="false">E355-C356</f>
        <v>156041.46482117</v>
      </c>
    </row>
    <row r="357" customFormat="false" ht="15" hidden="false" customHeight="true" outlineLevel="0" collapsed="false">
      <c r="A357" s="127" t="n">
        <v>349</v>
      </c>
      <c r="B357" s="36" t="n">
        <f aca="false">$B$6</f>
        <v>13429.9317634217</v>
      </c>
      <c r="C357" s="36" t="n">
        <f aca="false">B357-D357</f>
        <v>12649.7244393158</v>
      </c>
      <c r="D357" s="36" t="n">
        <f aca="false">E356*$B$4/12</f>
        <v>780.207324105848</v>
      </c>
      <c r="E357" s="36" t="n">
        <f aca="false">E356-C357</f>
        <v>143391.740381854</v>
      </c>
    </row>
    <row r="358" customFormat="false" ht="15" hidden="false" customHeight="true" outlineLevel="0" collapsed="false">
      <c r="A358" s="128" t="n">
        <v>350</v>
      </c>
      <c r="B358" s="129" t="n">
        <f aca="false">$B$6</f>
        <v>13429.9317634217</v>
      </c>
      <c r="C358" s="129" t="n">
        <f aca="false">B358-D358</f>
        <v>12712.9730615124</v>
      </c>
      <c r="D358" s="129" t="n">
        <f aca="false">E357*$B$4/12</f>
        <v>716.958701909269</v>
      </c>
      <c r="E358" s="129" t="n">
        <f aca="false">E357-C358</f>
        <v>130678.767320341</v>
      </c>
    </row>
    <row r="359" customFormat="false" ht="15" hidden="false" customHeight="true" outlineLevel="0" collapsed="false">
      <c r="A359" s="127" t="n">
        <v>351</v>
      </c>
      <c r="B359" s="36" t="n">
        <f aca="false">$B$6</f>
        <v>13429.9317634217</v>
      </c>
      <c r="C359" s="36" t="n">
        <f aca="false">B359-D359</f>
        <v>12776.5379268199</v>
      </c>
      <c r="D359" s="36" t="n">
        <f aca="false">E358*$B$4/12</f>
        <v>653.393836601707</v>
      </c>
      <c r="E359" s="36" t="n">
        <f aca="false">E358-C359</f>
        <v>117902.229393522</v>
      </c>
    </row>
    <row r="360" customFormat="false" ht="15" hidden="false" customHeight="true" outlineLevel="0" collapsed="false">
      <c r="A360" s="128" t="n">
        <v>352</v>
      </c>
      <c r="B360" s="129" t="n">
        <f aca="false">$B$6</f>
        <v>13429.9317634217</v>
      </c>
      <c r="C360" s="129" t="n">
        <f aca="false">B360-D360</f>
        <v>12840.420616454</v>
      </c>
      <c r="D360" s="129" t="n">
        <f aca="false">E359*$B$4/12</f>
        <v>589.511146967608</v>
      </c>
      <c r="E360" s="129" t="n">
        <f aca="false">E359-C360</f>
        <v>105061.808777067</v>
      </c>
    </row>
    <row r="361" customFormat="false" ht="15" hidden="false" customHeight="true" outlineLevel="0" collapsed="false">
      <c r="A361" s="127" t="n">
        <v>353</v>
      </c>
      <c r="B361" s="36" t="n">
        <f aca="false">$B$6</f>
        <v>13429.9317634217</v>
      </c>
      <c r="C361" s="36" t="n">
        <f aca="false">B361-D361</f>
        <v>12904.6227195363</v>
      </c>
      <c r="D361" s="36" t="n">
        <f aca="false">E360*$B$4/12</f>
        <v>525.309043885337</v>
      </c>
      <c r="E361" s="36" t="n">
        <f aca="false">E360-C361</f>
        <v>92157.1860575311</v>
      </c>
    </row>
    <row r="362" customFormat="false" ht="15" hidden="false" customHeight="true" outlineLevel="0" collapsed="false">
      <c r="A362" s="128" t="n">
        <v>354</v>
      </c>
      <c r="B362" s="129" t="n">
        <f aca="false">$B$6</f>
        <v>13429.9317634217</v>
      </c>
      <c r="C362" s="129" t="n">
        <f aca="false">B362-D362</f>
        <v>12969.145833134</v>
      </c>
      <c r="D362" s="129" t="n">
        <f aca="false">E361*$B$4/12</f>
        <v>460.785930287656</v>
      </c>
      <c r="E362" s="129" t="n">
        <f aca="false">E361-C362</f>
        <v>79188.0402243971</v>
      </c>
    </row>
    <row r="363" customFormat="false" ht="15" hidden="false" customHeight="true" outlineLevel="0" collapsed="false">
      <c r="A363" s="127" t="n">
        <v>355</v>
      </c>
      <c r="B363" s="36" t="n">
        <f aca="false">$B$6</f>
        <v>13429.9317634217</v>
      </c>
      <c r="C363" s="36" t="n">
        <f aca="false">B363-D363</f>
        <v>13033.9915622997</v>
      </c>
      <c r="D363" s="36" t="n">
        <f aca="false">E362*$B$4/12</f>
        <v>395.940201121986</v>
      </c>
      <c r="E363" s="36" t="n">
        <f aca="false">E362-C363</f>
        <v>66154.0486620975</v>
      </c>
    </row>
    <row r="364" customFormat="false" ht="15" hidden="false" customHeight="true" outlineLevel="0" collapsed="false">
      <c r="A364" s="128" t="n">
        <v>356</v>
      </c>
      <c r="B364" s="129" t="n">
        <f aca="false">$B$6</f>
        <v>13429.9317634217</v>
      </c>
      <c r="C364" s="129" t="n">
        <f aca="false">B364-D364</f>
        <v>13099.1615201112</v>
      </c>
      <c r="D364" s="129" t="n">
        <f aca="false">E363*$B$4/12</f>
        <v>330.770243310487</v>
      </c>
      <c r="E364" s="129" t="n">
        <f aca="false">E363-C364</f>
        <v>53054.8871419863</v>
      </c>
    </row>
    <row r="365" customFormat="false" ht="15" hidden="false" customHeight="true" outlineLevel="0" collapsed="false">
      <c r="A365" s="127" t="n">
        <v>357</v>
      </c>
      <c r="B365" s="36" t="n">
        <f aca="false">$B$6</f>
        <v>13429.9317634217</v>
      </c>
      <c r="C365" s="36" t="n">
        <f aca="false">B365-D365</f>
        <v>13164.6573277117</v>
      </c>
      <c r="D365" s="36" t="n">
        <f aca="false">E364*$B$4/12</f>
        <v>265.274435709932</v>
      </c>
      <c r="E365" s="36" t="n">
        <f aca="false">E364-C365</f>
        <v>39890.2298142746</v>
      </c>
    </row>
    <row r="366" customFormat="false" ht="15" hidden="false" customHeight="true" outlineLevel="0" collapsed="false">
      <c r="A366" s="128" t="n">
        <v>358</v>
      </c>
      <c r="B366" s="129" t="n">
        <f aca="false">$B$6</f>
        <v>13429.9317634217</v>
      </c>
      <c r="C366" s="129" t="n">
        <f aca="false">B366-D366</f>
        <v>13230.4806143503</v>
      </c>
      <c r="D366" s="129" t="n">
        <f aca="false">E365*$B$4/12</f>
        <v>199.451149071373</v>
      </c>
      <c r="E366" s="129" t="n">
        <f aca="false">E365-C366</f>
        <v>26659.7491999243</v>
      </c>
    </row>
    <row r="367" customFormat="false" ht="15" hidden="false" customHeight="true" outlineLevel="0" collapsed="false">
      <c r="A367" s="127" t="n">
        <v>359</v>
      </c>
      <c r="B367" s="36" t="n">
        <f aca="false">$B$6</f>
        <v>13429.9317634217</v>
      </c>
      <c r="C367" s="36" t="n">
        <f aca="false">B367-D367</f>
        <v>13296.633017422</v>
      </c>
      <c r="D367" s="36" t="n">
        <f aca="false">E366*$B$4/12</f>
        <v>133.298745999621</v>
      </c>
      <c r="E367" s="36" t="n">
        <f aca="false">E366-C367</f>
        <v>13363.1161825023</v>
      </c>
    </row>
    <row r="368" customFormat="false" ht="15" hidden="false" customHeight="true" outlineLevel="0" collapsed="false">
      <c r="A368" s="128" t="n">
        <v>360</v>
      </c>
      <c r="B368" s="129" t="n">
        <f aca="false">$B$6</f>
        <v>13429.9317634217</v>
      </c>
      <c r="C368" s="129" t="n">
        <f aca="false">B368-D368</f>
        <v>13363.1161825091</v>
      </c>
      <c r="D368" s="129" t="n">
        <f aca="false">E367*$B$4/12</f>
        <v>66.8155809125113</v>
      </c>
      <c r="E368" s="129" t="n">
        <f aca="false">E367-C368</f>
        <v>-6.88851287122816E-009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962E"/>
    <pageSetUpPr fitToPage="false"/>
  </sheetPr>
  <dimension ref="A1:E3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6"/>
    <col collapsed="false" customWidth="true" hidden="false" outlineLevel="0" max="5" min="5" style="1" width="18"/>
  </cols>
  <sheetData>
    <row r="1" customFormat="false" ht="19.5" hidden="false" customHeight="true" outlineLevel="0" collapsed="false">
      <c r="A1" s="62" t="s">
        <v>397</v>
      </c>
      <c r="B1" s="62"/>
      <c r="C1" s="62"/>
      <c r="D1" s="62"/>
      <c r="E1" s="62"/>
    </row>
    <row r="2" customFormat="false" ht="15" hidden="false" customHeight="true" outlineLevel="0" collapsed="false">
      <c r="A2" s="20" t="s">
        <v>398</v>
      </c>
      <c r="B2" s="20"/>
      <c r="C2" s="20"/>
      <c r="D2" s="20"/>
      <c r="E2" s="20"/>
    </row>
    <row r="3" customFormat="false" ht="15" hidden="false" customHeight="true" outlineLevel="0" collapsed="false">
      <c r="A3" s="7" t="s">
        <v>386</v>
      </c>
      <c r="B3" s="124" t="n">
        <f aca="false">Assumptions!C112</f>
        <v>2470000</v>
      </c>
      <c r="C3" s="2"/>
      <c r="D3" s="2"/>
      <c r="E3" s="2"/>
    </row>
    <row r="4" customFormat="false" ht="15" hidden="false" customHeight="true" outlineLevel="0" collapsed="false">
      <c r="A4" s="7" t="s">
        <v>387</v>
      </c>
      <c r="B4" s="125" t="n">
        <f aca="false">Assumptions!C113</f>
        <v>0.055</v>
      </c>
      <c r="C4" s="2"/>
      <c r="D4" s="2"/>
      <c r="E4" s="2"/>
    </row>
    <row r="5" customFormat="false" ht="15" hidden="false" customHeight="true" outlineLevel="0" collapsed="false">
      <c r="A5" s="7" t="s">
        <v>388</v>
      </c>
      <c r="B5" s="9" t="n">
        <f aca="false">Assumptions!C114</f>
        <v>30</v>
      </c>
      <c r="C5" s="2"/>
      <c r="D5" s="2"/>
      <c r="E5" s="2"/>
    </row>
    <row r="6" customFormat="false" ht="15" hidden="false" customHeight="true" outlineLevel="0" collapsed="false">
      <c r="A6" s="102" t="s">
        <v>389</v>
      </c>
      <c r="B6" s="126" t="n">
        <f aca="false">IF(B5&gt;0,PMT(B4/12,B5*12,-B3),0)</f>
        <v>14024.388333271</v>
      </c>
      <c r="C6" s="2"/>
      <c r="D6" s="2"/>
      <c r="E6" s="2"/>
    </row>
    <row r="7" customFormat="false" ht="15" hidden="false" customHeight="true" outlineLevel="0" collapsed="false">
      <c r="A7" s="2"/>
      <c r="B7" s="2"/>
      <c r="C7" s="2"/>
      <c r="D7" s="2"/>
      <c r="E7" s="2"/>
    </row>
    <row r="8" customFormat="false" ht="15" hidden="false" customHeight="true" outlineLevel="0" collapsed="false">
      <c r="A8" s="63" t="s">
        <v>390</v>
      </c>
      <c r="B8" s="63" t="s">
        <v>391</v>
      </c>
      <c r="C8" s="63" t="s">
        <v>392</v>
      </c>
      <c r="D8" s="63" t="s">
        <v>393</v>
      </c>
      <c r="E8" s="63" t="s">
        <v>394</v>
      </c>
    </row>
    <row r="9" customFormat="false" ht="15" hidden="false" customHeight="true" outlineLevel="0" collapsed="false">
      <c r="A9" s="127" t="n">
        <v>1</v>
      </c>
      <c r="B9" s="36" t="n">
        <f aca="false">$B$6</f>
        <v>14024.388333271</v>
      </c>
      <c r="C9" s="36" t="n">
        <f aca="false">B9-D9</f>
        <v>2703.55499993764</v>
      </c>
      <c r="D9" s="36" t="n">
        <f aca="false">$B$3*$B$4/12</f>
        <v>11320.8333333333</v>
      </c>
      <c r="E9" s="36" t="n">
        <f aca="false">$B$3-C9</f>
        <v>2467296.44500006</v>
      </c>
    </row>
    <row r="10" customFormat="false" ht="15" hidden="false" customHeight="true" outlineLevel="0" collapsed="false">
      <c r="A10" s="128" t="n">
        <v>2</v>
      </c>
      <c r="B10" s="129" t="n">
        <f aca="false">$B$6</f>
        <v>14024.388333271</v>
      </c>
      <c r="C10" s="129" t="n">
        <f aca="false">B10-D10</f>
        <v>2715.94629368736</v>
      </c>
      <c r="D10" s="129" t="n">
        <f aca="false">E9*$B$4/12</f>
        <v>11308.4420395836</v>
      </c>
      <c r="E10" s="129" t="n">
        <f aca="false">E9-C10</f>
        <v>2464580.49870638</v>
      </c>
    </row>
    <row r="11" customFormat="false" ht="15" hidden="false" customHeight="true" outlineLevel="0" collapsed="false">
      <c r="A11" s="127" t="n">
        <v>3</v>
      </c>
      <c r="B11" s="36" t="n">
        <f aca="false">$B$6</f>
        <v>14024.388333271</v>
      </c>
      <c r="C11" s="36" t="n">
        <f aca="false">B11-D11</f>
        <v>2728.39438086676</v>
      </c>
      <c r="D11" s="36" t="n">
        <f aca="false">E10*$B$4/12</f>
        <v>11295.9939524042</v>
      </c>
      <c r="E11" s="36" t="n">
        <f aca="false">E10-C11</f>
        <v>2461852.10432551</v>
      </c>
    </row>
    <row r="12" customFormat="false" ht="15" hidden="false" customHeight="true" outlineLevel="0" collapsed="false">
      <c r="A12" s="128" t="n">
        <v>4</v>
      </c>
      <c r="B12" s="129" t="n">
        <f aca="false">$B$6</f>
        <v>14024.388333271</v>
      </c>
      <c r="C12" s="129" t="n">
        <f aca="false">B12-D12</f>
        <v>2740.89952177906</v>
      </c>
      <c r="D12" s="129" t="n">
        <f aca="false">E11*$B$4/12</f>
        <v>11283.4888114919</v>
      </c>
      <c r="E12" s="129" t="n">
        <f aca="false">E11-C12</f>
        <v>2459111.20480373</v>
      </c>
    </row>
    <row r="13" customFormat="false" ht="15" hidden="false" customHeight="true" outlineLevel="0" collapsed="false">
      <c r="A13" s="127" t="n">
        <v>5</v>
      </c>
      <c r="B13" s="36" t="n">
        <f aca="false">$B$6</f>
        <v>14024.388333271</v>
      </c>
      <c r="C13" s="36" t="n">
        <f aca="false">B13-D13</f>
        <v>2753.46197792055</v>
      </c>
      <c r="D13" s="36" t="n">
        <f aca="false">E12*$B$4/12</f>
        <v>11270.9263553504</v>
      </c>
      <c r="E13" s="36" t="n">
        <f aca="false">E12-C13</f>
        <v>2456357.74282581</v>
      </c>
    </row>
    <row r="14" customFormat="false" ht="15" hidden="false" customHeight="true" outlineLevel="0" collapsed="false">
      <c r="A14" s="128" t="n">
        <v>6</v>
      </c>
      <c r="B14" s="129" t="n">
        <f aca="false">$B$6</f>
        <v>14024.388333271</v>
      </c>
      <c r="C14" s="129" t="n">
        <f aca="false">B14-D14</f>
        <v>2766.08201198602</v>
      </c>
      <c r="D14" s="129" t="n">
        <f aca="false">E13*$B$4/12</f>
        <v>11258.306321285</v>
      </c>
      <c r="E14" s="129" t="n">
        <f aca="false">E13-C14</f>
        <v>2453591.66081382</v>
      </c>
    </row>
    <row r="15" customFormat="false" ht="15" hidden="false" customHeight="true" outlineLevel="0" collapsed="false">
      <c r="A15" s="127" t="n">
        <v>7</v>
      </c>
      <c r="B15" s="36" t="n">
        <f aca="false">$B$6</f>
        <v>14024.388333271</v>
      </c>
      <c r="C15" s="36" t="n">
        <f aca="false">B15-D15</f>
        <v>2778.75988787429</v>
      </c>
      <c r="D15" s="36" t="n">
        <f aca="false">E14*$B$4/12</f>
        <v>11245.6284453967</v>
      </c>
      <c r="E15" s="36" t="n">
        <f aca="false">E14-C15</f>
        <v>2450812.90092595</v>
      </c>
    </row>
    <row r="16" customFormat="false" ht="15" hidden="false" customHeight="true" outlineLevel="0" collapsed="false">
      <c r="A16" s="128" t="n">
        <v>8</v>
      </c>
      <c r="B16" s="129" t="n">
        <f aca="false">$B$6</f>
        <v>14024.388333271</v>
      </c>
      <c r="C16" s="129" t="n">
        <f aca="false">B16-D16</f>
        <v>2791.49587069371</v>
      </c>
      <c r="D16" s="129" t="n">
        <f aca="false">E15*$B$4/12</f>
        <v>11232.8924625773</v>
      </c>
      <c r="E16" s="129" t="n">
        <f aca="false">E15-C16</f>
        <v>2448021.40505525</v>
      </c>
    </row>
    <row r="17" customFormat="false" ht="15" hidden="false" customHeight="true" outlineLevel="0" collapsed="false">
      <c r="A17" s="127" t="n">
        <v>9</v>
      </c>
      <c r="B17" s="36" t="n">
        <f aca="false">$B$6</f>
        <v>14024.388333271</v>
      </c>
      <c r="C17" s="36" t="n">
        <f aca="false">B17-D17</f>
        <v>2804.29022676772</v>
      </c>
      <c r="D17" s="36" t="n">
        <f aca="false">E16*$B$4/12</f>
        <v>11220.0981065033</v>
      </c>
      <c r="E17" s="36" t="n">
        <f aca="false">E16-C17</f>
        <v>2445217.11482849</v>
      </c>
    </row>
    <row r="18" customFormat="false" ht="15" hidden="false" customHeight="true" outlineLevel="0" collapsed="false">
      <c r="A18" s="128" t="n">
        <v>10</v>
      </c>
      <c r="B18" s="129" t="n">
        <f aca="false">$B$6</f>
        <v>14024.388333271</v>
      </c>
      <c r="C18" s="129" t="n">
        <f aca="false">B18-D18</f>
        <v>2817.14322364041</v>
      </c>
      <c r="D18" s="129" t="n">
        <f aca="false">E17*$B$4/12</f>
        <v>11207.2451096306</v>
      </c>
      <c r="E18" s="129" t="n">
        <f aca="false">E17-C18</f>
        <v>2442399.97160485</v>
      </c>
    </row>
    <row r="19" customFormat="false" ht="15" hidden="false" customHeight="true" outlineLevel="0" collapsed="false">
      <c r="A19" s="127" t="n">
        <v>11</v>
      </c>
      <c r="B19" s="36" t="n">
        <f aca="false">$B$6</f>
        <v>14024.388333271</v>
      </c>
      <c r="C19" s="36" t="n">
        <f aca="false">B19-D19</f>
        <v>2830.0551300821</v>
      </c>
      <c r="D19" s="36" t="n">
        <f aca="false">E18*$B$4/12</f>
        <v>11194.3332031889</v>
      </c>
      <c r="E19" s="36" t="n">
        <f aca="false">E18-C19</f>
        <v>2439569.91647476</v>
      </c>
    </row>
    <row r="20" customFormat="false" ht="15" hidden="false" customHeight="true" outlineLevel="0" collapsed="false">
      <c r="A20" s="128" t="n">
        <v>12</v>
      </c>
      <c r="B20" s="129" t="n">
        <f aca="false">$B$6</f>
        <v>14024.388333271</v>
      </c>
      <c r="C20" s="129" t="n">
        <f aca="false">B20-D20</f>
        <v>2843.02621609497</v>
      </c>
      <c r="D20" s="129" t="n">
        <f aca="false">E19*$B$4/12</f>
        <v>11181.362117176</v>
      </c>
      <c r="E20" s="129" t="n">
        <f aca="false">E19-C20</f>
        <v>2436726.89025867</v>
      </c>
    </row>
    <row r="21" customFormat="false" ht="15" hidden="false" customHeight="true" outlineLevel="0" collapsed="false">
      <c r="A21" s="127" t="n">
        <v>13</v>
      </c>
      <c r="B21" s="36" t="n">
        <f aca="false">$B$6</f>
        <v>14024.388333271</v>
      </c>
      <c r="C21" s="36" t="n">
        <f aca="false">B21-D21</f>
        <v>2856.05675291874</v>
      </c>
      <c r="D21" s="36" t="n">
        <f aca="false">E20*$B$4/12</f>
        <v>11168.3315803522</v>
      </c>
      <c r="E21" s="36" t="n">
        <f aca="false">E20-C21</f>
        <v>2433870.83350575</v>
      </c>
    </row>
    <row r="22" customFormat="false" ht="15" hidden="false" customHeight="true" outlineLevel="0" collapsed="false">
      <c r="A22" s="128" t="n">
        <v>14</v>
      </c>
      <c r="B22" s="129" t="n">
        <f aca="false">$B$6</f>
        <v>14024.388333271</v>
      </c>
      <c r="C22" s="129" t="n">
        <f aca="false">B22-D22</f>
        <v>2869.14701303629</v>
      </c>
      <c r="D22" s="129" t="n">
        <f aca="false">E21*$B$4/12</f>
        <v>11155.2413202347</v>
      </c>
      <c r="E22" s="129" t="n">
        <f aca="false">E21-C22</f>
        <v>2431001.68649271</v>
      </c>
    </row>
    <row r="23" customFormat="false" ht="15" hidden="false" customHeight="true" outlineLevel="0" collapsed="false">
      <c r="A23" s="127" t="n">
        <v>15</v>
      </c>
      <c r="B23" s="36" t="n">
        <f aca="false">$B$6</f>
        <v>14024.388333271</v>
      </c>
      <c r="C23" s="36" t="n">
        <f aca="false">B23-D23</f>
        <v>2882.29727017937</v>
      </c>
      <c r="D23" s="36" t="n">
        <f aca="false">E22*$B$4/12</f>
        <v>11142.0910630916</v>
      </c>
      <c r="E23" s="36" t="n">
        <f aca="false">E22-C23</f>
        <v>2428119.38922254</v>
      </c>
    </row>
    <row r="24" customFormat="false" ht="15" hidden="false" customHeight="true" outlineLevel="0" collapsed="false">
      <c r="A24" s="128" t="n">
        <v>16</v>
      </c>
      <c r="B24" s="129" t="n">
        <f aca="false">$B$6</f>
        <v>14024.388333271</v>
      </c>
      <c r="C24" s="129" t="n">
        <f aca="false">B24-D24</f>
        <v>2895.50779933436</v>
      </c>
      <c r="D24" s="129" t="n">
        <f aca="false">E23*$B$4/12</f>
        <v>11128.8805339366</v>
      </c>
      <c r="E24" s="129" t="n">
        <f aca="false">E23-C24</f>
        <v>2425223.8814232</v>
      </c>
    </row>
    <row r="25" customFormat="false" ht="15" hidden="false" customHeight="true" outlineLevel="0" collapsed="false">
      <c r="A25" s="127" t="n">
        <v>17</v>
      </c>
      <c r="B25" s="36" t="n">
        <f aca="false">$B$6</f>
        <v>14024.388333271</v>
      </c>
      <c r="C25" s="36" t="n">
        <f aca="false">B25-D25</f>
        <v>2908.77887674797</v>
      </c>
      <c r="D25" s="36" t="n">
        <f aca="false">E24*$B$4/12</f>
        <v>11115.609456523</v>
      </c>
      <c r="E25" s="36" t="n">
        <f aca="false">E24-C25</f>
        <v>2422315.10254645</v>
      </c>
    </row>
    <row r="26" customFormat="false" ht="15" hidden="false" customHeight="true" outlineLevel="0" collapsed="false">
      <c r="A26" s="128" t="n">
        <v>18</v>
      </c>
      <c r="B26" s="129" t="n">
        <f aca="false">$B$6</f>
        <v>14024.388333271</v>
      </c>
      <c r="C26" s="129" t="n">
        <f aca="false">B26-D26</f>
        <v>2922.11077993307</v>
      </c>
      <c r="D26" s="129" t="n">
        <f aca="false">E25*$B$4/12</f>
        <v>11102.2775533379</v>
      </c>
      <c r="E26" s="129" t="n">
        <f aca="false">E25-C26</f>
        <v>2419392.99176652</v>
      </c>
    </row>
    <row r="27" customFormat="false" ht="15" hidden="false" customHeight="true" outlineLevel="0" collapsed="false">
      <c r="A27" s="127" t="n">
        <v>19</v>
      </c>
      <c r="B27" s="36" t="n">
        <f aca="false">$B$6</f>
        <v>14024.388333271</v>
      </c>
      <c r="C27" s="36" t="n">
        <f aca="false">B27-D27</f>
        <v>2935.50378767443</v>
      </c>
      <c r="D27" s="36" t="n">
        <f aca="false">E26*$B$4/12</f>
        <v>11088.8845455966</v>
      </c>
      <c r="E27" s="36" t="n">
        <f aca="false">E26-C27</f>
        <v>2416457.48797885</v>
      </c>
    </row>
    <row r="28" customFormat="false" ht="15" hidden="false" customHeight="true" outlineLevel="0" collapsed="false">
      <c r="A28" s="128" t="n">
        <v>20</v>
      </c>
      <c r="B28" s="129" t="n">
        <f aca="false">$B$6</f>
        <v>14024.388333271</v>
      </c>
      <c r="C28" s="129" t="n">
        <f aca="false">B28-D28</f>
        <v>2948.9581800346</v>
      </c>
      <c r="D28" s="129" t="n">
        <f aca="false">E27*$B$4/12</f>
        <v>11075.4301532364</v>
      </c>
      <c r="E28" s="129" t="n">
        <f aca="false">E27-C28</f>
        <v>2413508.52979881</v>
      </c>
    </row>
    <row r="29" customFormat="false" ht="15" hidden="false" customHeight="true" outlineLevel="0" collapsed="false">
      <c r="A29" s="127" t="n">
        <v>21</v>
      </c>
      <c r="B29" s="36" t="n">
        <f aca="false">$B$6</f>
        <v>14024.388333271</v>
      </c>
      <c r="C29" s="36" t="n">
        <f aca="false">B29-D29</f>
        <v>2962.47423835976</v>
      </c>
      <c r="D29" s="36" t="n">
        <f aca="false">E28*$B$4/12</f>
        <v>11061.9140949112</v>
      </c>
      <c r="E29" s="36" t="n">
        <f aca="false">E28-C29</f>
        <v>2410546.05556045</v>
      </c>
    </row>
    <row r="30" customFormat="false" ht="15" hidden="false" customHeight="true" outlineLevel="0" collapsed="false">
      <c r="A30" s="128" t="n">
        <v>22</v>
      </c>
      <c r="B30" s="129" t="n">
        <f aca="false">$B$6</f>
        <v>14024.388333271</v>
      </c>
      <c r="C30" s="129" t="n">
        <f aca="false">B30-D30</f>
        <v>2976.05224528558</v>
      </c>
      <c r="D30" s="129" t="n">
        <f aca="false">E29*$B$4/12</f>
        <v>11048.3360879854</v>
      </c>
      <c r="E30" s="129" t="n">
        <f aca="false">E29-C30</f>
        <v>2407570.00331517</v>
      </c>
    </row>
    <row r="31" customFormat="false" ht="15" hidden="false" customHeight="true" outlineLevel="0" collapsed="false">
      <c r="A31" s="127" t="n">
        <v>23</v>
      </c>
      <c r="B31" s="36" t="n">
        <f aca="false">$B$6</f>
        <v>14024.388333271</v>
      </c>
      <c r="C31" s="36" t="n">
        <f aca="false">B31-D31</f>
        <v>2989.69248474313</v>
      </c>
      <c r="D31" s="36" t="n">
        <f aca="false">E30*$B$4/12</f>
        <v>11034.6958485278</v>
      </c>
      <c r="E31" s="36" t="n">
        <f aca="false">E30-C31</f>
        <v>2404580.31083042</v>
      </c>
    </row>
    <row r="32" customFormat="false" ht="15" hidden="false" customHeight="true" outlineLevel="0" collapsed="false">
      <c r="A32" s="128" t="n">
        <v>24</v>
      </c>
      <c r="B32" s="129" t="n">
        <f aca="false">$B$6</f>
        <v>14024.388333271</v>
      </c>
      <c r="C32" s="129" t="n">
        <f aca="false">B32-D32</f>
        <v>3003.39524196487</v>
      </c>
      <c r="D32" s="129" t="n">
        <f aca="false">E31*$B$4/12</f>
        <v>11020.9930913061</v>
      </c>
      <c r="E32" s="129" t="n">
        <f aca="false">E31-C32</f>
        <v>2401576.91558846</v>
      </c>
    </row>
    <row r="33" customFormat="false" ht="15" hidden="false" customHeight="true" outlineLevel="0" collapsed="false">
      <c r="A33" s="127" t="n">
        <v>25</v>
      </c>
      <c r="B33" s="36" t="n">
        <f aca="false">$B$6</f>
        <v>14024.388333271</v>
      </c>
      <c r="C33" s="36" t="n">
        <f aca="false">B33-D33</f>
        <v>3017.16080349055</v>
      </c>
      <c r="D33" s="36" t="n">
        <f aca="false">E32*$B$4/12</f>
        <v>11007.2275297804</v>
      </c>
      <c r="E33" s="36" t="n">
        <f aca="false">E32-C33</f>
        <v>2398559.75478497</v>
      </c>
    </row>
    <row r="34" customFormat="false" ht="15" hidden="false" customHeight="true" outlineLevel="0" collapsed="false">
      <c r="A34" s="128" t="n">
        <v>26</v>
      </c>
      <c r="B34" s="129" t="n">
        <f aca="false">$B$6</f>
        <v>14024.388333271</v>
      </c>
      <c r="C34" s="129" t="n">
        <f aca="false">B34-D34</f>
        <v>3030.98945717321</v>
      </c>
      <c r="D34" s="129" t="n">
        <f aca="false">E33*$B$4/12</f>
        <v>10993.3988760978</v>
      </c>
      <c r="E34" s="129" t="n">
        <f aca="false">E33-C34</f>
        <v>2395528.76532779</v>
      </c>
    </row>
    <row r="35" customFormat="false" ht="15" hidden="false" customHeight="true" outlineLevel="0" collapsed="false">
      <c r="A35" s="127" t="n">
        <v>27</v>
      </c>
      <c r="B35" s="36" t="n">
        <f aca="false">$B$6</f>
        <v>14024.388333271</v>
      </c>
      <c r="C35" s="36" t="n">
        <f aca="false">B35-D35</f>
        <v>3044.88149218525</v>
      </c>
      <c r="D35" s="36" t="n">
        <f aca="false">E34*$B$4/12</f>
        <v>10979.5068410857</v>
      </c>
      <c r="E35" s="36" t="n">
        <f aca="false">E34-C35</f>
        <v>2392483.88383561</v>
      </c>
    </row>
    <row r="36" customFormat="false" ht="15" hidden="false" customHeight="true" outlineLevel="0" collapsed="false">
      <c r="A36" s="128" t="n">
        <v>28</v>
      </c>
      <c r="B36" s="129" t="n">
        <f aca="false">$B$6</f>
        <v>14024.388333271</v>
      </c>
      <c r="C36" s="129" t="n">
        <f aca="false">B36-D36</f>
        <v>3058.83719902444</v>
      </c>
      <c r="D36" s="129" t="n">
        <f aca="false">E35*$B$4/12</f>
        <v>10965.5511342465</v>
      </c>
      <c r="E36" s="129" t="n">
        <f aca="false">E35-C36</f>
        <v>2389425.04663658</v>
      </c>
    </row>
    <row r="37" customFormat="false" ht="15" hidden="false" customHeight="true" outlineLevel="0" collapsed="false">
      <c r="A37" s="127" t="n">
        <v>29</v>
      </c>
      <c r="B37" s="36" t="n">
        <f aca="false">$B$6</f>
        <v>14024.388333271</v>
      </c>
      <c r="C37" s="36" t="n">
        <f aca="false">B37-D37</f>
        <v>3072.85686951996</v>
      </c>
      <c r="D37" s="36" t="n">
        <f aca="false">E36*$B$4/12</f>
        <v>10951.531463751</v>
      </c>
      <c r="E37" s="36" t="n">
        <f aca="false">E36-C37</f>
        <v>2386352.18976706</v>
      </c>
    </row>
    <row r="38" customFormat="false" ht="15" hidden="false" customHeight="true" outlineLevel="0" collapsed="false">
      <c r="A38" s="128" t="n">
        <v>30</v>
      </c>
      <c r="B38" s="129" t="n">
        <f aca="false">$B$6</f>
        <v>14024.388333271</v>
      </c>
      <c r="C38" s="129" t="n">
        <f aca="false">B38-D38</f>
        <v>3086.9407968386</v>
      </c>
      <c r="D38" s="129" t="n">
        <f aca="false">E37*$B$4/12</f>
        <v>10937.4475364324</v>
      </c>
      <c r="E38" s="129" t="n">
        <f aca="false">E37-C38</f>
        <v>2383265.24897023</v>
      </c>
    </row>
    <row r="39" customFormat="false" ht="15" hidden="false" customHeight="true" outlineLevel="0" collapsed="false">
      <c r="A39" s="127" t="n">
        <v>31</v>
      </c>
      <c r="B39" s="36" t="n">
        <f aca="false">$B$6</f>
        <v>14024.388333271</v>
      </c>
      <c r="C39" s="36" t="n">
        <f aca="false">B39-D39</f>
        <v>3101.08927549078</v>
      </c>
      <c r="D39" s="36" t="n">
        <f aca="false">E38*$B$4/12</f>
        <v>10923.2990577802</v>
      </c>
      <c r="E39" s="36" t="n">
        <f aca="false">E38-C39</f>
        <v>2380164.15969473</v>
      </c>
    </row>
    <row r="40" customFormat="false" ht="15" hidden="false" customHeight="true" outlineLevel="0" collapsed="false">
      <c r="A40" s="128" t="n">
        <v>32</v>
      </c>
      <c r="B40" s="129" t="n">
        <f aca="false">$B$6</f>
        <v>14024.388333271</v>
      </c>
      <c r="C40" s="129" t="n">
        <f aca="false">B40-D40</f>
        <v>3115.30260133678</v>
      </c>
      <c r="D40" s="129" t="n">
        <f aca="false">E39*$B$4/12</f>
        <v>10909.0857319342</v>
      </c>
      <c r="E40" s="129" t="n">
        <f aca="false">E39-C40</f>
        <v>2377048.8570934</v>
      </c>
    </row>
    <row r="41" customFormat="false" ht="15" hidden="false" customHeight="true" outlineLevel="0" collapsed="false">
      <c r="A41" s="127" t="n">
        <v>33</v>
      </c>
      <c r="B41" s="36" t="n">
        <f aca="false">$B$6</f>
        <v>14024.388333271</v>
      </c>
      <c r="C41" s="36" t="n">
        <f aca="false">B41-D41</f>
        <v>3129.5810715929</v>
      </c>
      <c r="D41" s="36" t="n">
        <f aca="false">E40*$B$4/12</f>
        <v>10894.8072616781</v>
      </c>
      <c r="E41" s="36" t="n">
        <f aca="false">E40-C41</f>
        <v>2373919.2760218</v>
      </c>
    </row>
    <row r="42" customFormat="false" ht="15" hidden="false" customHeight="true" outlineLevel="0" collapsed="false">
      <c r="A42" s="128" t="n">
        <v>34</v>
      </c>
      <c r="B42" s="129" t="n">
        <f aca="false">$B$6</f>
        <v>14024.388333271</v>
      </c>
      <c r="C42" s="129" t="n">
        <f aca="false">B42-D42</f>
        <v>3143.9249848377</v>
      </c>
      <c r="D42" s="129" t="n">
        <f aca="false">E41*$B$4/12</f>
        <v>10880.4633484333</v>
      </c>
      <c r="E42" s="129" t="n">
        <f aca="false">E41-C42</f>
        <v>2370775.35103697</v>
      </c>
    </row>
    <row r="43" customFormat="false" ht="15" hidden="false" customHeight="true" outlineLevel="0" collapsed="false">
      <c r="A43" s="127" t="n">
        <v>35</v>
      </c>
      <c r="B43" s="36" t="n">
        <f aca="false">$B$6</f>
        <v>14024.388333271</v>
      </c>
      <c r="C43" s="36" t="n">
        <f aca="false">B43-D43</f>
        <v>3158.33464101821</v>
      </c>
      <c r="D43" s="36" t="n">
        <f aca="false">E42*$B$4/12</f>
        <v>10866.0536922528</v>
      </c>
      <c r="E43" s="36" t="n">
        <f aca="false">E42-C43</f>
        <v>2367617.01639595</v>
      </c>
    </row>
    <row r="44" customFormat="false" ht="15" hidden="false" customHeight="true" outlineLevel="0" collapsed="false">
      <c r="A44" s="128" t="n">
        <v>36</v>
      </c>
      <c r="B44" s="129" t="n">
        <f aca="false">$B$6</f>
        <v>14024.388333271</v>
      </c>
      <c r="C44" s="129" t="n">
        <f aca="false">B44-D44</f>
        <v>3172.81034145621</v>
      </c>
      <c r="D44" s="129" t="n">
        <f aca="false">E43*$B$4/12</f>
        <v>10851.5779918148</v>
      </c>
      <c r="E44" s="129" t="n">
        <f aca="false">E43-C44</f>
        <v>2364444.20605449</v>
      </c>
    </row>
    <row r="45" customFormat="false" ht="15" hidden="false" customHeight="true" outlineLevel="0" collapsed="false">
      <c r="A45" s="127" t="n">
        <v>37</v>
      </c>
      <c r="B45" s="36" t="n">
        <f aca="false">$B$6</f>
        <v>14024.388333271</v>
      </c>
      <c r="C45" s="36" t="n">
        <f aca="false">B45-D45</f>
        <v>3187.35238885455</v>
      </c>
      <c r="D45" s="36" t="n">
        <f aca="false">E44*$B$4/12</f>
        <v>10837.0359444164</v>
      </c>
      <c r="E45" s="36" t="n">
        <f aca="false">E44-C45</f>
        <v>2361256.85366564</v>
      </c>
    </row>
    <row r="46" customFormat="false" ht="15" hidden="false" customHeight="true" outlineLevel="0" collapsed="false">
      <c r="A46" s="128" t="n">
        <v>38</v>
      </c>
      <c r="B46" s="129" t="n">
        <f aca="false">$B$6</f>
        <v>14024.388333271</v>
      </c>
      <c r="C46" s="129" t="n">
        <f aca="false">B46-D46</f>
        <v>3201.96108730347</v>
      </c>
      <c r="D46" s="129" t="n">
        <f aca="false">E45*$B$4/12</f>
        <v>10822.4272459675</v>
      </c>
      <c r="E46" s="129" t="n">
        <f aca="false">E45-C46</f>
        <v>2358054.89257833</v>
      </c>
    </row>
    <row r="47" customFormat="false" ht="15" hidden="false" customHeight="true" outlineLevel="0" collapsed="false">
      <c r="A47" s="127" t="n">
        <v>39</v>
      </c>
      <c r="B47" s="36" t="n">
        <f aca="false">$B$6</f>
        <v>14024.388333271</v>
      </c>
      <c r="C47" s="36" t="n">
        <f aca="false">B47-D47</f>
        <v>3216.63674228695</v>
      </c>
      <c r="D47" s="36" t="n">
        <f aca="false">E46*$B$4/12</f>
        <v>10807.751590984</v>
      </c>
      <c r="E47" s="36" t="n">
        <f aca="false">E46-C47</f>
        <v>2354838.25583605</v>
      </c>
    </row>
    <row r="48" customFormat="false" ht="15" hidden="false" customHeight="true" outlineLevel="0" collapsed="false">
      <c r="A48" s="128" t="n">
        <v>40</v>
      </c>
      <c r="B48" s="129" t="n">
        <f aca="false">$B$6</f>
        <v>14024.388333271</v>
      </c>
      <c r="C48" s="129" t="n">
        <f aca="false">B48-D48</f>
        <v>3231.37966068909</v>
      </c>
      <c r="D48" s="129" t="n">
        <f aca="false">E47*$B$4/12</f>
        <v>10793.0086725819</v>
      </c>
      <c r="E48" s="129" t="n">
        <f aca="false">E47-C48</f>
        <v>2351606.87617536</v>
      </c>
    </row>
    <row r="49" customFormat="false" ht="15" hidden="false" customHeight="true" outlineLevel="0" collapsed="false">
      <c r="A49" s="127" t="n">
        <v>41</v>
      </c>
      <c r="B49" s="36" t="n">
        <f aca="false">$B$6</f>
        <v>14024.388333271</v>
      </c>
      <c r="C49" s="36" t="n">
        <f aca="false">B49-D49</f>
        <v>3246.19015080059</v>
      </c>
      <c r="D49" s="36" t="n">
        <f aca="false">E48*$B$4/12</f>
        <v>10778.1981824704</v>
      </c>
      <c r="E49" s="36" t="n">
        <f aca="false">E48-C49</f>
        <v>2348360.68602456</v>
      </c>
    </row>
    <row r="50" customFormat="false" ht="15" hidden="false" customHeight="true" outlineLevel="0" collapsed="false">
      <c r="A50" s="128" t="n">
        <v>42</v>
      </c>
      <c r="B50" s="129" t="n">
        <f aca="false">$B$6</f>
        <v>14024.388333271</v>
      </c>
      <c r="C50" s="129" t="n">
        <f aca="false">B50-D50</f>
        <v>3261.06852232509</v>
      </c>
      <c r="D50" s="129" t="n">
        <f aca="false">E49*$B$4/12</f>
        <v>10763.3198109459</v>
      </c>
      <c r="E50" s="129" t="n">
        <f aca="false">E49-C50</f>
        <v>2345099.61750223</v>
      </c>
    </row>
    <row r="51" customFormat="false" ht="15" hidden="false" customHeight="true" outlineLevel="0" collapsed="false">
      <c r="A51" s="127" t="n">
        <v>43</v>
      </c>
      <c r="B51" s="36" t="n">
        <f aca="false">$B$6</f>
        <v>14024.388333271</v>
      </c>
      <c r="C51" s="36" t="n">
        <f aca="false">B51-D51</f>
        <v>3276.01508638575</v>
      </c>
      <c r="D51" s="36" t="n">
        <f aca="false">E50*$B$4/12</f>
        <v>10748.3732468852</v>
      </c>
      <c r="E51" s="36" t="n">
        <f aca="false">E50-C51</f>
        <v>2341823.60241585</v>
      </c>
    </row>
    <row r="52" customFormat="false" ht="15" hidden="false" customHeight="true" outlineLevel="0" collapsed="false">
      <c r="A52" s="128" t="n">
        <v>44</v>
      </c>
      <c r="B52" s="129" t="n">
        <f aca="false">$B$6</f>
        <v>14024.388333271</v>
      </c>
      <c r="C52" s="129" t="n">
        <f aca="false">B52-D52</f>
        <v>3291.03015553168</v>
      </c>
      <c r="D52" s="129" t="n">
        <f aca="false">E51*$B$4/12</f>
        <v>10733.3581777393</v>
      </c>
      <c r="E52" s="129" t="n">
        <f aca="false">E51-C52</f>
        <v>2338532.57226031</v>
      </c>
    </row>
    <row r="53" customFormat="false" ht="15" hidden="false" customHeight="true" outlineLevel="0" collapsed="false">
      <c r="A53" s="127" t="n">
        <v>45</v>
      </c>
      <c r="B53" s="36" t="n">
        <f aca="false">$B$6</f>
        <v>14024.388333271</v>
      </c>
      <c r="C53" s="36" t="n">
        <f aca="false">B53-D53</f>
        <v>3306.11404374454</v>
      </c>
      <c r="D53" s="36" t="n">
        <f aca="false">E52*$B$4/12</f>
        <v>10718.2742895264</v>
      </c>
      <c r="E53" s="36" t="n">
        <f aca="false">E52-C53</f>
        <v>2335226.45821657</v>
      </c>
    </row>
    <row r="54" customFormat="false" ht="15" hidden="false" customHeight="true" outlineLevel="0" collapsed="false">
      <c r="A54" s="128" t="n">
        <v>46</v>
      </c>
      <c r="B54" s="129" t="n">
        <f aca="false">$B$6</f>
        <v>14024.388333271</v>
      </c>
      <c r="C54" s="129" t="n">
        <f aca="false">B54-D54</f>
        <v>3321.26706644503</v>
      </c>
      <c r="D54" s="129" t="n">
        <f aca="false">E53*$B$4/12</f>
        <v>10703.1212668259</v>
      </c>
      <c r="E54" s="129" t="n">
        <f aca="false">E53-C54</f>
        <v>2331905.19115012</v>
      </c>
    </row>
    <row r="55" customFormat="false" ht="15" hidden="false" customHeight="true" outlineLevel="0" collapsed="false">
      <c r="A55" s="127" t="n">
        <v>47</v>
      </c>
      <c r="B55" s="36" t="n">
        <f aca="false">$B$6</f>
        <v>14024.388333271</v>
      </c>
      <c r="C55" s="36" t="n">
        <f aca="false">B55-D55</f>
        <v>3336.48954049957</v>
      </c>
      <c r="D55" s="36" t="n">
        <f aca="false">E54*$B$4/12</f>
        <v>10687.8987927714</v>
      </c>
      <c r="E55" s="36" t="n">
        <f aca="false">E54-C55</f>
        <v>2328568.70160962</v>
      </c>
    </row>
    <row r="56" customFormat="false" ht="15" hidden="false" customHeight="true" outlineLevel="0" collapsed="false">
      <c r="A56" s="128" t="n">
        <v>48</v>
      </c>
      <c r="B56" s="129" t="n">
        <f aca="false">$B$6</f>
        <v>14024.388333271</v>
      </c>
      <c r="C56" s="129" t="n">
        <f aca="false">B56-D56</f>
        <v>3351.78178422686</v>
      </c>
      <c r="D56" s="129" t="n">
        <f aca="false">E55*$B$4/12</f>
        <v>10672.6065490441</v>
      </c>
      <c r="E56" s="129" t="n">
        <f aca="false">E55-C56</f>
        <v>2325216.9198254</v>
      </c>
    </row>
    <row r="57" customFormat="false" ht="15" hidden="false" customHeight="true" outlineLevel="0" collapsed="false">
      <c r="A57" s="127" t="n">
        <v>49</v>
      </c>
      <c r="B57" s="36" t="n">
        <f aca="false">$B$6</f>
        <v>14024.388333271</v>
      </c>
      <c r="C57" s="36" t="n">
        <f aca="false">B57-D57</f>
        <v>3367.14411740457</v>
      </c>
      <c r="D57" s="36" t="n">
        <f aca="false">E56*$B$4/12</f>
        <v>10657.2442158664</v>
      </c>
      <c r="E57" s="36" t="n">
        <f aca="false">E56-C57</f>
        <v>2321849.77570799</v>
      </c>
    </row>
    <row r="58" customFormat="false" ht="15" hidden="false" customHeight="true" outlineLevel="0" collapsed="false">
      <c r="A58" s="128" t="n">
        <v>50</v>
      </c>
      <c r="B58" s="129" t="n">
        <f aca="false">$B$6</f>
        <v>14024.388333271</v>
      </c>
      <c r="C58" s="129" t="n">
        <f aca="false">B58-D58</f>
        <v>3382.57686127601</v>
      </c>
      <c r="D58" s="129" t="n">
        <f aca="false">E57*$B$4/12</f>
        <v>10641.811471995</v>
      </c>
      <c r="E58" s="129" t="n">
        <f aca="false">E57-C58</f>
        <v>2318467.19884672</v>
      </c>
    </row>
    <row r="59" customFormat="false" ht="15" hidden="false" customHeight="true" outlineLevel="0" collapsed="false">
      <c r="A59" s="127" t="n">
        <v>51</v>
      </c>
      <c r="B59" s="36" t="n">
        <f aca="false">$B$6</f>
        <v>14024.388333271</v>
      </c>
      <c r="C59" s="36" t="n">
        <f aca="false">B59-D59</f>
        <v>3398.08033855685</v>
      </c>
      <c r="D59" s="36" t="n">
        <f aca="false">E58*$B$4/12</f>
        <v>10626.3079947141</v>
      </c>
      <c r="E59" s="36" t="n">
        <f aca="false">E58-C59</f>
        <v>2315069.11850816</v>
      </c>
    </row>
    <row r="60" customFormat="false" ht="15" hidden="false" customHeight="true" outlineLevel="0" collapsed="false">
      <c r="A60" s="128" t="n">
        <v>52</v>
      </c>
      <c r="B60" s="129" t="n">
        <f aca="false">$B$6</f>
        <v>14024.388333271</v>
      </c>
      <c r="C60" s="129" t="n">
        <f aca="false">B60-D60</f>
        <v>3413.65487344191</v>
      </c>
      <c r="D60" s="129" t="n">
        <f aca="false">E59*$B$4/12</f>
        <v>10610.7334598291</v>
      </c>
      <c r="E60" s="129" t="n">
        <f aca="false">E59-C60</f>
        <v>2311655.46363472</v>
      </c>
    </row>
    <row r="61" customFormat="false" ht="15" hidden="false" customHeight="true" outlineLevel="0" collapsed="false">
      <c r="A61" s="127" t="n">
        <v>53</v>
      </c>
      <c r="B61" s="36" t="n">
        <f aca="false">$B$6</f>
        <v>14024.388333271</v>
      </c>
      <c r="C61" s="36" t="n">
        <f aca="false">B61-D61</f>
        <v>3429.30079161185</v>
      </c>
      <c r="D61" s="36" t="n">
        <f aca="false">E60*$B$4/12</f>
        <v>10595.0875416591</v>
      </c>
      <c r="E61" s="36" t="n">
        <f aca="false">E60-C61</f>
        <v>2308226.16284311</v>
      </c>
    </row>
    <row r="62" customFormat="false" ht="15" hidden="false" customHeight="true" outlineLevel="0" collapsed="false">
      <c r="A62" s="128" t="n">
        <v>54</v>
      </c>
      <c r="B62" s="129" t="n">
        <f aca="false">$B$6</f>
        <v>14024.388333271</v>
      </c>
      <c r="C62" s="129" t="n">
        <f aca="false">B62-D62</f>
        <v>3445.01842024007</v>
      </c>
      <c r="D62" s="129" t="n">
        <f aca="false">E61*$B$4/12</f>
        <v>10579.3699130309</v>
      </c>
      <c r="E62" s="129" t="n">
        <f aca="false">E61-C62</f>
        <v>2304781.14442287</v>
      </c>
    </row>
    <row r="63" customFormat="false" ht="15" hidden="false" customHeight="true" outlineLevel="0" collapsed="false">
      <c r="A63" s="127" t="n">
        <v>55</v>
      </c>
      <c r="B63" s="36" t="n">
        <f aca="false">$B$6</f>
        <v>14024.388333271</v>
      </c>
      <c r="C63" s="36" t="n">
        <f aca="false">B63-D63</f>
        <v>3460.8080879995</v>
      </c>
      <c r="D63" s="36" t="n">
        <f aca="false">E62*$B$4/12</f>
        <v>10563.5802452715</v>
      </c>
      <c r="E63" s="36" t="n">
        <f aca="false">E62-C63</f>
        <v>2301320.33633487</v>
      </c>
    </row>
    <row r="64" customFormat="false" ht="15" hidden="false" customHeight="true" outlineLevel="0" collapsed="false">
      <c r="A64" s="128" t="n">
        <v>56</v>
      </c>
      <c r="B64" s="129" t="n">
        <f aca="false">$B$6</f>
        <v>14024.388333271</v>
      </c>
      <c r="C64" s="129" t="n">
        <f aca="false">B64-D64</f>
        <v>3476.6701250695</v>
      </c>
      <c r="D64" s="129" t="n">
        <f aca="false">E63*$B$4/12</f>
        <v>10547.7182082015</v>
      </c>
      <c r="E64" s="129" t="n">
        <f aca="false">E63-C64</f>
        <v>2297843.6662098</v>
      </c>
    </row>
    <row r="65" customFormat="false" ht="15" hidden="false" customHeight="true" outlineLevel="0" collapsed="false">
      <c r="A65" s="127" t="n">
        <v>57</v>
      </c>
      <c r="B65" s="36" t="n">
        <f aca="false">$B$6</f>
        <v>14024.388333271</v>
      </c>
      <c r="C65" s="36" t="n">
        <f aca="false">B65-D65</f>
        <v>3492.60486314274</v>
      </c>
      <c r="D65" s="36" t="n">
        <f aca="false">E64*$B$4/12</f>
        <v>10531.7834701282</v>
      </c>
      <c r="E65" s="36" t="n">
        <f aca="false">E64-C65</f>
        <v>2294351.06134666</v>
      </c>
    </row>
    <row r="66" customFormat="false" ht="15" hidden="false" customHeight="true" outlineLevel="0" collapsed="false">
      <c r="A66" s="128" t="n">
        <v>58</v>
      </c>
      <c r="B66" s="129" t="n">
        <f aca="false">$B$6</f>
        <v>14024.388333271</v>
      </c>
      <c r="C66" s="129" t="n">
        <f aca="false">B66-D66</f>
        <v>3508.61263543214</v>
      </c>
      <c r="D66" s="129" t="n">
        <f aca="false">E65*$B$4/12</f>
        <v>10515.7756978388</v>
      </c>
      <c r="E66" s="129" t="n">
        <f aca="false">E65-C66</f>
        <v>2290842.44871122</v>
      </c>
    </row>
    <row r="67" customFormat="false" ht="15" hidden="false" customHeight="true" outlineLevel="0" collapsed="false">
      <c r="A67" s="127" t="n">
        <v>59</v>
      </c>
      <c r="B67" s="36" t="n">
        <f aca="false">$B$6</f>
        <v>14024.388333271</v>
      </c>
      <c r="C67" s="36" t="n">
        <f aca="false">B67-D67</f>
        <v>3524.69377667787</v>
      </c>
      <c r="D67" s="36" t="n">
        <f aca="false">E66*$B$4/12</f>
        <v>10499.6945565931</v>
      </c>
      <c r="E67" s="36" t="n">
        <f aca="false">E66-C67</f>
        <v>2287317.75493455</v>
      </c>
    </row>
    <row r="68" customFormat="false" ht="15" hidden="false" customHeight="true" outlineLevel="0" collapsed="false">
      <c r="A68" s="128" t="n">
        <v>60</v>
      </c>
      <c r="B68" s="129" t="n">
        <f aca="false">$B$6</f>
        <v>14024.388333271</v>
      </c>
      <c r="C68" s="129" t="n">
        <f aca="false">B68-D68</f>
        <v>3540.84862315431</v>
      </c>
      <c r="D68" s="129" t="n">
        <f aca="false">E67*$B$4/12</f>
        <v>10483.5397101167</v>
      </c>
      <c r="E68" s="129" t="n">
        <f aca="false">E67-C68</f>
        <v>2283776.90631139</v>
      </c>
    </row>
    <row r="69" customFormat="false" ht="15" hidden="false" customHeight="true" outlineLevel="0" collapsed="false">
      <c r="A69" s="127" t="n">
        <v>61</v>
      </c>
      <c r="B69" s="36" t="n">
        <f aca="false">$B$6</f>
        <v>14024.388333271</v>
      </c>
      <c r="C69" s="36" t="n">
        <f aca="false">B69-D69</f>
        <v>3557.0775126771</v>
      </c>
      <c r="D69" s="36" t="n">
        <f aca="false">E68*$B$4/12</f>
        <v>10467.3108205939</v>
      </c>
      <c r="E69" s="36" t="n">
        <f aca="false">E68-C69</f>
        <v>2280219.82879871</v>
      </c>
    </row>
    <row r="70" customFormat="false" ht="15" hidden="false" customHeight="true" outlineLevel="0" collapsed="false">
      <c r="A70" s="128" t="n">
        <v>62</v>
      </c>
      <c r="B70" s="129" t="n">
        <f aca="false">$B$6</f>
        <v>14024.388333271</v>
      </c>
      <c r="C70" s="129" t="n">
        <f aca="false">B70-D70</f>
        <v>3573.3807846102</v>
      </c>
      <c r="D70" s="129" t="n">
        <f aca="false">E69*$B$4/12</f>
        <v>10451.0075486608</v>
      </c>
      <c r="E70" s="129" t="n">
        <f aca="false">E69-C70</f>
        <v>2276646.4480141</v>
      </c>
    </row>
    <row r="71" customFormat="false" ht="15" hidden="false" customHeight="true" outlineLevel="0" collapsed="false">
      <c r="A71" s="127" t="n">
        <v>63</v>
      </c>
      <c r="B71" s="36" t="n">
        <f aca="false">$B$6</f>
        <v>14024.388333271</v>
      </c>
      <c r="C71" s="36" t="n">
        <f aca="false">B71-D71</f>
        <v>3589.758779873</v>
      </c>
      <c r="D71" s="36" t="n">
        <f aca="false">E70*$B$4/12</f>
        <v>10434.629553398</v>
      </c>
      <c r="E71" s="36" t="n">
        <f aca="false">E70-C71</f>
        <v>2273056.68923423</v>
      </c>
    </row>
    <row r="72" customFormat="false" ht="15" hidden="false" customHeight="true" outlineLevel="0" collapsed="false">
      <c r="A72" s="128" t="n">
        <v>64</v>
      </c>
      <c r="B72" s="129" t="n">
        <f aca="false">$B$6</f>
        <v>14024.388333271</v>
      </c>
      <c r="C72" s="129" t="n">
        <f aca="false">B72-D72</f>
        <v>3606.21184094742</v>
      </c>
      <c r="D72" s="129" t="n">
        <f aca="false">E71*$B$4/12</f>
        <v>10418.1764923236</v>
      </c>
      <c r="E72" s="129" t="n">
        <f aca="false">E71-C72</f>
        <v>2269450.47739328</v>
      </c>
    </row>
    <row r="73" customFormat="false" ht="15" hidden="false" customHeight="true" outlineLevel="0" collapsed="false">
      <c r="A73" s="127" t="n">
        <v>65</v>
      </c>
      <c r="B73" s="36" t="n">
        <f aca="false">$B$6</f>
        <v>14024.388333271</v>
      </c>
      <c r="C73" s="36" t="n">
        <f aca="false">B73-D73</f>
        <v>3622.7403118851</v>
      </c>
      <c r="D73" s="36" t="n">
        <f aca="false">E72*$B$4/12</f>
        <v>10401.6480213859</v>
      </c>
      <c r="E73" s="36" t="n">
        <f aca="false">E72-C73</f>
        <v>2265827.7370814</v>
      </c>
    </row>
    <row r="74" customFormat="false" ht="15" hidden="false" customHeight="true" outlineLevel="0" collapsed="false">
      <c r="A74" s="128" t="n">
        <v>66</v>
      </c>
      <c r="B74" s="129" t="n">
        <f aca="false">$B$6</f>
        <v>14024.388333271</v>
      </c>
      <c r="C74" s="129" t="n">
        <f aca="false">B74-D74</f>
        <v>3639.34453831457</v>
      </c>
      <c r="D74" s="129" t="n">
        <f aca="false">E73*$B$4/12</f>
        <v>10385.0437949564</v>
      </c>
      <c r="E74" s="129" t="n">
        <f aca="false">E73-C74</f>
        <v>2262188.39254308</v>
      </c>
    </row>
    <row r="75" customFormat="false" ht="15" hidden="false" customHeight="true" outlineLevel="0" collapsed="false">
      <c r="A75" s="127" t="n">
        <v>67</v>
      </c>
      <c r="B75" s="36" t="n">
        <f aca="false">$B$6</f>
        <v>14024.388333271</v>
      </c>
      <c r="C75" s="36" t="n">
        <f aca="false">B75-D75</f>
        <v>3656.02486744851</v>
      </c>
      <c r="D75" s="36" t="n">
        <f aca="false">E74*$B$4/12</f>
        <v>10368.3634658225</v>
      </c>
      <c r="E75" s="36" t="n">
        <f aca="false">E74-C75</f>
        <v>2258532.36767563</v>
      </c>
    </row>
    <row r="76" customFormat="false" ht="15" hidden="false" customHeight="true" outlineLevel="0" collapsed="false">
      <c r="A76" s="128" t="n">
        <v>68</v>
      </c>
      <c r="B76" s="129" t="n">
        <f aca="false">$B$6</f>
        <v>14024.388333271</v>
      </c>
      <c r="C76" s="129" t="n">
        <f aca="false">B76-D76</f>
        <v>3672.78164809099</v>
      </c>
      <c r="D76" s="129" t="n">
        <f aca="false">E75*$B$4/12</f>
        <v>10351.60668518</v>
      </c>
      <c r="E76" s="129" t="n">
        <f aca="false">E75-C76</f>
        <v>2254859.58602754</v>
      </c>
    </row>
    <row r="77" customFormat="false" ht="15" hidden="false" customHeight="true" outlineLevel="0" collapsed="false">
      <c r="A77" s="127" t="n">
        <v>69</v>
      </c>
      <c r="B77" s="36" t="n">
        <f aca="false">$B$6</f>
        <v>14024.388333271</v>
      </c>
      <c r="C77" s="36" t="n">
        <f aca="false">B77-D77</f>
        <v>3689.61523064474</v>
      </c>
      <c r="D77" s="36" t="n">
        <f aca="false">E76*$B$4/12</f>
        <v>10334.7731026262</v>
      </c>
      <c r="E77" s="36" t="n">
        <f aca="false">E76-C77</f>
        <v>2251169.9707969</v>
      </c>
    </row>
    <row r="78" customFormat="false" ht="15" hidden="false" customHeight="true" outlineLevel="0" collapsed="false">
      <c r="A78" s="128" t="n">
        <v>70</v>
      </c>
      <c r="B78" s="129" t="n">
        <f aca="false">$B$6</f>
        <v>14024.388333271</v>
      </c>
      <c r="C78" s="129" t="n">
        <f aca="false">B78-D78</f>
        <v>3706.52596711852</v>
      </c>
      <c r="D78" s="129" t="n">
        <f aca="false">E77*$B$4/12</f>
        <v>10317.8623661525</v>
      </c>
      <c r="E78" s="129" t="n">
        <f aca="false">E77-C78</f>
        <v>2247463.44482978</v>
      </c>
    </row>
    <row r="79" customFormat="false" ht="15" hidden="false" customHeight="true" outlineLevel="0" collapsed="false">
      <c r="A79" s="127" t="n">
        <v>71</v>
      </c>
      <c r="B79" s="36" t="n">
        <f aca="false">$B$6</f>
        <v>14024.388333271</v>
      </c>
      <c r="C79" s="36" t="n">
        <f aca="false">B79-D79</f>
        <v>3723.51421113448</v>
      </c>
      <c r="D79" s="36" t="n">
        <f aca="false">E78*$B$4/12</f>
        <v>10300.8741221365</v>
      </c>
      <c r="E79" s="36" t="n">
        <f aca="false">E78-C79</f>
        <v>2243739.93061865</v>
      </c>
    </row>
    <row r="80" customFormat="false" ht="15" hidden="false" customHeight="true" outlineLevel="0" collapsed="false">
      <c r="A80" s="128" t="n">
        <v>72</v>
      </c>
      <c r="B80" s="129" t="n">
        <f aca="false">$B$6</f>
        <v>14024.388333271</v>
      </c>
      <c r="C80" s="129" t="n">
        <f aca="false">B80-D80</f>
        <v>3740.58031793552</v>
      </c>
      <c r="D80" s="129" t="n">
        <f aca="false">E79*$B$4/12</f>
        <v>10283.8080153355</v>
      </c>
      <c r="E80" s="129" t="n">
        <f aca="false">E79-C80</f>
        <v>2239999.35030071</v>
      </c>
    </row>
    <row r="81" customFormat="false" ht="15" hidden="false" customHeight="true" outlineLevel="0" collapsed="false">
      <c r="A81" s="127" t="n">
        <v>73</v>
      </c>
      <c r="B81" s="36" t="n">
        <f aca="false">$B$6</f>
        <v>14024.388333271</v>
      </c>
      <c r="C81" s="36" t="n">
        <f aca="false">B81-D81</f>
        <v>3757.72464439272</v>
      </c>
      <c r="D81" s="36" t="n">
        <f aca="false">E80*$B$4/12</f>
        <v>10266.6636888783</v>
      </c>
      <c r="E81" s="36" t="n">
        <f aca="false">E80-C81</f>
        <v>2236241.62565632</v>
      </c>
    </row>
    <row r="82" customFormat="false" ht="15" hidden="false" customHeight="true" outlineLevel="0" collapsed="false">
      <c r="A82" s="128" t="n">
        <v>74</v>
      </c>
      <c r="B82" s="129" t="n">
        <f aca="false">$B$6</f>
        <v>14024.388333271</v>
      </c>
      <c r="C82" s="129" t="n">
        <f aca="false">B82-D82</f>
        <v>3774.94754901285</v>
      </c>
      <c r="D82" s="129" t="n">
        <f aca="false">E81*$B$4/12</f>
        <v>10249.4407842581</v>
      </c>
      <c r="E82" s="129" t="n">
        <f aca="false">E81-C82</f>
        <v>2232466.6781073</v>
      </c>
    </row>
    <row r="83" customFormat="false" ht="15" hidden="false" customHeight="true" outlineLevel="0" collapsed="false">
      <c r="A83" s="127" t="n">
        <v>75</v>
      </c>
      <c r="B83" s="36" t="n">
        <f aca="false">$B$6</f>
        <v>14024.388333271</v>
      </c>
      <c r="C83" s="36" t="n">
        <f aca="false">B83-D83</f>
        <v>3792.24939194583</v>
      </c>
      <c r="D83" s="36" t="n">
        <f aca="false">E82*$B$4/12</f>
        <v>10232.1389413251</v>
      </c>
      <c r="E83" s="36" t="n">
        <f aca="false">E82-C83</f>
        <v>2228674.42871536</v>
      </c>
    </row>
    <row r="84" customFormat="false" ht="15" hidden="false" customHeight="true" outlineLevel="0" collapsed="false">
      <c r="A84" s="128" t="n">
        <v>76</v>
      </c>
      <c r="B84" s="129" t="n">
        <f aca="false">$B$6</f>
        <v>14024.388333271</v>
      </c>
      <c r="C84" s="129" t="n">
        <f aca="false">B84-D84</f>
        <v>3809.63053499225</v>
      </c>
      <c r="D84" s="129" t="n">
        <f aca="false">E83*$B$4/12</f>
        <v>10214.7577982787</v>
      </c>
      <c r="E84" s="129" t="n">
        <f aca="false">E83-C84</f>
        <v>2224864.79818037</v>
      </c>
    </row>
    <row r="85" customFormat="false" ht="15" hidden="false" customHeight="true" outlineLevel="0" collapsed="false">
      <c r="A85" s="127" t="n">
        <v>77</v>
      </c>
      <c r="B85" s="36" t="n">
        <f aca="false">$B$6</f>
        <v>14024.388333271</v>
      </c>
      <c r="C85" s="36" t="n">
        <f aca="false">B85-D85</f>
        <v>3827.09134161096</v>
      </c>
      <c r="D85" s="36" t="n">
        <f aca="false">E84*$B$4/12</f>
        <v>10197.29699166</v>
      </c>
      <c r="E85" s="36" t="n">
        <f aca="false">E84-C85</f>
        <v>2221037.70683876</v>
      </c>
    </row>
    <row r="86" customFormat="false" ht="15" hidden="false" customHeight="true" outlineLevel="0" collapsed="false">
      <c r="A86" s="128" t="n">
        <v>78</v>
      </c>
      <c r="B86" s="129" t="n">
        <f aca="false">$B$6</f>
        <v>14024.388333271</v>
      </c>
      <c r="C86" s="129" t="n">
        <f aca="false">B86-D86</f>
        <v>3844.63217692668</v>
      </c>
      <c r="D86" s="129" t="n">
        <f aca="false">E85*$B$4/12</f>
        <v>10179.7561563443</v>
      </c>
      <c r="E86" s="129" t="n">
        <f aca="false">E85-C86</f>
        <v>2217193.07466183</v>
      </c>
    </row>
    <row r="87" customFormat="false" ht="15" hidden="false" customHeight="true" outlineLevel="0" collapsed="false">
      <c r="A87" s="127" t="n">
        <v>79</v>
      </c>
      <c r="B87" s="36" t="n">
        <f aca="false">$B$6</f>
        <v>14024.388333271</v>
      </c>
      <c r="C87" s="36" t="n">
        <f aca="false">B87-D87</f>
        <v>3862.2534077376</v>
      </c>
      <c r="D87" s="36" t="n">
        <f aca="false">E86*$B$4/12</f>
        <v>10162.1349255334</v>
      </c>
      <c r="E87" s="36" t="n">
        <f aca="false">E86-C87</f>
        <v>2213330.82125409</v>
      </c>
    </row>
    <row r="88" customFormat="false" ht="15" hidden="false" customHeight="true" outlineLevel="0" collapsed="false">
      <c r="A88" s="128" t="n">
        <v>80</v>
      </c>
      <c r="B88" s="129" t="n">
        <f aca="false">$B$6</f>
        <v>14024.388333271</v>
      </c>
      <c r="C88" s="129" t="n">
        <f aca="false">B88-D88</f>
        <v>3879.95540252306</v>
      </c>
      <c r="D88" s="129" t="n">
        <f aca="false">E87*$B$4/12</f>
        <v>10144.4329307479</v>
      </c>
      <c r="E88" s="129" t="n">
        <f aca="false">E87-C88</f>
        <v>2209450.86585157</v>
      </c>
    </row>
    <row r="89" customFormat="false" ht="15" hidden="false" customHeight="true" outlineLevel="0" collapsed="false">
      <c r="A89" s="127" t="n">
        <v>81</v>
      </c>
      <c r="B89" s="36" t="n">
        <f aca="false">$B$6</f>
        <v>14024.388333271</v>
      </c>
      <c r="C89" s="36" t="n">
        <f aca="false">B89-D89</f>
        <v>3897.73853145129</v>
      </c>
      <c r="D89" s="36" t="n">
        <f aca="false">E88*$B$4/12</f>
        <v>10126.6498018197</v>
      </c>
      <c r="E89" s="36" t="n">
        <f aca="false">E88-C89</f>
        <v>2205553.12732012</v>
      </c>
    </row>
    <row r="90" customFormat="false" ht="15" hidden="false" customHeight="true" outlineLevel="0" collapsed="false">
      <c r="A90" s="128" t="n">
        <v>82</v>
      </c>
      <c r="B90" s="129" t="n">
        <f aca="false">$B$6</f>
        <v>14024.388333271</v>
      </c>
      <c r="C90" s="129" t="n">
        <f aca="false">B90-D90</f>
        <v>3915.60316638711</v>
      </c>
      <c r="D90" s="129" t="n">
        <f aca="false">E89*$B$4/12</f>
        <v>10108.7851668839</v>
      </c>
      <c r="E90" s="129" t="n">
        <f aca="false">E89-C90</f>
        <v>2201637.52415373</v>
      </c>
    </row>
    <row r="91" customFormat="false" ht="15" hidden="false" customHeight="true" outlineLevel="0" collapsed="false">
      <c r="A91" s="127" t="n">
        <v>83</v>
      </c>
      <c r="B91" s="36" t="n">
        <f aca="false">$B$6</f>
        <v>14024.388333271</v>
      </c>
      <c r="C91" s="36" t="n">
        <f aca="false">B91-D91</f>
        <v>3933.54968089972</v>
      </c>
      <c r="D91" s="36" t="n">
        <f aca="false">E90*$B$4/12</f>
        <v>10090.8386523713</v>
      </c>
      <c r="E91" s="36" t="n">
        <f aca="false">E90-C91</f>
        <v>2197703.97447283</v>
      </c>
    </row>
    <row r="92" customFormat="false" ht="15" hidden="false" customHeight="true" outlineLevel="0" collapsed="false">
      <c r="A92" s="128" t="n">
        <v>84</v>
      </c>
      <c r="B92" s="129" t="n">
        <f aca="false">$B$6</f>
        <v>14024.388333271</v>
      </c>
      <c r="C92" s="129" t="n">
        <f aca="false">B92-D92</f>
        <v>3951.57845027051</v>
      </c>
      <c r="D92" s="129" t="n">
        <f aca="false">E91*$B$4/12</f>
        <v>10072.8098830005</v>
      </c>
      <c r="E92" s="129" t="n">
        <f aca="false">E91-C92</f>
        <v>2193752.39602256</v>
      </c>
    </row>
    <row r="93" customFormat="false" ht="15" hidden="false" customHeight="true" outlineLevel="0" collapsed="false">
      <c r="A93" s="127" t="n">
        <v>85</v>
      </c>
      <c r="B93" s="36" t="n">
        <f aca="false">$B$6</f>
        <v>14024.388333271</v>
      </c>
      <c r="C93" s="36" t="n">
        <f aca="false">B93-D93</f>
        <v>3969.68985150091</v>
      </c>
      <c r="D93" s="36" t="n">
        <f aca="false">E92*$B$4/12</f>
        <v>10054.6984817701</v>
      </c>
      <c r="E93" s="36" t="n">
        <f aca="false">E92-C93</f>
        <v>2189782.70617106</v>
      </c>
    </row>
    <row r="94" customFormat="false" ht="15" hidden="false" customHeight="true" outlineLevel="0" collapsed="false">
      <c r="A94" s="128" t="n">
        <v>86</v>
      </c>
      <c r="B94" s="129" t="n">
        <f aca="false">$B$6</f>
        <v>14024.388333271</v>
      </c>
      <c r="C94" s="129" t="n">
        <f aca="false">B94-D94</f>
        <v>3987.88426332029</v>
      </c>
      <c r="D94" s="129" t="n">
        <f aca="false">E93*$B$4/12</f>
        <v>10036.5040699507</v>
      </c>
      <c r="E94" s="129" t="n">
        <f aca="false">E93-C94</f>
        <v>2185794.82190774</v>
      </c>
    </row>
    <row r="95" customFormat="false" ht="15" hidden="false" customHeight="true" outlineLevel="0" collapsed="false">
      <c r="A95" s="127" t="n">
        <v>87</v>
      </c>
      <c r="B95" s="36" t="n">
        <f aca="false">$B$6</f>
        <v>14024.388333271</v>
      </c>
      <c r="C95" s="36" t="n">
        <f aca="false">B95-D95</f>
        <v>4006.16206619384</v>
      </c>
      <c r="D95" s="36" t="n">
        <f aca="false">E94*$B$4/12</f>
        <v>10018.2262670771</v>
      </c>
      <c r="E95" s="36" t="n">
        <f aca="false">E94-C95</f>
        <v>2181788.65984154</v>
      </c>
    </row>
    <row r="96" customFormat="false" ht="15" hidden="false" customHeight="true" outlineLevel="0" collapsed="false">
      <c r="A96" s="128" t="n">
        <v>88</v>
      </c>
      <c r="B96" s="129" t="n">
        <f aca="false">$B$6</f>
        <v>14024.388333271</v>
      </c>
      <c r="C96" s="129" t="n">
        <f aca="false">B96-D96</f>
        <v>4024.52364233057</v>
      </c>
      <c r="D96" s="129" t="n">
        <f aca="false">E95*$B$4/12</f>
        <v>9999.86469094041</v>
      </c>
      <c r="E96" s="129" t="n">
        <f aca="false">E95-C96</f>
        <v>2177764.13619921</v>
      </c>
    </row>
    <row r="97" customFormat="false" ht="15" hidden="false" customHeight="true" outlineLevel="0" collapsed="false">
      <c r="A97" s="127" t="n">
        <v>89</v>
      </c>
      <c r="B97" s="36" t="n">
        <f aca="false">$B$6</f>
        <v>14024.388333271</v>
      </c>
      <c r="C97" s="36" t="n">
        <f aca="false">B97-D97</f>
        <v>4042.96937569125</v>
      </c>
      <c r="D97" s="36" t="n">
        <f aca="false">E96*$B$4/12</f>
        <v>9981.41895757973</v>
      </c>
      <c r="E97" s="36" t="n">
        <f aca="false">E96-C97</f>
        <v>2173721.16682352</v>
      </c>
    </row>
    <row r="98" customFormat="false" ht="15" hidden="false" customHeight="true" outlineLevel="0" collapsed="false">
      <c r="A98" s="128" t="n">
        <v>90</v>
      </c>
      <c r="B98" s="129" t="n">
        <f aca="false">$B$6</f>
        <v>14024.388333271</v>
      </c>
      <c r="C98" s="129" t="n">
        <f aca="false">B98-D98</f>
        <v>4061.4996519965</v>
      </c>
      <c r="D98" s="129" t="n">
        <f aca="false">E97*$B$4/12</f>
        <v>9962.88868127448</v>
      </c>
      <c r="E98" s="129" t="n">
        <f aca="false">E97-C98</f>
        <v>2169659.66717153</v>
      </c>
    </row>
    <row r="99" customFormat="false" ht="15" hidden="false" customHeight="true" outlineLevel="0" collapsed="false">
      <c r="A99" s="127" t="n">
        <v>91</v>
      </c>
      <c r="B99" s="36" t="n">
        <f aca="false">$B$6</f>
        <v>14024.388333271</v>
      </c>
      <c r="C99" s="36" t="n">
        <f aca="false">B99-D99</f>
        <v>4080.11485873482</v>
      </c>
      <c r="D99" s="36" t="n">
        <f aca="false">E98*$B$4/12</f>
        <v>9944.27347453616</v>
      </c>
      <c r="E99" s="36" t="n">
        <f aca="false">E98-C99</f>
        <v>2165579.55231279</v>
      </c>
    </row>
    <row r="100" customFormat="false" ht="15" hidden="false" customHeight="true" outlineLevel="0" collapsed="false">
      <c r="A100" s="128" t="n">
        <v>92</v>
      </c>
      <c r="B100" s="129" t="n">
        <f aca="false">$B$6</f>
        <v>14024.388333271</v>
      </c>
      <c r="C100" s="129" t="n">
        <f aca="false">B100-D100</f>
        <v>4098.81538517069</v>
      </c>
      <c r="D100" s="129" t="n">
        <f aca="false">E99*$B$4/12</f>
        <v>9925.57294810029</v>
      </c>
      <c r="E100" s="129" t="n">
        <f aca="false">E99-C100</f>
        <v>2161480.73692762</v>
      </c>
    </row>
    <row r="101" customFormat="false" ht="15" hidden="false" customHeight="true" outlineLevel="0" collapsed="false">
      <c r="A101" s="127" t="n">
        <v>93</v>
      </c>
      <c r="B101" s="36" t="n">
        <f aca="false">$B$6</f>
        <v>14024.388333271</v>
      </c>
      <c r="C101" s="36" t="n">
        <f aca="false">B101-D101</f>
        <v>4117.60162235272</v>
      </c>
      <c r="D101" s="36" t="n">
        <f aca="false">E100*$B$4/12</f>
        <v>9906.78671091826</v>
      </c>
      <c r="E101" s="36" t="n">
        <f aca="false">E100-C101</f>
        <v>2157363.13530527</v>
      </c>
    </row>
    <row r="102" customFormat="false" ht="15" hidden="false" customHeight="true" outlineLevel="0" collapsed="false">
      <c r="A102" s="128" t="n">
        <v>94</v>
      </c>
      <c r="B102" s="129" t="n">
        <f aca="false">$B$6</f>
        <v>14024.388333271</v>
      </c>
      <c r="C102" s="129" t="n">
        <f aca="false">B102-D102</f>
        <v>4136.47396312183</v>
      </c>
      <c r="D102" s="129" t="n">
        <f aca="false">E101*$B$4/12</f>
        <v>9887.91437014914</v>
      </c>
      <c r="E102" s="129" t="n">
        <f aca="false">E101-C102</f>
        <v>2153226.66134215</v>
      </c>
    </row>
    <row r="103" customFormat="false" ht="15" hidden="false" customHeight="true" outlineLevel="0" collapsed="false">
      <c r="A103" s="127" t="n">
        <v>95</v>
      </c>
      <c r="B103" s="36" t="n">
        <f aca="false">$B$6</f>
        <v>14024.388333271</v>
      </c>
      <c r="C103" s="36" t="n">
        <f aca="false">B103-D103</f>
        <v>4155.43280211948</v>
      </c>
      <c r="D103" s="36" t="n">
        <f aca="false">E102*$B$4/12</f>
        <v>9868.9555311515</v>
      </c>
      <c r="E103" s="36" t="n">
        <f aca="false">E102-C103</f>
        <v>2149071.22854003</v>
      </c>
    </row>
    <row r="104" customFormat="false" ht="15" hidden="false" customHeight="true" outlineLevel="0" collapsed="false">
      <c r="A104" s="128" t="n">
        <v>96</v>
      </c>
      <c r="B104" s="129" t="n">
        <f aca="false">$B$6</f>
        <v>14024.388333271</v>
      </c>
      <c r="C104" s="129" t="n">
        <f aca="false">B104-D104</f>
        <v>4174.47853579586</v>
      </c>
      <c r="D104" s="129" t="n">
        <f aca="false">E103*$B$4/12</f>
        <v>9849.90979747512</v>
      </c>
      <c r="E104" s="129" t="n">
        <f aca="false">E103-C104</f>
        <v>2144896.75000423</v>
      </c>
    </row>
    <row r="105" customFormat="false" ht="15" hidden="false" customHeight="true" outlineLevel="0" collapsed="false">
      <c r="A105" s="127" t="n">
        <v>97</v>
      </c>
      <c r="B105" s="36" t="n">
        <f aca="false">$B$6</f>
        <v>14024.388333271</v>
      </c>
      <c r="C105" s="36" t="n">
        <f aca="false">B105-D105</f>
        <v>4193.61156241826</v>
      </c>
      <c r="D105" s="36" t="n">
        <f aca="false">E104*$B$4/12</f>
        <v>9830.77677085272</v>
      </c>
      <c r="E105" s="36" t="n">
        <f aca="false">E104-C105</f>
        <v>2140703.13844181</v>
      </c>
    </row>
    <row r="106" customFormat="false" ht="15" hidden="false" customHeight="true" outlineLevel="0" collapsed="false">
      <c r="A106" s="128" t="n">
        <v>98</v>
      </c>
      <c r="B106" s="129" t="n">
        <f aca="false">$B$6</f>
        <v>14024.388333271</v>
      </c>
      <c r="C106" s="129" t="n">
        <f aca="false">B106-D106</f>
        <v>4212.83228207934</v>
      </c>
      <c r="D106" s="129" t="n">
        <f aca="false">E105*$B$4/12</f>
        <v>9811.55605119164</v>
      </c>
      <c r="E106" s="129" t="n">
        <f aca="false">E105-C106</f>
        <v>2136490.30615973</v>
      </c>
    </row>
    <row r="107" customFormat="false" ht="15" hidden="false" customHeight="true" outlineLevel="0" collapsed="false">
      <c r="A107" s="127" t="n">
        <v>99</v>
      </c>
      <c r="B107" s="36" t="n">
        <f aca="false">$B$6</f>
        <v>14024.388333271</v>
      </c>
      <c r="C107" s="36" t="n">
        <f aca="false">B107-D107</f>
        <v>4232.14109670553</v>
      </c>
      <c r="D107" s="36" t="n">
        <f aca="false">E106*$B$4/12</f>
        <v>9792.24723656544</v>
      </c>
      <c r="E107" s="36" t="n">
        <f aca="false">E106-C107</f>
        <v>2132258.16506303</v>
      </c>
    </row>
    <row r="108" customFormat="false" ht="15" hidden="false" customHeight="true" outlineLevel="0" collapsed="false">
      <c r="A108" s="128" t="n">
        <v>100</v>
      </c>
      <c r="B108" s="129" t="n">
        <f aca="false">$B$6</f>
        <v>14024.388333271</v>
      </c>
      <c r="C108" s="129" t="n">
        <f aca="false">B108-D108</f>
        <v>4251.53841006544</v>
      </c>
      <c r="D108" s="129" t="n">
        <f aca="false">E107*$B$4/12</f>
        <v>9772.84992320554</v>
      </c>
      <c r="E108" s="129" t="n">
        <f aca="false">E107-C108</f>
        <v>2128006.62665296</v>
      </c>
    </row>
    <row r="109" customFormat="false" ht="15" hidden="false" customHeight="true" outlineLevel="0" collapsed="false">
      <c r="A109" s="127" t="n">
        <v>101</v>
      </c>
      <c r="B109" s="36" t="n">
        <f aca="false">$B$6</f>
        <v>14024.388333271</v>
      </c>
      <c r="C109" s="36" t="n">
        <f aca="false">B109-D109</f>
        <v>4271.02462777824</v>
      </c>
      <c r="D109" s="36" t="n">
        <f aca="false">E108*$B$4/12</f>
        <v>9753.36370549274</v>
      </c>
      <c r="E109" s="36" t="n">
        <f aca="false">E108-C109</f>
        <v>2123735.60202518</v>
      </c>
    </row>
    <row r="110" customFormat="false" ht="15" hidden="false" customHeight="true" outlineLevel="0" collapsed="false">
      <c r="A110" s="128" t="n">
        <v>102</v>
      </c>
      <c r="B110" s="129" t="n">
        <f aca="false">$B$6</f>
        <v>14024.388333271</v>
      </c>
      <c r="C110" s="129" t="n">
        <f aca="false">B110-D110</f>
        <v>4290.60015732222</v>
      </c>
      <c r="D110" s="129" t="n">
        <f aca="false">E109*$B$4/12</f>
        <v>9733.78817594876</v>
      </c>
      <c r="E110" s="129" t="n">
        <f aca="false">E109-C110</f>
        <v>2119445.00186786</v>
      </c>
    </row>
    <row r="111" customFormat="false" ht="15" hidden="false" customHeight="true" outlineLevel="0" collapsed="false">
      <c r="A111" s="127" t="n">
        <v>103</v>
      </c>
      <c r="B111" s="36" t="n">
        <f aca="false">$B$6</f>
        <v>14024.388333271</v>
      </c>
      <c r="C111" s="36" t="n">
        <f aca="false">B111-D111</f>
        <v>4310.26540804328</v>
      </c>
      <c r="D111" s="36" t="n">
        <f aca="false">E110*$B$4/12</f>
        <v>9714.1229252277</v>
      </c>
      <c r="E111" s="36" t="n">
        <f aca="false">E110-C111</f>
        <v>2115134.73645982</v>
      </c>
    </row>
    <row r="112" customFormat="false" ht="15" hidden="false" customHeight="true" outlineLevel="0" collapsed="false">
      <c r="A112" s="128" t="n">
        <v>104</v>
      </c>
      <c r="B112" s="129" t="n">
        <f aca="false">$B$6</f>
        <v>14024.388333271</v>
      </c>
      <c r="C112" s="129" t="n">
        <f aca="false">B112-D112</f>
        <v>4330.02079116348</v>
      </c>
      <c r="D112" s="129" t="n">
        <f aca="false">E111*$B$4/12</f>
        <v>9694.3675421075</v>
      </c>
      <c r="E112" s="129" t="n">
        <f aca="false">E111-C112</f>
        <v>2110804.71566865</v>
      </c>
    </row>
    <row r="113" customFormat="false" ht="15" hidden="false" customHeight="true" outlineLevel="0" collapsed="false">
      <c r="A113" s="127" t="n">
        <v>105</v>
      </c>
      <c r="B113" s="36" t="n">
        <f aca="false">$B$6</f>
        <v>14024.388333271</v>
      </c>
      <c r="C113" s="36" t="n">
        <f aca="false">B113-D113</f>
        <v>4349.86671978965</v>
      </c>
      <c r="D113" s="36" t="n">
        <f aca="false">E112*$B$4/12</f>
        <v>9674.52161348133</v>
      </c>
      <c r="E113" s="36" t="n">
        <f aca="false">E112-C113</f>
        <v>2106454.84894886</v>
      </c>
    </row>
    <row r="114" customFormat="false" ht="15" hidden="false" customHeight="true" outlineLevel="0" collapsed="false">
      <c r="A114" s="128" t="n">
        <v>106</v>
      </c>
      <c r="B114" s="129" t="n">
        <f aca="false">$B$6</f>
        <v>14024.388333271</v>
      </c>
      <c r="C114" s="129" t="n">
        <f aca="false">B114-D114</f>
        <v>4369.80360892202</v>
      </c>
      <c r="D114" s="129" t="n">
        <f aca="false">E113*$B$4/12</f>
        <v>9654.58472434896</v>
      </c>
      <c r="E114" s="129" t="n">
        <f aca="false">E113-C114</f>
        <v>2102085.04533994</v>
      </c>
    </row>
    <row r="115" customFormat="false" ht="15" hidden="false" customHeight="true" outlineLevel="0" collapsed="false">
      <c r="A115" s="127" t="n">
        <v>107</v>
      </c>
      <c r="B115" s="36" t="n">
        <f aca="false">$B$6</f>
        <v>14024.388333271</v>
      </c>
      <c r="C115" s="36" t="n">
        <f aca="false">B115-D115</f>
        <v>4389.83187546291</v>
      </c>
      <c r="D115" s="36" t="n">
        <f aca="false">E114*$B$4/12</f>
        <v>9634.55645780807</v>
      </c>
      <c r="E115" s="36" t="n">
        <f aca="false">E114-C115</f>
        <v>2097695.21346448</v>
      </c>
    </row>
    <row r="116" customFormat="false" ht="15" hidden="false" customHeight="true" outlineLevel="0" collapsed="false">
      <c r="A116" s="128" t="n">
        <v>108</v>
      </c>
      <c r="B116" s="129" t="n">
        <f aca="false">$B$6</f>
        <v>14024.388333271</v>
      </c>
      <c r="C116" s="129" t="n">
        <f aca="false">B116-D116</f>
        <v>4409.95193822544</v>
      </c>
      <c r="D116" s="129" t="n">
        <f aca="false">E115*$B$4/12</f>
        <v>9614.43639504553</v>
      </c>
      <c r="E116" s="129" t="n">
        <f aca="false">E115-C116</f>
        <v>2093285.26152625</v>
      </c>
    </row>
    <row r="117" customFormat="false" ht="15" hidden="false" customHeight="true" outlineLevel="0" collapsed="false">
      <c r="A117" s="127" t="n">
        <v>109</v>
      </c>
      <c r="B117" s="36" t="n">
        <f aca="false">$B$6</f>
        <v>14024.388333271</v>
      </c>
      <c r="C117" s="36" t="n">
        <f aca="false">B117-D117</f>
        <v>4430.16421794231</v>
      </c>
      <c r="D117" s="36" t="n">
        <f aca="false">E116*$B$4/12</f>
        <v>9594.22411532867</v>
      </c>
      <c r="E117" s="36" t="n">
        <f aca="false">E116-C117</f>
        <v>2088855.09730831</v>
      </c>
    </row>
    <row r="118" customFormat="false" ht="15" hidden="false" customHeight="true" outlineLevel="0" collapsed="false">
      <c r="A118" s="128" t="n">
        <v>110</v>
      </c>
      <c r="B118" s="129" t="n">
        <f aca="false">$B$6</f>
        <v>14024.388333271</v>
      </c>
      <c r="C118" s="129" t="n">
        <f aca="false">B118-D118</f>
        <v>4450.46913727455</v>
      </c>
      <c r="D118" s="129" t="n">
        <f aca="false">E117*$B$4/12</f>
        <v>9573.91919599643</v>
      </c>
      <c r="E118" s="129" t="n">
        <f aca="false">E117-C118</f>
        <v>2084404.62817104</v>
      </c>
    </row>
    <row r="119" customFormat="false" ht="15" hidden="false" customHeight="true" outlineLevel="0" collapsed="false">
      <c r="A119" s="127" t="n">
        <v>111</v>
      </c>
      <c r="B119" s="36" t="n">
        <f aca="false">$B$6</f>
        <v>14024.388333271</v>
      </c>
      <c r="C119" s="36" t="n">
        <f aca="false">B119-D119</f>
        <v>4470.86712082039</v>
      </c>
      <c r="D119" s="36" t="n">
        <f aca="false">E118*$B$4/12</f>
        <v>9553.52121245059</v>
      </c>
      <c r="E119" s="36" t="n">
        <f aca="false">E118-C119</f>
        <v>2079933.76105022</v>
      </c>
    </row>
    <row r="120" customFormat="false" ht="15" hidden="false" customHeight="true" outlineLevel="0" collapsed="false">
      <c r="A120" s="128" t="n">
        <v>112</v>
      </c>
      <c r="B120" s="129" t="n">
        <f aca="false">$B$6</f>
        <v>14024.388333271</v>
      </c>
      <c r="C120" s="129" t="n">
        <f aca="false">B120-D120</f>
        <v>4491.35859512415</v>
      </c>
      <c r="D120" s="129" t="n">
        <f aca="false">E119*$B$4/12</f>
        <v>9533.02973814683</v>
      </c>
      <c r="E120" s="129" t="n">
        <f aca="false">E119-C120</f>
        <v>2075442.40245509</v>
      </c>
    </row>
    <row r="121" customFormat="false" ht="15" hidden="false" customHeight="true" outlineLevel="0" collapsed="false">
      <c r="A121" s="127" t="n">
        <v>113</v>
      </c>
      <c r="B121" s="36" t="n">
        <f aca="false">$B$6</f>
        <v>14024.388333271</v>
      </c>
      <c r="C121" s="36" t="n">
        <f aca="false">B121-D121</f>
        <v>4511.94398868514</v>
      </c>
      <c r="D121" s="36" t="n">
        <f aca="false">E120*$B$4/12</f>
        <v>9512.44434458584</v>
      </c>
      <c r="E121" s="36" t="n">
        <f aca="false">E120-C121</f>
        <v>2070930.45846641</v>
      </c>
    </row>
    <row r="122" customFormat="false" ht="15" hidden="false" customHeight="true" outlineLevel="0" collapsed="false">
      <c r="A122" s="128" t="n">
        <v>114</v>
      </c>
      <c r="B122" s="129" t="n">
        <f aca="false">$B$6</f>
        <v>14024.388333271</v>
      </c>
      <c r="C122" s="129" t="n">
        <f aca="false">B122-D122</f>
        <v>4532.62373196661</v>
      </c>
      <c r="D122" s="129" t="n">
        <f aca="false">E121*$B$4/12</f>
        <v>9491.76460130437</v>
      </c>
      <c r="E122" s="129" t="n">
        <f aca="false">E121-C122</f>
        <v>2066397.83473444</v>
      </c>
    </row>
    <row r="123" customFormat="false" ht="15" hidden="false" customHeight="true" outlineLevel="0" collapsed="false">
      <c r="A123" s="127" t="n">
        <v>115</v>
      </c>
      <c r="B123" s="36" t="n">
        <f aca="false">$B$6</f>
        <v>14024.388333271</v>
      </c>
      <c r="C123" s="36" t="n">
        <f aca="false">B123-D123</f>
        <v>4553.39825740479</v>
      </c>
      <c r="D123" s="36" t="n">
        <f aca="false">E122*$B$4/12</f>
        <v>9470.99007586619</v>
      </c>
      <c r="E123" s="36" t="n">
        <f aca="false">E122-C123</f>
        <v>2061844.43647704</v>
      </c>
    </row>
    <row r="124" customFormat="false" ht="15" hidden="false" customHeight="true" outlineLevel="0" collapsed="false">
      <c r="A124" s="128" t="n">
        <v>116</v>
      </c>
      <c r="B124" s="129" t="n">
        <f aca="false">$B$6</f>
        <v>14024.388333271</v>
      </c>
      <c r="C124" s="129" t="n">
        <f aca="false">B124-D124</f>
        <v>4574.26799941789</v>
      </c>
      <c r="D124" s="129" t="n">
        <f aca="false">E123*$B$4/12</f>
        <v>9450.12033385308</v>
      </c>
      <c r="E124" s="129" t="n">
        <f aca="false">E123-C124</f>
        <v>2057270.16847762</v>
      </c>
    </row>
    <row r="125" customFormat="false" ht="15" hidden="false" customHeight="true" outlineLevel="0" collapsed="false">
      <c r="A125" s="127" t="n">
        <v>117</v>
      </c>
      <c r="B125" s="36" t="n">
        <f aca="false">$B$6</f>
        <v>14024.388333271</v>
      </c>
      <c r="C125" s="36" t="n">
        <f aca="false">B125-D125</f>
        <v>4595.23339441523</v>
      </c>
      <c r="D125" s="36" t="n">
        <f aca="false">E124*$B$4/12</f>
        <v>9429.15493885575</v>
      </c>
      <c r="E125" s="36" t="n">
        <f aca="false">E124-C125</f>
        <v>2052674.9350832</v>
      </c>
    </row>
    <row r="126" customFormat="false" ht="15" hidden="false" customHeight="true" outlineLevel="0" collapsed="false">
      <c r="A126" s="128" t="n">
        <v>118</v>
      </c>
      <c r="B126" s="129" t="n">
        <f aca="false">$B$6</f>
        <v>14024.388333271</v>
      </c>
      <c r="C126" s="129" t="n">
        <f aca="false">B126-D126</f>
        <v>4616.2948808063</v>
      </c>
      <c r="D126" s="129" t="n">
        <f aca="false">E125*$B$4/12</f>
        <v>9408.09345246468</v>
      </c>
      <c r="E126" s="129" t="n">
        <f aca="false">E125-C126</f>
        <v>2048058.6402024</v>
      </c>
    </row>
    <row r="127" customFormat="false" ht="15" hidden="false" customHeight="true" outlineLevel="0" collapsed="false">
      <c r="A127" s="127" t="n">
        <v>119</v>
      </c>
      <c r="B127" s="36" t="n">
        <f aca="false">$B$6</f>
        <v>14024.388333271</v>
      </c>
      <c r="C127" s="36" t="n">
        <f aca="false">B127-D127</f>
        <v>4637.45289900999</v>
      </c>
      <c r="D127" s="36" t="n">
        <f aca="false">E126*$B$4/12</f>
        <v>9386.93543426099</v>
      </c>
      <c r="E127" s="36" t="n">
        <f aca="false">E126-C127</f>
        <v>2043421.18730339</v>
      </c>
    </row>
    <row r="128" customFormat="false" ht="15" hidden="false" customHeight="true" outlineLevel="0" collapsed="false">
      <c r="A128" s="128" t="n">
        <v>120</v>
      </c>
      <c r="B128" s="129" t="n">
        <f aca="false">$B$6</f>
        <v>14024.388333271</v>
      </c>
      <c r="C128" s="129" t="n">
        <f aca="false">B128-D128</f>
        <v>4658.70789146379</v>
      </c>
      <c r="D128" s="129" t="n">
        <f aca="false">E127*$B$4/12</f>
        <v>9365.68044180719</v>
      </c>
      <c r="E128" s="129" t="n">
        <f aca="false">E127-C128</f>
        <v>2038762.47941192</v>
      </c>
    </row>
    <row r="129" customFormat="false" ht="15" hidden="false" customHeight="true" outlineLevel="0" collapsed="false">
      <c r="A129" s="127" t="n">
        <v>121</v>
      </c>
      <c r="B129" s="36" t="n">
        <f aca="false">$B$6</f>
        <v>14024.388333271</v>
      </c>
      <c r="C129" s="36" t="n">
        <f aca="false">B129-D129</f>
        <v>4680.060302633</v>
      </c>
      <c r="D129" s="36" t="n">
        <f aca="false">E128*$B$4/12</f>
        <v>9344.32803063798</v>
      </c>
      <c r="E129" s="36" t="n">
        <f aca="false">E128-C129</f>
        <v>2034082.41910929</v>
      </c>
    </row>
    <row r="130" customFormat="false" ht="15" hidden="false" customHeight="true" outlineLevel="0" collapsed="false">
      <c r="A130" s="128" t="n">
        <v>122</v>
      </c>
      <c r="B130" s="129" t="n">
        <f aca="false">$B$6</f>
        <v>14024.388333271</v>
      </c>
      <c r="C130" s="129" t="n">
        <f aca="false">B130-D130</f>
        <v>4701.51057902006</v>
      </c>
      <c r="D130" s="129" t="n">
        <f aca="false">E129*$B$4/12</f>
        <v>9322.87775425091</v>
      </c>
      <c r="E130" s="129" t="n">
        <f aca="false">E129-C130</f>
        <v>2029380.90853027</v>
      </c>
    </row>
    <row r="131" customFormat="false" ht="15" hidden="false" customHeight="true" outlineLevel="0" collapsed="false">
      <c r="A131" s="127" t="n">
        <v>123</v>
      </c>
      <c r="B131" s="36" t="n">
        <f aca="false">$B$6</f>
        <v>14024.388333271</v>
      </c>
      <c r="C131" s="36" t="n">
        <f aca="false">B131-D131</f>
        <v>4723.05916917391</v>
      </c>
      <c r="D131" s="36" t="n">
        <f aca="false">E130*$B$4/12</f>
        <v>9301.32916409707</v>
      </c>
      <c r="E131" s="36" t="n">
        <f aca="false">E130-C131</f>
        <v>2024657.8493611</v>
      </c>
    </row>
    <row r="132" customFormat="false" ht="15" hidden="false" customHeight="true" outlineLevel="0" collapsed="false">
      <c r="A132" s="128" t="n">
        <v>124</v>
      </c>
      <c r="B132" s="129" t="n">
        <f aca="false">$B$6</f>
        <v>14024.388333271</v>
      </c>
      <c r="C132" s="129" t="n">
        <f aca="false">B132-D132</f>
        <v>4744.70652369929</v>
      </c>
      <c r="D132" s="129" t="n">
        <f aca="false">E131*$B$4/12</f>
        <v>9279.68180957169</v>
      </c>
      <c r="E132" s="129" t="n">
        <f aca="false">E131-C132</f>
        <v>2019913.1428374</v>
      </c>
    </row>
    <row r="133" customFormat="false" ht="15" hidden="false" customHeight="true" outlineLevel="0" collapsed="false">
      <c r="A133" s="127" t="n">
        <v>125</v>
      </c>
      <c r="B133" s="36" t="n">
        <f aca="false">$B$6</f>
        <v>14024.388333271</v>
      </c>
      <c r="C133" s="36" t="n">
        <f aca="false">B133-D133</f>
        <v>4766.45309526624</v>
      </c>
      <c r="D133" s="36" t="n">
        <f aca="false">E132*$B$4/12</f>
        <v>9257.93523800474</v>
      </c>
      <c r="E133" s="36" t="n">
        <f aca="false">E132-C133</f>
        <v>2015146.68974213</v>
      </c>
    </row>
    <row r="134" customFormat="false" ht="15" hidden="false" customHeight="true" outlineLevel="0" collapsed="false">
      <c r="A134" s="128" t="n">
        <v>126</v>
      </c>
      <c r="B134" s="129" t="n">
        <f aca="false">$B$6</f>
        <v>14024.388333271</v>
      </c>
      <c r="C134" s="129" t="n">
        <f aca="false">B134-D134</f>
        <v>4788.29933861954</v>
      </c>
      <c r="D134" s="129" t="n">
        <f aca="false">E133*$B$4/12</f>
        <v>9236.08899465143</v>
      </c>
      <c r="E134" s="129" t="n">
        <f aca="false">E133-C134</f>
        <v>2010358.39040351</v>
      </c>
    </row>
    <row r="135" customFormat="false" ht="15" hidden="false" customHeight="true" outlineLevel="0" collapsed="false">
      <c r="A135" s="127" t="n">
        <v>127</v>
      </c>
      <c r="B135" s="36" t="n">
        <f aca="false">$B$6</f>
        <v>14024.388333271</v>
      </c>
      <c r="C135" s="36" t="n">
        <f aca="false">B135-D135</f>
        <v>4810.24571058822</v>
      </c>
      <c r="D135" s="36" t="n">
        <f aca="false">E134*$B$4/12</f>
        <v>9214.14262268276</v>
      </c>
      <c r="E135" s="36" t="n">
        <f aca="false">E134-C135</f>
        <v>2005548.14469292</v>
      </c>
    </row>
    <row r="136" customFormat="false" ht="15" hidden="false" customHeight="true" outlineLevel="0" collapsed="false">
      <c r="A136" s="128" t="n">
        <v>128</v>
      </c>
      <c r="B136" s="129" t="n">
        <f aca="false">$B$6</f>
        <v>14024.388333271</v>
      </c>
      <c r="C136" s="129" t="n">
        <f aca="false">B136-D136</f>
        <v>4832.29267009508</v>
      </c>
      <c r="D136" s="129" t="n">
        <f aca="false">E135*$B$4/12</f>
        <v>9192.0956631759</v>
      </c>
      <c r="E136" s="129" t="n">
        <f aca="false">E135-C136</f>
        <v>2000715.85202283</v>
      </c>
    </row>
    <row r="137" customFormat="false" ht="15" hidden="false" customHeight="true" outlineLevel="0" collapsed="false">
      <c r="A137" s="127" t="n">
        <v>129</v>
      </c>
      <c r="B137" s="36" t="n">
        <f aca="false">$B$6</f>
        <v>14024.388333271</v>
      </c>
      <c r="C137" s="36" t="n">
        <f aca="false">B137-D137</f>
        <v>4854.44067816635</v>
      </c>
      <c r="D137" s="36" t="n">
        <f aca="false">E136*$B$4/12</f>
        <v>9169.94765510463</v>
      </c>
      <c r="E137" s="36" t="n">
        <f aca="false">E136-C137</f>
        <v>1995861.41134466</v>
      </c>
    </row>
    <row r="138" customFormat="false" ht="15" hidden="false" customHeight="true" outlineLevel="0" collapsed="false">
      <c r="A138" s="128" t="n">
        <v>130</v>
      </c>
      <c r="B138" s="129" t="n">
        <f aca="false">$B$6</f>
        <v>14024.388333271</v>
      </c>
      <c r="C138" s="129" t="n">
        <f aca="false">B138-D138</f>
        <v>4876.69019794128</v>
      </c>
      <c r="D138" s="129" t="n">
        <f aca="false">E137*$B$4/12</f>
        <v>9147.6981353297</v>
      </c>
      <c r="E138" s="129" t="n">
        <f aca="false">E137-C138</f>
        <v>1990984.72114672</v>
      </c>
    </row>
    <row r="139" customFormat="false" ht="15" hidden="false" customHeight="true" outlineLevel="0" collapsed="false">
      <c r="A139" s="127" t="n">
        <v>131</v>
      </c>
      <c r="B139" s="36" t="n">
        <f aca="false">$B$6</f>
        <v>14024.388333271</v>
      </c>
      <c r="C139" s="36" t="n">
        <f aca="false">B139-D139</f>
        <v>4899.04169468184</v>
      </c>
      <c r="D139" s="36" t="n">
        <f aca="false">E138*$B$4/12</f>
        <v>9125.34663858913</v>
      </c>
      <c r="E139" s="36" t="n">
        <f aca="false">E138-C139</f>
        <v>1986085.67945204</v>
      </c>
    </row>
    <row r="140" customFormat="false" ht="15" hidden="false" customHeight="true" outlineLevel="0" collapsed="false">
      <c r="A140" s="128" t="n">
        <v>132</v>
      </c>
      <c r="B140" s="129" t="n">
        <f aca="false">$B$6</f>
        <v>14024.388333271</v>
      </c>
      <c r="C140" s="129" t="n">
        <f aca="false">B140-D140</f>
        <v>4921.49563578247</v>
      </c>
      <c r="D140" s="129" t="n">
        <f aca="false">E139*$B$4/12</f>
        <v>9102.89269748851</v>
      </c>
      <c r="E140" s="129" t="n">
        <f aca="false">E139-C140</f>
        <v>1981164.18381626</v>
      </c>
    </row>
    <row r="141" customFormat="false" ht="15" hidden="false" customHeight="true" outlineLevel="0" collapsed="false">
      <c r="A141" s="127" t="n">
        <v>133</v>
      </c>
      <c r="B141" s="36" t="n">
        <f aca="false">$B$6</f>
        <v>14024.388333271</v>
      </c>
      <c r="C141" s="36" t="n">
        <f aca="false">B141-D141</f>
        <v>4944.0524907798</v>
      </c>
      <c r="D141" s="36" t="n">
        <f aca="false">E140*$B$4/12</f>
        <v>9080.33584249117</v>
      </c>
      <c r="E141" s="36" t="n">
        <f aca="false">E140-C141</f>
        <v>1976220.13132548</v>
      </c>
    </row>
    <row r="142" customFormat="false" ht="15" hidden="false" customHeight="true" outlineLevel="0" collapsed="false">
      <c r="A142" s="128" t="n">
        <v>134</v>
      </c>
      <c r="B142" s="129" t="n">
        <f aca="false">$B$6</f>
        <v>14024.388333271</v>
      </c>
      <c r="C142" s="129" t="n">
        <f aca="false">B142-D142</f>
        <v>4966.71273136254</v>
      </c>
      <c r="D142" s="129" t="n">
        <f aca="false">E141*$B$4/12</f>
        <v>9057.67560190843</v>
      </c>
      <c r="E142" s="129" t="n">
        <f aca="false">E141-C142</f>
        <v>1971253.41859411</v>
      </c>
    </row>
    <row r="143" customFormat="false" ht="15" hidden="false" customHeight="true" outlineLevel="0" collapsed="false">
      <c r="A143" s="127" t="n">
        <v>135</v>
      </c>
      <c r="B143" s="36" t="n">
        <f aca="false">$B$6</f>
        <v>14024.388333271</v>
      </c>
      <c r="C143" s="36" t="n">
        <f aca="false">B143-D143</f>
        <v>4989.47683138129</v>
      </c>
      <c r="D143" s="36" t="n">
        <f aca="false">E142*$B$4/12</f>
        <v>9034.91150188969</v>
      </c>
      <c r="E143" s="36" t="n">
        <f aca="false">E142-C143</f>
        <v>1966263.94176273</v>
      </c>
    </row>
    <row r="144" customFormat="false" ht="15" hidden="false" customHeight="true" outlineLevel="0" collapsed="false">
      <c r="A144" s="128" t="n">
        <v>136</v>
      </c>
      <c r="B144" s="129" t="n">
        <f aca="false">$B$6</f>
        <v>14024.388333271</v>
      </c>
      <c r="C144" s="129" t="n">
        <f aca="false">B144-D144</f>
        <v>5012.34526685845</v>
      </c>
      <c r="D144" s="129" t="n">
        <f aca="false">E143*$B$4/12</f>
        <v>9012.04306641252</v>
      </c>
      <c r="E144" s="129" t="n">
        <f aca="false">E143-C144</f>
        <v>1961251.59649587</v>
      </c>
    </row>
    <row r="145" customFormat="false" ht="15" hidden="false" customHeight="true" outlineLevel="0" collapsed="false">
      <c r="A145" s="127" t="n">
        <v>137</v>
      </c>
      <c r="B145" s="36" t="n">
        <f aca="false">$B$6</f>
        <v>14024.388333271</v>
      </c>
      <c r="C145" s="36" t="n">
        <f aca="false">B145-D145</f>
        <v>5035.31851599822</v>
      </c>
      <c r="D145" s="36" t="n">
        <f aca="false">E144*$B$4/12</f>
        <v>8989.06981727276</v>
      </c>
      <c r="E145" s="36" t="n">
        <f aca="false">E144-C145</f>
        <v>1956216.27797988</v>
      </c>
    </row>
    <row r="146" customFormat="false" ht="15" hidden="false" customHeight="true" outlineLevel="0" collapsed="false">
      <c r="A146" s="128" t="n">
        <v>138</v>
      </c>
      <c r="B146" s="129" t="n">
        <f aca="false">$B$6</f>
        <v>14024.388333271</v>
      </c>
      <c r="C146" s="129" t="n">
        <f aca="false">B146-D146</f>
        <v>5058.39705919655</v>
      </c>
      <c r="D146" s="129" t="n">
        <f aca="false">E145*$B$4/12</f>
        <v>8965.99127407443</v>
      </c>
      <c r="E146" s="129" t="n">
        <f aca="false">E145-C146</f>
        <v>1951157.88092068</v>
      </c>
    </row>
    <row r="147" customFormat="false" ht="15" hidden="false" customHeight="true" outlineLevel="0" collapsed="false">
      <c r="A147" s="127" t="n">
        <v>139</v>
      </c>
      <c r="B147" s="36" t="n">
        <f aca="false">$B$6</f>
        <v>14024.388333271</v>
      </c>
      <c r="C147" s="36" t="n">
        <f aca="false">B147-D147</f>
        <v>5081.5813790512</v>
      </c>
      <c r="D147" s="36" t="n">
        <f aca="false">E146*$B$4/12</f>
        <v>8942.80695421978</v>
      </c>
      <c r="E147" s="36" t="n">
        <f aca="false">E146-C147</f>
        <v>1946076.29954163</v>
      </c>
    </row>
    <row r="148" customFormat="false" ht="15" hidden="false" customHeight="true" outlineLevel="0" collapsed="false">
      <c r="A148" s="128" t="n">
        <v>140</v>
      </c>
      <c r="B148" s="129" t="n">
        <f aca="false">$B$6</f>
        <v>14024.388333271</v>
      </c>
      <c r="C148" s="129" t="n">
        <f aca="false">B148-D148</f>
        <v>5104.87196037185</v>
      </c>
      <c r="D148" s="129" t="n">
        <f aca="false">E147*$B$4/12</f>
        <v>8919.51637289913</v>
      </c>
      <c r="E148" s="129" t="n">
        <f aca="false">E147-C148</f>
        <v>1940971.42758126</v>
      </c>
    </row>
    <row r="149" customFormat="false" ht="15" hidden="false" customHeight="true" outlineLevel="0" collapsed="false">
      <c r="A149" s="127" t="n">
        <v>141</v>
      </c>
      <c r="B149" s="36" t="n">
        <f aca="false">$B$6</f>
        <v>14024.388333271</v>
      </c>
      <c r="C149" s="36" t="n">
        <f aca="false">B149-D149</f>
        <v>5128.26929019022</v>
      </c>
      <c r="D149" s="36" t="n">
        <f aca="false">E148*$B$4/12</f>
        <v>8896.11904308076</v>
      </c>
      <c r="E149" s="36" t="n">
        <f aca="false">E148-C149</f>
        <v>1935843.15829107</v>
      </c>
    </row>
    <row r="150" customFormat="false" ht="15" hidden="false" customHeight="true" outlineLevel="0" collapsed="false">
      <c r="A150" s="128" t="n">
        <v>142</v>
      </c>
      <c r="B150" s="129" t="n">
        <f aca="false">$B$6</f>
        <v>14024.388333271</v>
      </c>
      <c r="C150" s="129" t="n">
        <f aca="false">B150-D150</f>
        <v>5151.77385777026</v>
      </c>
      <c r="D150" s="129" t="n">
        <f aca="false">E149*$B$4/12</f>
        <v>8872.61447550072</v>
      </c>
      <c r="E150" s="129" t="n">
        <f aca="false">E149-C150</f>
        <v>1930691.3844333</v>
      </c>
    </row>
    <row r="151" customFormat="false" ht="15" hidden="false" customHeight="true" outlineLevel="0" collapsed="false">
      <c r="A151" s="127" t="n">
        <v>143</v>
      </c>
      <c r="B151" s="36" t="n">
        <f aca="false">$B$6</f>
        <v>14024.388333271</v>
      </c>
      <c r="C151" s="36" t="n">
        <f aca="false">B151-D151</f>
        <v>5175.38615461837</v>
      </c>
      <c r="D151" s="36" t="n">
        <f aca="false">E150*$B$4/12</f>
        <v>8849.0021786526</v>
      </c>
      <c r="E151" s="36" t="n">
        <f aca="false">E150-C151</f>
        <v>1925515.99827868</v>
      </c>
    </row>
    <row r="152" customFormat="false" ht="15" hidden="false" customHeight="true" outlineLevel="0" collapsed="false">
      <c r="A152" s="128" t="n">
        <v>144</v>
      </c>
      <c r="B152" s="129" t="n">
        <f aca="false">$B$6</f>
        <v>14024.388333271</v>
      </c>
      <c r="C152" s="129" t="n">
        <f aca="false">B152-D152</f>
        <v>5199.10667449371</v>
      </c>
      <c r="D152" s="129" t="n">
        <f aca="false">E151*$B$4/12</f>
        <v>8825.28165877727</v>
      </c>
      <c r="E152" s="129" t="n">
        <f aca="false">E151-C152</f>
        <v>1920316.89160418</v>
      </c>
    </row>
    <row r="153" customFormat="false" ht="15" hidden="false" customHeight="true" outlineLevel="0" collapsed="false">
      <c r="A153" s="127" t="n">
        <v>145</v>
      </c>
      <c r="B153" s="36" t="n">
        <f aca="false">$B$6</f>
        <v>14024.388333271</v>
      </c>
      <c r="C153" s="36" t="n">
        <f aca="false">B153-D153</f>
        <v>5222.93591341847</v>
      </c>
      <c r="D153" s="36" t="n">
        <f aca="false">E152*$B$4/12</f>
        <v>8801.45241985251</v>
      </c>
      <c r="E153" s="36" t="n">
        <f aca="false">E152-C153</f>
        <v>1915093.95569076</v>
      </c>
    </row>
    <row r="154" customFormat="false" ht="15" hidden="false" customHeight="true" outlineLevel="0" collapsed="false">
      <c r="A154" s="128" t="n">
        <v>146</v>
      </c>
      <c r="B154" s="129" t="n">
        <f aca="false">$B$6</f>
        <v>14024.388333271</v>
      </c>
      <c r="C154" s="129" t="n">
        <f aca="false">B154-D154</f>
        <v>5246.8743696883</v>
      </c>
      <c r="D154" s="129" t="n">
        <f aca="false">E153*$B$4/12</f>
        <v>8777.51396358267</v>
      </c>
      <c r="E154" s="129" t="n">
        <f aca="false">E153-C154</f>
        <v>1909847.08132108</v>
      </c>
    </row>
    <row r="155" customFormat="false" ht="15" hidden="false" customHeight="true" outlineLevel="0" collapsed="false">
      <c r="A155" s="127" t="n">
        <v>147</v>
      </c>
      <c r="B155" s="36" t="n">
        <f aca="false">$B$6</f>
        <v>14024.388333271</v>
      </c>
      <c r="C155" s="36" t="n">
        <f aca="false">B155-D155</f>
        <v>5270.92254388271</v>
      </c>
      <c r="D155" s="36" t="n">
        <f aca="false">E154*$B$4/12</f>
        <v>8753.46578938827</v>
      </c>
      <c r="E155" s="36" t="n">
        <f aca="false">E154-C155</f>
        <v>1904576.15877719</v>
      </c>
    </row>
    <row r="156" customFormat="false" ht="15" hidden="false" customHeight="true" outlineLevel="0" collapsed="false">
      <c r="A156" s="128" t="n">
        <v>148</v>
      </c>
      <c r="B156" s="129" t="n">
        <f aca="false">$B$6</f>
        <v>14024.388333271</v>
      </c>
      <c r="C156" s="129" t="n">
        <f aca="false">B156-D156</f>
        <v>5295.0809388755</v>
      </c>
      <c r="D156" s="129" t="n">
        <f aca="false">E155*$B$4/12</f>
        <v>8729.30739439547</v>
      </c>
      <c r="E156" s="129" t="n">
        <f aca="false">E155-C156</f>
        <v>1899281.07783832</v>
      </c>
    </row>
    <row r="157" customFormat="false" ht="15" hidden="false" customHeight="true" outlineLevel="0" collapsed="false">
      <c r="A157" s="127" t="n">
        <v>149</v>
      </c>
      <c r="B157" s="36" t="n">
        <f aca="false">$B$6</f>
        <v>14024.388333271</v>
      </c>
      <c r="C157" s="36" t="n">
        <f aca="false">B157-D157</f>
        <v>5319.35005984535</v>
      </c>
      <c r="D157" s="36" t="n">
        <f aca="false">E156*$B$4/12</f>
        <v>8705.03827342563</v>
      </c>
      <c r="E157" s="36" t="n">
        <f aca="false">E156-C157</f>
        <v>1893961.72777847</v>
      </c>
    </row>
    <row r="158" customFormat="false" ht="15" hidden="false" customHeight="true" outlineLevel="0" collapsed="false">
      <c r="A158" s="128" t="n">
        <v>150</v>
      </c>
      <c r="B158" s="129" t="n">
        <f aca="false">$B$6</f>
        <v>14024.388333271</v>
      </c>
      <c r="C158" s="129" t="n">
        <f aca="false">B158-D158</f>
        <v>5343.73041428631</v>
      </c>
      <c r="D158" s="129" t="n">
        <f aca="false">E157*$B$4/12</f>
        <v>8680.65791898467</v>
      </c>
      <c r="E158" s="129" t="n">
        <f aca="false">E157-C158</f>
        <v>1888617.99736419</v>
      </c>
    </row>
    <row r="159" customFormat="false" ht="15" hidden="false" customHeight="true" outlineLevel="0" collapsed="false">
      <c r="A159" s="127" t="n">
        <v>151</v>
      </c>
      <c r="B159" s="36" t="n">
        <f aca="false">$B$6</f>
        <v>14024.388333271</v>
      </c>
      <c r="C159" s="36" t="n">
        <f aca="false">B159-D159</f>
        <v>5368.22251201845</v>
      </c>
      <c r="D159" s="36" t="n">
        <f aca="false">E158*$B$4/12</f>
        <v>8656.16582125252</v>
      </c>
      <c r="E159" s="36" t="n">
        <f aca="false">E158-C159</f>
        <v>1883249.77485217</v>
      </c>
    </row>
    <row r="160" customFormat="false" ht="15" hidden="false" customHeight="true" outlineLevel="0" collapsed="false">
      <c r="A160" s="128" t="n">
        <v>152</v>
      </c>
      <c r="B160" s="129" t="n">
        <f aca="false">$B$6</f>
        <v>14024.388333271</v>
      </c>
      <c r="C160" s="129" t="n">
        <f aca="false">B160-D160</f>
        <v>5392.82686519854</v>
      </c>
      <c r="D160" s="129" t="n">
        <f aca="false">E159*$B$4/12</f>
        <v>8631.56146807244</v>
      </c>
      <c r="E160" s="129" t="n">
        <f aca="false">E159-C160</f>
        <v>1877856.94798697</v>
      </c>
    </row>
    <row r="161" customFormat="false" ht="15" hidden="false" customHeight="true" outlineLevel="0" collapsed="false">
      <c r="A161" s="127" t="n">
        <v>153</v>
      </c>
      <c r="B161" s="36" t="n">
        <f aca="false">$B$6</f>
        <v>14024.388333271</v>
      </c>
      <c r="C161" s="36" t="n">
        <f aca="false">B161-D161</f>
        <v>5417.5439883307</v>
      </c>
      <c r="D161" s="36" t="n">
        <f aca="false">E160*$B$4/12</f>
        <v>8606.84434494028</v>
      </c>
      <c r="E161" s="36" t="n">
        <f aca="false">E160-C161</f>
        <v>1872439.40399864</v>
      </c>
    </row>
    <row r="162" customFormat="false" ht="15" hidden="false" customHeight="true" outlineLevel="0" collapsed="false">
      <c r="A162" s="128" t="n">
        <v>154</v>
      </c>
      <c r="B162" s="129" t="n">
        <f aca="false">$B$6</f>
        <v>14024.388333271</v>
      </c>
      <c r="C162" s="129" t="n">
        <f aca="false">B162-D162</f>
        <v>5442.37439827721</v>
      </c>
      <c r="D162" s="129" t="n">
        <f aca="false">E161*$B$4/12</f>
        <v>8582.01393499376</v>
      </c>
      <c r="E162" s="129" t="n">
        <f aca="false">E161-C162</f>
        <v>1866997.02960036</v>
      </c>
    </row>
    <row r="163" customFormat="false" ht="15" hidden="false" customHeight="true" outlineLevel="0" collapsed="false">
      <c r="A163" s="127" t="n">
        <v>155</v>
      </c>
      <c r="B163" s="36" t="n">
        <f aca="false">$B$6</f>
        <v>14024.388333271</v>
      </c>
      <c r="C163" s="36" t="n">
        <f aca="false">B163-D163</f>
        <v>5467.31861426932</v>
      </c>
      <c r="D163" s="36" t="n">
        <f aca="false">E162*$B$4/12</f>
        <v>8557.06971900166</v>
      </c>
      <c r="E163" s="36" t="n">
        <f aca="false">E162-C163</f>
        <v>1861529.71098609</v>
      </c>
    </row>
    <row r="164" customFormat="false" ht="15" hidden="false" customHeight="true" outlineLevel="0" collapsed="false">
      <c r="A164" s="128" t="n">
        <v>156</v>
      </c>
      <c r="B164" s="129" t="n">
        <f aca="false">$B$6</f>
        <v>14024.388333271</v>
      </c>
      <c r="C164" s="129" t="n">
        <f aca="false">B164-D164</f>
        <v>5492.37715791805</v>
      </c>
      <c r="D164" s="129" t="n">
        <f aca="false">E163*$B$4/12</f>
        <v>8532.01117535293</v>
      </c>
      <c r="E164" s="129" t="n">
        <f aca="false">E163-C164</f>
        <v>1856037.33382817</v>
      </c>
    </row>
    <row r="165" customFormat="false" ht="15" hidden="false" customHeight="true" outlineLevel="0" collapsed="false">
      <c r="A165" s="127" t="n">
        <v>157</v>
      </c>
      <c r="B165" s="36" t="n">
        <f aca="false">$B$6</f>
        <v>14024.388333271</v>
      </c>
      <c r="C165" s="36" t="n">
        <f aca="false">B165-D165</f>
        <v>5517.55055322517</v>
      </c>
      <c r="D165" s="36" t="n">
        <f aca="false">E164*$B$4/12</f>
        <v>8506.8377800458</v>
      </c>
      <c r="E165" s="36" t="n">
        <f aca="false">E164-C165</f>
        <v>1850519.78327495</v>
      </c>
    </row>
    <row r="166" customFormat="false" ht="15" hidden="false" customHeight="true" outlineLevel="0" collapsed="false">
      <c r="A166" s="128" t="n">
        <v>158</v>
      </c>
      <c r="B166" s="129" t="n">
        <f aca="false">$B$6</f>
        <v>14024.388333271</v>
      </c>
      <c r="C166" s="129" t="n">
        <f aca="false">B166-D166</f>
        <v>5542.83932659412</v>
      </c>
      <c r="D166" s="129" t="n">
        <f aca="false">E165*$B$4/12</f>
        <v>8481.54900667685</v>
      </c>
      <c r="E166" s="129" t="n">
        <f aca="false">E165-C166</f>
        <v>1844976.94394836</v>
      </c>
    </row>
    <row r="167" customFormat="false" ht="15" hidden="false" customHeight="true" outlineLevel="0" collapsed="false">
      <c r="A167" s="127" t="n">
        <v>159</v>
      </c>
      <c r="B167" s="36" t="n">
        <f aca="false">$B$6</f>
        <v>14024.388333271</v>
      </c>
      <c r="C167" s="36" t="n">
        <f aca="false">B167-D167</f>
        <v>5568.24400684101</v>
      </c>
      <c r="D167" s="36" t="n">
        <f aca="false">E166*$B$4/12</f>
        <v>8456.14432642996</v>
      </c>
      <c r="E167" s="36" t="n">
        <f aca="false">E166-C167</f>
        <v>1839408.69994151</v>
      </c>
    </row>
    <row r="168" customFormat="false" ht="15" hidden="false" customHeight="true" outlineLevel="0" collapsed="false">
      <c r="A168" s="128" t="n">
        <v>160</v>
      </c>
      <c r="B168" s="129" t="n">
        <f aca="false">$B$6</f>
        <v>14024.388333271</v>
      </c>
      <c r="C168" s="129" t="n">
        <f aca="false">B168-D168</f>
        <v>5593.7651252057</v>
      </c>
      <c r="D168" s="129" t="n">
        <f aca="false">E167*$B$4/12</f>
        <v>8430.62320806528</v>
      </c>
      <c r="E168" s="129" t="n">
        <f aca="false">E167-C168</f>
        <v>1833814.93481631</v>
      </c>
    </row>
    <row r="169" customFormat="false" ht="15" hidden="false" customHeight="true" outlineLevel="0" collapsed="false">
      <c r="A169" s="127" t="n">
        <v>161</v>
      </c>
      <c r="B169" s="36" t="n">
        <f aca="false">$B$6</f>
        <v>14024.388333271</v>
      </c>
      <c r="C169" s="36" t="n">
        <f aca="false">B169-D169</f>
        <v>5619.40321536289</v>
      </c>
      <c r="D169" s="36" t="n">
        <f aca="false">E168*$B$4/12</f>
        <v>8404.98511790808</v>
      </c>
      <c r="E169" s="36" t="n">
        <f aca="false">E168-C169</f>
        <v>1828195.53160095</v>
      </c>
    </row>
    <row r="170" customFormat="false" ht="15" hidden="false" customHeight="true" outlineLevel="0" collapsed="false">
      <c r="A170" s="128" t="n">
        <v>162</v>
      </c>
      <c r="B170" s="129" t="n">
        <f aca="false">$B$6</f>
        <v>14024.388333271</v>
      </c>
      <c r="C170" s="129" t="n">
        <f aca="false">B170-D170</f>
        <v>5645.15881343331</v>
      </c>
      <c r="D170" s="129" t="n">
        <f aca="false">E169*$B$4/12</f>
        <v>8379.22951983767</v>
      </c>
      <c r="E170" s="129" t="n">
        <f aca="false">E169-C170</f>
        <v>1822550.37278751</v>
      </c>
    </row>
    <row r="171" customFormat="false" ht="15" hidden="false" customHeight="true" outlineLevel="0" collapsed="false">
      <c r="A171" s="127" t="n">
        <v>163</v>
      </c>
      <c r="B171" s="36" t="n">
        <f aca="false">$B$6</f>
        <v>14024.388333271</v>
      </c>
      <c r="C171" s="36" t="n">
        <f aca="false">B171-D171</f>
        <v>5671.03245799488</v>
      </c>
      <c r="D171" s="36" t="n">
        <f aca="false">E170*$B$4/12</f>
        <v>8353.3558752761</v>
      </c>
      <c r="E171" s="36" t="n">
        <f aca="false">E170-C171</f>
        <v>1816879.34032952</v>
      </c>
    </row>
    <row r="172" customFormat="false" ht="15" hidden="false" customHeight="true" outlineLevel="0" collapsed="false">
      <c r="A172" s="128" t="n">
        <v>164</v>
      </c>
      <c r="B172" s="129" t="n">
        <f aca="false">$B$6</f>
        <v>14024.388333271</v>
      </c>
      <c r="C172" s="129" t="n">
        <f aca="false">B172-D172</f>
        <v>5697.02469009402</v>
      </c>
      <c r="D172" s="129" t="n">
        <f aca="false">E171*$B$4/12</f>
        <v>8327.36364317696</v>
      </c>
      <c r="E172" s="129" t="n">
        <f aca="false">E171-C172</f>
        <v>1811182.31563942</v>
      </c>
    </row>
    <row r="173" customFormat="false" ht="15" hidden="false" customHeight="true" outlineLevel="0" collapsed="false">
      <c r="A173" s="127" t="n">
        <v>165</v>
      </c>
      <c r="B173" s="36" t="n">
        <f aca="false">$B$6</f>
        <v>14024.388333271</v>
      </c>
      <c r="C173" s="36" t="n">
        <f aca="false">B173-D173</f>
        <v>5723.13605325695</v>
      </c>
      <c r="D173" s="36" t="n">
        <f aca="false">E172*$B$4/12</f>
        <v>8301.25228001403</v>
      </c>
      <c r="E173" s="36" t="n">
        <f aca="false">E172-C173</f>
        <v>1805459.17958617</v>
      </c>
    </row>
    <row r="174" customFormat="false" ht="15" hidden="false" customHeight="true" outlineLevel="0" collapsed="false">
      <c r="A174" s="128" t="n">
        <v>166</v>
      </c>
      <c r="B174" s="129" t="n">
        <f aca="false">$B$6</f>
        <v>14024.388333271</v>
      </c>
      <c r="C174" s="129" t="n">
        <f aca="false">B174-D174</f>
        <v>5749.36709350104</v>
      </c>
      <c r="D174" s="129" t="n">
        <f aca="false">E173*$B$4/12</f>
        <v>8275.02123976993</v>
      </c>
      <c r="E174" s="129" t="n">
        <f aca="false">E173-C174</f>
        <v>1799709.81249267</v>
      </c>
    </row>
    <row r="175" customFormat="false" ht="15" hidden="false" customHeight="true" outlineLevel="0" collapsed="false">
      <c r="A175" s="127" t="n">
        <v>167</v>
      </c>
      <c r="B175" s="36" t="n">
        <f aca="false">$B$6</f>
        <v>14024.388333271</v>
      </c>
      <c r="C175" s="36" t="n">
        <f aca="false">B175-D175</f>
        <v>5775.71835934626</v>
      </c>
      <c r="D175" s="36" t="n">
        <f aca="false">E174*$B$4/12</f>
        <v>8248.66997392472</v>
      </c>
      <c r="E175" s="36" t="n">
        <f aca="false">E174-C175</f>
        <v>1793934.09413332</v>
      </c>
    </row>
    <row r="176" customFormat="false" ht="15" hidden="false" customHeight="true" outlineLevel="0" collapsed="false">
      <c r="A176" s="128" t="n">
        <v>168</v>
      </c>
      <c r="B176" s="129" t="n">
        <f aca="false">$B$6</f>
        <v>14024.388333271</v>
      </c>
      <c r="C176" s="129" t="n">
        <f aca="false">B176-D176</f>
        <v>5802.19040182659</v>
      </c>
      <c r="D176" s="129" t="n">
        <f aca="false">E175*$B$4/12</f>
        <v>8222.19793144438</v>
      </c>
      <c r="E176" s="129" t="n">
        <f aca="false">E175-C176</f>
        <v>1788131.90373149</v>
      </c>
    </row>
    <row r="177" customFormat="false" ht="15" hidden="false" customHeight="true" outlineLevel="0" collapsed="false">
      <c r="A177" s="127" t="n">
        <v>169</v>
      </c>
      <c r="B177" s="36" t="n">
        <f aca="false">$B$6</f>
        <v>14024.388333271</v>
      </c>
      <c r="C177" s="36" t="n">
        <f aca="false">B177-D177</f>
        <v>5828.78377450163</v>
      </c>
      <c r="D177" s="36" t="n">
        <f aca="false">E176*$B$4/12</f>
        <v>8195.60455876934</v>
      </c>
      <c r="E177" s="36" t="n">
        <f aca="false">E176-C177</f>
        <v>1782303.11995699</v>
      </c>
    </row>
    <row r="178" customFormat="false" ht="15" hidden="false" customHeight="true" outlineLevel="0" collapsed="false">
      <c r="A178" s="128" t="n">
        <v>170</v>
      </c>
      <c r="B178" s="129" t="n">
        <f aca="false">$B$6</f>
        <v>14024.388333271</v>
      </c>
      <c r="C178" s="129" t="n">
        <f aca="false">B178-D178</f>
        <v>5855.4990334681</v>
      </c>
      <c r="D178" s="129" t="n">
        <f aca="false">E177*$B$4/12</f>
        <v>8168.88929980288</v>
      </c>
      <c r="E178" s="129" t="n">
        <f aca="false">E177-C178</f>
        <v>1776447.62092352</v>
      </c>
    </row>
    <row r="179" customFormat="false" ht="15" hidden="false" customHeight="true" outlineLevel="0" collapsed="false">
      <c r="A179" s="127" t="n">
        <v>171</v>
      </c>
      <c r="B179" s="36" t="n">
        <f aca="false">$B$6</f>
        <v>14024.388333271</v>
      </c>
      <c r="C179" s="36" t="n">
        <f aca="false">B179-D179</f>
        <v>5882.3367373715</v>
      </c>
      <c r="D179" s="36" t="n">
        <f aca="false">E178*$B$4/12</f>
        <v>8142.05159589948</v>
      </c>
      <c r="E179" s="36" t="n">
        <f aca="false">E178-C179</f>
        <v>1770565.28418615</v>
      </c>
    </row>
    <row r="180" customFormat="false" ht="15" hidden="false" customHeight="true" outlineLevel="0" collapsed="false">
      <c r="A180" s="128" t="n">
        <v>172</v>
      </c>
      <c r="B180" s="129" t="n">
        <f aca="false">$B$6</f>
        <v>14024.388333271</v>
      </c>
      <c r="C180" s="129" t="n">
        <f aca="false">B180-D180</f>
        <v>5909.29744741778</v>
      </c>
      <c r="D180" s="129" t="n">
        <f aca="false">E179*$B$4/12</f>
        <v>8115.0908858532</v>
      </c>
      <c r="E180" s="129" t="n">
        <f aca="false">E179-C180</f>
        <v>1764655.98673873</v>
      </c>
    </row>
    <row r="181" customFormat="false" ht="15" hidden="false" customHeight="true" outlineLevel="0" collapsed="false">
      <c r="A181" s="127" t="n">
        <v>173</v>
      </c>
      <c r="B181" s="36" t="n">
        <f aca="false">$B$6</f>
        <v>14024.388333271</v>
      </c>
      <c r="C181" s="36" t="n">
        <f aca="false">B181-D181</f>
        <v>5936.38172738511</v>
      </c>
      <c r="D181" s="36" t="n">
        <f aca="false">E180*$B$4/12</f>
        <v>8088.00660588586</v>
      </c>
      <c r="E181" s="36" t="n">
        <f aca="false">E180-C181</f>
        <v>1758719.60501135</v>
      </c>
    </row>
    <row r="182" customFormat="false" ht="15" hidden="false" customHeight="true" outlineLevel="0" collapsed="false">
      <c r="A182" s="128" t="n">
        <v>174</v>
      </c>
      <c r="B182" s="129" t="n">
        <f aca="false">$B$6</f>
        <v>14024.388333271</v>
      </c>
      <c r="C182" s="129" t="n">
        <f aca="false">B182-D182</f>
        <v>5963.59014363563</v>
      </c>
      <c r="D182" s="129" t="n">
        <f aca="false">E181*$B$4/12</f>
        <v>8060.79818963535</v>
      </c>
      <c r="E182" s="129" t="n">
        <f aca="false">E181-C182</f>
        <v>1752756.01486771</v>
      </c>
    </row>
    <row r="183" customFormat="false" ht="15" hidden="false" customHeight="true" outlineLevel="0" collapsed="false">
      <c r="A183" s="127" t="n">
        <v>175</v>
      </c>
      <c r="B183" s="36" t="n">
        <f aca="false">$B$6</f>
        <v>14024.388333271</v>
      </c>
      <c r="C183" s="36" t="n">
        <f aca="false">B183-D183</f>
        <v>5990.92326512729</v>
      </c>
      <c r="D183" s="36" t="n">
        <f aca="false">E182*$B$4/12</f>
        <v>8033.46506814369</v>
      </c>
      <c r="E183" s="36" t="n">
        <f aca="false">E182-C183</f>
        <v>1746765.09160259</v>
      </c>
    </row>
    <row r="184" customFormat="false" ht="15" hidden="false" customHeight="true" outlineLevel="0" collapsed="false">
      <c r="A184" s="128" t="n">
        <v>176</v>
      </c>
      <c r="B184" s="129" t="n">
        <f aca="false">$B$6</f>
        <v>14024.388333271</v>
      </c>
      <c r="C184" s="129" t="n">
        <f aca="false">B184-D184</f>
        <v>6018.38166342579</v>
      </c>
      <c r="D184" s="129" t="n">
        <f aca="false">E183*$B$4/12</f>
        <v>8006.00666984519</v>
      </c>
      <c r="E184" s="129" t="n">
        <f aca="false">E183-C184</f>
        <v>1740746.70993916</v>
      </c>
    </row>
    <row r="185" customFormat="false" ht="15" hidden="false" customHeight="true" outlineLevel="0" collapsed="false">
      <c r="A185" s="127" t="n">
        <v>177</v>
      </c>
      <c r="B185" s="36" t="n">
        <f aca="false">$B$6</f>
        <v>14024.388333271</v>
      </c>
      <c r="C185" s="36" t="n">
        <f aca="false">B185-D185</f>
        <v>6045.96591271649</v>
      </c>
      <c r="D185" s="36" t="n">
        <f aca="false">E184*$B$4/12</f>
        <v>7978.42242055448</v>
      </c>
      <c r="E185" s="36" t="n">
        <f aca="false">E184-C185</f>
        <v>1734700.74402644</v>
      </c>
    </row>
    <row r="186" customFormat="false" ht="15" hidden="false" customHeight="true" outlineLevel="0" collapsed="false">
      <c r="A186" s="128" t="n">
        <v>178</v>
      </c>
      <c r="B186" s="129" t="n">
        <f aca="false">$B$6</f>
        <v>14024.388333271</v>
      </c>
      <c r="C186" s="129" t="n">
        <f aca="false">B186-D186</f>
        <v>6073.67658981644</v>
      </c>
      <c r="D186" s="129" t="n">
        <f aca="false">E185*$B$4/12</f>
        <v>7950.71174345453</v>
      </c>
      <c r="E186" s="129" t="n">
        <f aca="false">E185-C186</f>
        <v>1728627.06743663</v>
      </c>
    </row>
    <row r="187" customFormat="false" ht="15" hidden="false" customHeight="true" outlineLevel="0" collapsed="false">
      <c r="A187" s="127" t="n">
        <v>179</v>
      </c>
      <c r="B187" s="36" t="n">
        <f aca="false">$B$6</f>
        <v>14024.388333271</v>
      </c>
      <c r="C187" s="36" t="n">
        <f aca="false">B187-D187</f>
        <v>6101.51427418643</v>
      </c>
      <c r="D187" s="36" t="n">
        <f aca="false">E186*$B$4/12</f>
        <v>7922.87405908454</v>
      </c>
      <c r="E187" s="36" t="n">
        <f aca="false">E186-C187</f>
        <v>1722525.55316244</v>
      </c>
    </row>
    <row r="188" customFormat="false" ht="15" hidden="false" customHeight="true" outlineLevel="0" collapsed="false">
      <c r="A188" s="128" t="n">
        <v>180</v>
      </c>
      <c r="B188" s="129" t="n">
        <f aca="false">$B$6</f>
        <v>14024.388333271</v>
      </c>
      <c r="C188" s="129" t="n">
        <f aca="false">B188-D188</f>
        <v>6129.47954794312</v>
      </c>
      <c r="D188" s="129" t="n">
        <f aca="false">E187*$B$4/12</f>
        <v>7894.90878532785</v>
      </c>
      <c r="E188" s="129" t="n">
        <f aca="false">E187-C188</f>
        <v>1716396.0736145</v>
      </c>
    </row>
    <row r="189" customFormat="false" ht="15" hidden="false" customHeight="true" outlineLevel="0" collapsed="false">
      <c r="A189" s="127" t="n">
        <v>181</v>
      </c>
      <c r="B189" s="36" t="n">
        <f aca="false">$B$6</f>
        <v>14024.388333271</v>
      </c>
      <c r="C189" s="36" t="n">
        <f aca="false">B189-D189</f>
        <v>6157.57299587119</v>
      </c>
      <c r="D189" s="36" t="n">
        <f aca="false">E188*$B$4/12</f>
        <v>7866.81533739978</v>
      </c>
      <c r="E189" s="36" t="n">
        <f aca="false">E188-C189</f>
        <v>1710238.50061863</v>
      </c>
    </row>
    <row r="190" customFormat="false" ht="15" hidden="false" customHeight="true" outlineLevel="0" collapsed="false">
      <c r="A190" s="128" t="n">
        <v>182</v>
      </c>
      <c r="B190" s="129" t="n">
        <f aca="false">$B$6</f>
        <v>14024.388333271</v>
      </c>
      <c r="C190" s="129" t="n">
        <f aca="false">B190-D190</f>
        <v>6185.79520543561</v>
      </c>
      <c r="D190" s="129" t="n">
        <f aca="false">E189*$B$4/12</f>
        <v>7838.59312783537</v>
      </c>
      <c r="E190" s="129" t="n">
        <f aca="false">E189-C190</f>
        <v>1704052.70541319</v>
      </c>
    </row>
    <row r="191" customFormat="false" ht="15" hidden="false" customHeight="true" outlineLevel="0" collapsed="false">
      <c r="A191" s="127" t="n">
        <v>183</v>
      </c>
      <c r="B191" s="36" t="n">
        <f aca="false">$B$6</f>
        <v>14024.388333271</v>
      </c>
      <c r="C191" s="36" t="n">
        <f aca="false">B191-D191</f>
        <v>6214.14676679385</v>
      </c>
      <c r="D191" s="36" t="n">
        <f aca="false">E190*$B$4/12</f>
        <v>7810.24156647712</v>
      </c>
      <c r="E191" s="36" t="n">
        <f aca="false">E190-C191</f>
        <v>1697838.5586464</v>
      </c>
    </row>
    <row r="192" customFormat="false" ht="15" hidden="false" customHeight="true" outlineLevel="0" collapsed="false">
      <c r="A192" s="128" t="n">
        <v>184</v>
      </c>
      <c r="B192" s="129" t="n">
        <f aca="false">$B$6</f>
        <v>14024.388333271</v>
      </c>
      <c r="C192" s="129" t="n">
        <f aca="false">B192-D192</f>
        <v>6242.62827280832</v>
      </c>
      <c r="D192" s="129" t="n">
        <f aca="false">E191*$B$4/12</f>
        <v>7781.76006046265</v>
      </c>
      <c r="E192" s="129" t="n">
        <f aca="false">E191-C192</f>
        <v>1691595.93037359</v>
      </c>
    </row>
    <row r="193" customFormat="false" ht="15" hidden="false" customHeight="true" outlineLevel="0" collapsed="false">
      <c r="A193" s="127" t="n">
        <v>185</v>
      </c>
      <c r="B193" s="36" t="n">
        <f aca="false">$B$6</f>
        <v>14024.388333271</v>
      </c>
      <c r="C193" s="36" t="n">
        <f aca="false">B193-D193</f>
        <v>6271.2403190587</v>
      </c>
      <c r="D193" s="36" t="n">
        <f aca="false">E192*$B$4/12</f>
        <v>7753.14801421228</v>
      </c>
      <c r="E193" s="36" t="n">
        <f aca="false">E192-C193</f>
        <v>1685324.69005453</v>
      </c>
    </row>
    <row r="194" customFormat="false" ht="15" hidden="false" customHeight="true" outlineLevel="0" collapsed="false">
      <c r="A194" s="128" t="n">
        <v>186</v>
      </c>
      <c r="B194" s="129" t="n">
        <f aca="false">$B$6</f>
        <v>14024.388333271</v>
      </c>
      <c r="C194" s="129" t="n">
        <f aca="false">B194-D194</f>
        <v>6299.98350385438</v>
      </c>
      <c r="D194" s="129" t="n">
        <f aca="false">E193*$B$4/12</f>
        <v>7724.40482941659</v>
      </c>
      <c r="E194" s="129" t="n">
        <f aca="false">E193-C194</f>
        <v>1679024.70655068</v>
      </c>
    </row>
    <row r="195" customFormat="false" ht="15" hidden="false" customHeight="true" outlineLevel="0" collapsed="false">
      <c r="A195" s="127" t="n">
        <v>187</v>
      </c>
      <c r="B195" s="36" t="n">
        <f aca="false">$B$6</f>
        <v>14024.388333271</v>
      </c>
      <c r="C195" s="36" t="n">
        <f aca="false">B195-D195</f>
        <v>6328.85842824705</v>
      </c>
      <c r="D195" s="36" t="n">
        <f aca="false">E194*$B$4/12</f>
        <v>7695.52990502393</v>
      </c>
      <c r="E195" s="36" t="n">
        <f aca="false">E194-C195</f>
        <v>1672695.84812243</v>
      </c>
    </row>
    <row r="196" customFormat="false" ht="15" hidden="false" customHeight="true" outlineLevel="0" collapsed="false">
      <c r="A196" s="128" t="n">
        <v>188</v>
      </c>
      <c r="B196" s="129" t="n">
        <f aca="false">$B$6</f>
        <v>14024.388333271</v>
      </c>
      <c r="C196" s="129" t="n">
        <f aca="false">B196-D196</f>
        <v>6357.86569604318</v>
      </c>
      <c r="D196" s="129" t="n">
        <f aca="false">E195*$B$4/12</f>
        <v>7666.5226372278</v>
      </c>
      <c r="E196" s="129" t="n">
        <f aca="false">E195-C196</f>
        <v>1666337.98242639</v>
      </c>
    </row>
    <row r="197" customFormat="false" ht="15" hidden="false" customHeight="true" outlineLevel="0" collapsed="false">
      <c r="A197" s="127" t="n">
        <v>189</v>
      </c>
      <c r="B197" s="36" t="n">
        <f aca="false">$B$6</f>
        <v>14024.388333271</v>
      </c>
      <c r="C197" s="36" t="n">
        <f aca="false">B197-D197</f>
        <v>6387.00591381671</v>
      </c>
      <c r="D197" s="36" t="n">
        <f aca="false">E196*$B$4/12</f>
        <v>7637.38241945427</v>
      </c>
      <c r="E197" s="36" t="n">
        <f aca="false">E196-C197</f>
        <v>1659950.97651257</v>
      </c>
    </row>
    <row r="198" customFormat="false" ht="15" hidden="false" customHeight="true" outlineLevel="0" collapsed="false">
      <c r="A198" s="128" t="n">
        <v>190</v>
      </c>
      <c r="B198" s="129" t="n">
        <f aca="false">$B$6</f>
        <v>14024.388333271</v>
      </c>
      <c r="C198" s="129" t="n">
        <f aca="false">B198-D198</f>
        <v>6416.2796909217</v>
      </c>
      <c r="D198" s="129" t="n">
        <f aca="false">E197*$B$4/12</f>
        <v>7608.10864234927</v>
      </c>
      <c r="E198" s="129" t="n">
        <f aca="false">E197-C198</f>
        <v>1653534.69682165</v>
      </c>
    </row>
    <row r="199" customFormat="false" ht="15" hidden="false" customHeight="true" outlineLevel="0" collapsed="false">
      <c r="A199" s="127" t="n">
        <v>191</v>
      </c>
      <c r="B199" s="36" t="n">
        <f aca="false">$B$6</f>
        <v>14024.388333271</v>
      </c>
      <c r="C199" s="36" t="n">
        <f aca="false">B199-D199</f>
        <v>6445.6876395051</v>
      </c>
      <c r="D199" s="36" t="n">
        <f aca="false">E198*$B$4/12</f>
        <v>7578.70069376588</v>
      </c>
      <c r="E199" s="36" t="n">
        <f aca="false">E198-C199</f>
        <v>1647089.00918214</v>
      </c>
    </row>
    <row r="200" customFormat="false" ht="15" hidden="false" customHeight="true" outlineLevel="0" collapsed="false">
      <c r="A200" s="128" t="n">
        <v>192</v>
      </c>
      <c r="B200" s="129" t="n">
        <f aca="false">$B$6</f>
        <v>14024.388333271</v>
      </c>
      <c r="C200" s="129" t="n">
        <f aca="false">B200-D200</f>
        <v>6475.23037451949</v>
      </c>
      <c r="D200" s="129" t="n">
        <f aca="false">E199*$B$4/12</f>
        <v>7549.15795875148</v>
      </c>
      <c r="E200" s="129" t="n">
        <f aca="false">E199-C200</f>
        <v>1640613.77880762</v>
      </c>
    </row>
    <row r="201" customFormat="false" ht="15" hidden="false" customHeight="true" outlineLevel="0" collapsed="false">
      <c r="A201" s="127" t="n">
        <v>193</v>
      </c>
      <c r="B201" s="36" t="n">
        <f aca="false">$B$6</f>
        <v>14024.388333271</v>
      </c>
      <c r="C201" s="36" t="n">
        <f aca="false">B201-D201</f>
        <v>6504.90851373604</v>
      </c>
      <c r="D201" s="36" t="n">
        <f aca="false">E200*$B$4/12</f>
        <v>7519.47981953493</v>
      </c>
      <c r="E201" s="36" t="n">
        <f aca="false">E200-C201</f>
        <v>1634108.87029389</v>
      </c>
    </row>
    <row r="202" customFormat="false" ht="15" hidden="false" customHeight="true" outlineLevel="0" collapsed="false">
      <c r="A202" s="128" t="n">
        <v>194</v>
      </c>
      <c r="B202" s="129" t="n">
        <f aca="false">$B$6</f>
        <v>14024.388333271</v>
      </c>
      <c r="C202" s="129" t="n">
        <f aca="false">B202-D202</f>
        <v>6534.72267775733</v>
      </c>
      <c r="D202" s="129" t="n">
        <f aca="false">E201*$B$4/12</f>
        <v>7489.66565551364</v>
      </c>
      <c r="E202" s="129" t="n">
        <f aca="false">E201-C202</f>
        <v>1627574.14761613</v>
      </c>
    </row>
    <row r="203" customFormat="false" ht="15" hidden="false" customHeight="true" outlineLevel="0" collapsed="false">
      <c r="A203" s="127" t="n">
        <v>195</v>
      </c>
      <c r="B203" s="36" t="n">
        <f aca="false">$B$6</f>
        <v>14024.388333271</v>
      </c>
      <c r="C203" s="36" t="n">
        <f aca="false">B203-D203</f>
        <v>6564.67349003039</v>
      </c>
      <c r="D203" s="36" t="n">
        <f aca="false">E202*$B$4/12</f>
        <v>7459.71484324059</v>
      </c>
      <c r="E203" s="36" t="n">
        <f aca="false">E202-C203</f>
        <v>1621009.4741261</v>
      </c>
    </row>
    <row r="204" customFormat="false" ht="15" hidden="false" customHeight="true" outlineLevel="0" collapsed="false">
      <c r="A204" s="128" t="n">
        <v>196</v>
      </c>
      <c r="B204" s="129" t="n">
        <f aca="false">$B$6</f>
        <v>14024.388333271</v>
      </c>
      <c r="C204" s="129" t="n">
        <f aca="false">B204-D204</f>
        <v>6594.76157685969</v>
      </c>
      <c r="D204" s="129" t="n">
        <f aca="false">E203*$B$4/12</f>
        <v>7429.62675641128</v>
      </c>
      <c r="E204" s="129" t="n">
        <f aca="false">E203-C204</f>
        <v>1614414.71254924</v>
      </c>
    </row>
    <row r="205" customFormat="false" ht="15" hidden="false" customHeight="true" outlineLevel="0" collapsed="false">
      <c r="A205" s="127" t="n">
        <v>197</v>
      </c>
      <c r="B205" s="36" t="n">
        <f aca="false">$B$6</f>
        <v>14024.388333271</v>
      </c>
      <c r="C205" s="36" t="n">
        <f aca="false">B205-D205</f>
        <v>6624.9875674203</v>
      </c>
      <c r="D205" s="36" t="n">
        <f aca="false">E204*$B$4/12</f>
        <v>7399.40076585068</v>
      </c>
      <c r="E205" s="36" t="n">
        <f aca="false">E204-C205</f>
        <v>1607789.72498182</v>
      </c>
    </row>
    <row r="206" customFormat="false" ht="15" hidden="false" customHeight="true" outlineLevel="0" collapsed="false">
      <c r="A206" s="128" t="n">
        <v>198</v>
      </c>
      <c r="B206" s="129" t="n">
        <f aca="false">$B$6</f>
        <v>14024.388333271</v>
      </c>
      <c r="C206" s="129" t="n">
        <f aca="false">B206-D206</f>
        <v>6655.35209377098</v>
      </c>
      <c r="D206" s="129" t="n">
        <f aca="false">E205*$B$4/12</f>
        <v>7369.0362395</v>
      </c>
      <c r="E206" s="129" t="n">
        <f aca="false">E205-C206</f>
        <v>1601134.37288805</v>
      </c>
    </row>
    <row r="207" customFormat="false" ht="15" hidden="false" customHeight="true" outlineLevel="0" collapsed="false">
      <c r="A207" s="127" t="n">
        <v>199</v>
      </c>
      <c r="B207" s="36" t="n">
        <f aca="false">$B$6</f>
        <v>14024.388333271</v>
      </c>
      <c r="C207" s="36" t="n">
        <f aca="false">B207-D207</f>
        <v>6685.85579086743</v>
      </c>
      <c r="D207" s="36" t="n">
        <f aca="false">E206*$B$4/12</f>
        <v>7338.53254240355</v>
      </c>
      <c r="E207" s="36" t="n">
        <f aca="false">E206-C207</f>
        <v>1594448.51709718</v>
      </c>
    </row>
    <row r="208" customFormat="false" ht="15" hidden="false" customHeight="true" outlineLevel="0" collapsed="false">
      <c r="A208" s="128" t="n">
        <v>200</v>
      </c>
      <c r="B208" s="129" t="n">
        <f aca="false">$B$6</f>
        <v>14024.388333271</v>
      </c>
      <c r="C208" s="129" t="n">
        <f aca="false">B208-D208</f>
        <v>6716.49929657557</v>
      </c>
      <c r="D208" s="129" t="n">
        <f aca="false">E207*$B$4/12</f>
        <v>7307.88903669541</v>
      </c>
      <c r="E208" s="129" t="n">
        <f aca="false">E207-C208</f>
        <v>1587732.0178006</v>
      </c>
    </row>
    <row r="209" customFormat="false" ht="15" hidden="false" customHeight="true" outlineLevel="0" collapsed="false">
      <c r="A209" s="127" t="n">
        <v>201</v>
      </c>
      <c r="B209" s="36" t="n">
        <f aca="false">$B$6</f>
        <v>14024.388333271</v>
      </c>
      <c r="C209" s="36" t="n">
        <f aca="false">B209-D209</f>
        <v>6747.28325168487</v>
      </c>
      <c r="D209" s="36" t="n">
        <f aca="false">E208*$B$4/12</f>
        <v>7277.1050815861</v>
      </c>
      <c r="E209" s="36" t="n">
        <f aca="false">E208-C209</f>
        <v>1580984.73454892</v>
      </c>
    </row>
    <row r="210" customFormat="false" ht="15" hidden="false" customHeight="true" outlineLevel="0" collapsed="false">
      <c r="A210" s="128" t="n">
        <v>202</v>
      </c>
      <c r="B210" s="129" t="n">
        <f aca="false">$B$6</f>
        <v>14024.388333271</v>
      </c>
      <c r="C210" s="129" t="n">
        <f aca="false">B210-D210</f>
        <v>6778.20829992176</v>
      </c>
      <c r="D210" s="129" t="n">
        <f aca="false">E209*$B$4/12</f>
        <v>7246.18003334921</v>
      </c>
      <c r="E210" s="129" t="n">
        <f aca="false">E209-C210</f>
        <v>1574206.526249</v>
      </c>
    </row>
    <row r="211" customFormat="false" ht="15" hidden="false" customHeight="true" outlineLevel="0" collapsed="false">
      <c r="A211" s="127" t="n">
        <v>203</v>
      </c>
      <c r="B211" s="36" t="n">
        <f aca="false">$B$6</f>
        <v>14024.388333271</v>
      </c>
      <c r="C211" s="36" t="n">
        <f aca="false">B211-D211</f>
        <v>6809.27508796307</v>
      </c>
      <c r="D211" s="36" t="n">
        <f aca="false">E210*$B$4/12</f>
        <v>7215.11324530791</v>
      </c>
      <c r="E211" s="36" t="n">
        <f aca="false">E210-C211</f>
        <v>1567397.25116103</v>
      </c>
    </row>
    <row r="212" customFormat="false" ht="15" hidden="false" customHeight="true" outlineLevel="0" collapsed="false">
      <c r="A212" s="128" t="n">
        <v>204</v>
      </c>
      <c r="B212" s="129" t="n">
        <f aca="false">$B$6</f>
        <v>14024.388333271</v>
      </c>
      <c r="C212" s="129" t="n">
        <f aca="false">B212-D212</f>
        <v>6840.48426544957</v>
      </c>
      <c r="D212" s="129" t="n">
        <f aca="false">E211*$B$4/12</f>
        <v>7183.90406782141</v>
      </c>
      <c r="E212" s="129" t="n">
        <f aca="false">E211-C212</f>
        <v>1560556.76689559</v>
      </c>
    </row>
    <row r="213" customFormat="false" ht="15" hidden="false" customHeight="true" outlineLevel="0" collapsed="false">
      <c r="A213" s="127" t="n">
        <v>205</v>
      </c>
      <c r="B213" s="36" t="n">
        <f aca="false">$B$6</f>
        <v>14024.388333271</v>
      </c>
      <c r="C213" s="36" t="n">
        <f aca="false">B213-D213</f>
        <v>6871.83648499954</v>
      </c>
      <c r="D213" s="36" t="n">
        <f aca="false">E212*$B$4/12</f>
        <v>7152.55184827143</v>
      </c>
      <c r="E213" s="36" t="n">
        <f aca="false">E212-C213</f>
        <v>1553684.93041059</v>
      </c>
    </row>
    <row r="214" customFormat="false" ht="15" hidden="false" customHeight="true" outlineLevel="0" collapsed="false">
      <c r="A214" s="128" t="n">
        <v>206</v>
      </c>
      <c r="B214" s="129" t="n">
        <f aca="false">$B$6</f>
        <v>14024.388333271</v>
      </c>
      <c r="C214" s="129" t="n">
        <f aca="false">B214-D214</f>
        <v>6903.33240222246</v>
      </c>
      <c r="D214" s="129" t="n">
        <f aca="false">E213*$B$4/12</f>
        <v>7121.05593104852</v>
      </c>
      <c r="E214" s="129" t="n">
        <f aca="false">E213-C214</f>
        <v>1546781.59800836</v>
      </c>
    </row>
    <row r="215" customFormat="false" ht="15" hidden="false" customHeight="true" outlineLevel="0" collapsed="false">
      <c r="A215" s="127" t="n">
        <v>207</v>
      </c>
      <c r="B215" s="36" t="n">
        <f aca="false">$B$6</f>
        <v>14024.388333271</v>
      </c>
      <c r="C215" s="36" t="n">
        <f aca="false">B215-D215</f>
        <v>6934.97267573265</v>
      </c>
      <c r="D215" s="36" t="n">
        <f aca="false">E214*$B$4/12</f>
        <v>7089.41565753833</v>
      </c>
      <c r="E215" s="36" t="n">
        <f aca="false">E214-C215</f>
        <v>1539846.62533263</v>
      </c>
    </row>
    <row r="216" customFormat="false" ht="15" hidden="false" customHeight="true" outlineLevel="0" collapsed="false">
      <c r="A216" s="128" t="n">
        <v>208</v>
      </c>
      <c r="B216" s="129" t="n">
        <f aca="false">$B$6</f>
        <v>14024.388333271</v>
      </c>
      <c r="C216" s="129" t="n">
        <f aca="false">B216-D216</f>
        <v>6966.75796716309</v>
      </c>
      <c r="D216" s="129" t="n">
        <f aca="false">E215*$B$4/12</f>
        <v>7057.63036610789</v>
      </c>
      <c r="E216" s="129" t="n">
        <f aca="false">E215-C216</f>
        <v>1532879.86736547</v>
      </c>
    </row>
    <row r="217" customFormat="false" ht="15" hidden="false" customHeight="true" outlineLevel="0" collapsed="false">
      <c r="A217" s="127" t="n">
        <v>209</v>
      </c>
      <c r="B217" s="36" t="n">
        <f aca="false">$B$6</f>
        <v>14024.388333271</v>
      </c>
      <c r="C217" s="36" t="n">
        <f aca="false">B217-D217</f>
        <v>6998.68894117925</v>
      </c>
      <c r="D217" s="36" t="n">
        <f aca="false">E216*$B$4/12</f>
        <v>7025.69939209172</v>
      </c>
      <c r="E217" s="36" t="n">
        <f aca="false">E216-C217</f>
        <v>1525881.17842429</v>
      </c>
    </row>
    <row r="218" customFormat="false" ht="15" hidden="false" customHeight="true" outlineLevel="0" collapsed="false">
      <c r="A218" s="128" t="n">
        <v>210</v>
      </c>
      <c r="B218" s="129" t="n">
        <f aca="false">$B$6</f>
        <v>14024.388333271</v>
      </c>
      <c r="C218" s="129" t="n">
        <f aca="false">B218-D218</f>
        <v>7030.76626549299</v>
      </c>
      <c r="D218" s="129" t="n">
        <f aca="false">E217*$B$4/12</f>
        <v>6993.62206777799</v>
      </c>
      <c r="E218" s="129" t="n">
        <f aca="false">E217-C218</f>
        <v>1518850.4121588</v>
      </c>
    </row>
    <row r="219" customFormat="false" ht="15" hidden="false" customHeight="true" outlineLevel="0" collapsed="false">
      <c r="A219" s="127" t="n">
        <v>211</v>
      </c>
      <c r="B219" s="36" t="n">
        <f aca="false">$B$6</f>
        <v>14024.388333271</v>
      </c>
      <c r="C219" s="36" t="n">
        <f aca="false">B219-D219</f>
        <v>7062.9906108765</v>
      </c>
      <c r="D219" s="36" t="n">
        <f aca="false">E218*$B$4/12</f>
        <v>6961.39772239448</v>
      </c>
      <c r="E219" s="36" t="n">
        <f aca="false">E218-C219</f>
        <v>1511787.42154792</v>
      </c>
    </row>
    <row r="220" customFormat="false" ht="15" hidden="false" customHeight="true" outlineLevel="0" collapsed="false">
      <c r="A220" s="128" t="n">
        <v>212</v>
      </c>
      <c r="B220" s="129" t="n">
        <f aca="false">$B$6</f>
        <v>14024.388333271</v>
      </c>
      <c r="C220" s="129" t="n">
        <f aca="false">B220-D220</f>
        <v>7095.36265117635</v>
      </c>
      <c r="D220" s="129" t="n">
        <f aca="false">E219*$B$4/12</f>
        <v>6929.02568209463</v>
      </c>
      <c r="E220" s="129" t="n">
        <f aca="false">E219-C220</f>
        <v>1504692.05889674</v>
      </c>
    </row>
    <row r="221" customFormat="false" ht="15" hidden="false" customHeight="true" outlineLevel="0" collapsed="false">
      <c r="A221" s="127" t="n">
        <v>213</v>
      </c>
      <c r="B221" s="36" t="n">
        <f aca="false">$B$6</f>
        <v>14024.388333271</v>
      </c>
      <c r="C221" s="36" t="n">
        <f aca="false">B221-D221</f>
        <v>7127.88306332758</v>
      </c>
      <c r="D221" s="36" t="n">
        <f aca="false">E220*$B$4/12</f>
        <v>6896.5052699434</v>
      </c>
      <c r="E221" s="36" t="n">
        <f aca="false">E220-C221</f>
        <v>1497564.17583341</v>
      </c>
    </row>
    <row r="222" customFormat="false" ht="15" hidden="false" customHeight="true" outlineLevel="0" collapsed="false">
      <c r="A222" s="128" t="n">
        <v>214</v>
      </c>
      <c r="B222" s="129" t="n">
        <f aca="false">$B$6</f>
        <v>14024.388333271</v>
      </c>
      <c r="C222" s="129" t="n">
        <f aca="false">B222-D222</f>
        <v>7160.55252736783</v>
      </c>
      <c r="D222" s="129" t="n">
        <f aca="false">E221*$B$4/12</f>
        <v>6863.83580590315</v>
      </c>
      <c r="E222" s="129" t="n">
        <f aca="false">E221-C222</f>
        <v>1490403.62330605</v>
      </c>
    </row>
    <row r="223" customFormat="false" ht="15" hidden="false" customHeight="true" outlineLevel="0" collapsed="false">
      <c r="A223" s="127" t="n">
        <v>215</v>
      </c>
      <c r="B223" s="36" t="n">
        <f aca="false">$B$6</f>
        <v>14024.388333271</v>
      </c>
      <c r="C223" s="36" t="n">
        <f aca="false">B223-D223</f>
        <v>7193.3717264516</v>
      </c>
      <c r="D223" s="36" t="n">
        <f aca="false">E222*$B$4/12</f>
        <v>6831.01660681938</v>
      </c>
      <c r="E223" s="36" t="n">
        <f aca="false">E222-C223</f>
        <v>1483210.2515796</v>
      </c>
    </row>
    <row r="224" customFormat="false" ht="15" hidden="false" customHeight="true" outlineLevel="0" collapsed="false">
      <c r="A224" s="128" t="n">
        <v>216</v>
      </c>
      <c r="B224" s="129" t="n">
        <f aca="false">$B$6</f>
        <v>14024.388333271</v>
      </c>
      <c r="C224" s="129" t="n">
        <f aca="false">B224-D224</f>
        <v>7226.3413468645</v>
      </c>
      <c r="D224" s="129" t="n">
        <f aca="false">E223*$B$4/12</f>
        <v>6798.04698640648</v>
      </c>
      <c r="E224" s="129" t="n">
        <f aca="false">E223-C224</f>
        <v>1475983.91023273</v>
      </c>
    </row>
    <row r="225" customFormat="false" ht="15" hidden="false" customHeight="true" outlineLevel="0" collapsed="false">
      <c r="A225" s="127" t="n">
        <v>217</v>
      </c>
      <c r="B225" s="36" t="n">
        <f aca="false">$B$6</f>
        <v>14024.388333271</v>
      </c>
      <c r="C225" s="36" t="n">
        <f aca="false">B225-D225</f>
        <v>7259.46207803763</v>
      </c>
      <c r="D225" s="36" t="n">
        <f aca="false">E224*$B$4/12</f>
        <v>6764.92625523335</v>
      </c>
      <c r="E225" s="36" t="n">
        <f aca="false">E224-C225</f>
        <v>1468724.44815469</v>
      </c>
    </row>
    <row r="226" customFormat="false" ht="15" hidden="false" customHeight="true" outlineLevel="0" collapsed="false">
      <c r="A226" s="128" t="n">
        <v>218</v>
      </c>
      <c r="B226" s="129" t="n">
        <f aca="false">$B$6</f>
        <v>14024.388333271</v>
      </c>
      <c r="C226" s="129" t="n">
        <f aca="false">B226-D226</f>
        <v>7292.73461256197</v>
      </c>
      <c r="D226" s="129" t="n">
        <f aca="false">E225*$B$4/12</f>
        <v>6731.65372070901</v>
      </c>
      <c r="E226" s="129" t="n">
        <f aca="false">E225-C226</f>
        <v>1461431.71354213</v>
      </c>
    </row>
    <row r="227" customFormat="false" ht="15" hidden="false" customHeight="true" outlineLevel="0" collapsed="false">
      <c r="A227" s="127" t="n">
        <v>219</v>
      </c>
      <c r="B227" s="36" t="n">
        <f aca="false">$B$6</f>
        <v>14024.388333271</v>
      </c>
      <c r="C227" s="36" t="n">
        <f aca="false">B227-D227</f>
        <v>7326.15964620288</v>
      </c>
      <c r="D227" s="36" t="n">
        <f aca="false">E226*$B$4/12</f>
        <v>6698.2286870681</v>
      </c>
      <c r="E227" s="36" t="n">
        <f aca="false">E226-C227</f>
        <v>1454105.55389593</v>
      </c>
    </row>
    <row r="228" customFormat="false" ht="15" hidden="false" customHeight="true" outlineLevel="0" collapsed="false">
      <c r="A228" s="128" t="n">
        <v>220</v>
      </c>
      <c r="B228" s="129" t="n">
        <f aca="false">$B$6</f>
        <v>14024.388333271</v>
      </c>
      <c r="C228" s="129" t="n">
        <f aca="false">B228-D228</f>
        <v>7359.73787791464</v>
      </c>
      <c r="D228" s="129" t="n">
        <f aca="false">E227*$B$4/12</f>
        <v>6664.65045535634</v>
      </c>
      <c r="E228" s="129" t="n">
        <f aca="false">E227-C228</f>
        <v>1446745.81601801</v>
      </c>
    </row>
    <row r="229" customFormat="false" ht="15" hidden="false" customHeight="true" outlineLevel="0" collapsed="false">
      <c r="A229" s="127" t="n">
        <v>221</v>
      </c>
      <c r="B229" s="36" t="n">
        <f aca="false">$B$6</f>
        <v>14024.388333271</v>
      </c>
      <c r="C229" s="36" t="n">
        <f aca="false">B229-D229</f>
        <v>7393.47000985508</v>
      </c>
      <c r="D229" s="36" t="n">
        <f aca="false">E228*$B$4/12</f>
        <v>6630.91832341589</v>
      </c>
      <c r="E229" s="36" t="n">
        <f aca="false">E228-C229</f>
        <v>1439352.34600816</v>
      </c>
    </row>
    <row r="230" customFormat="false" ht="15" hidden="false" customHeight="true" outlineLevel="0" collapsed="false">
      <c r="A230" s="128" t="n">
        <v>222</v>
      </c>
      <c r="B230" s="129" t="n">
        <f aca="false">$B$6</f>
        <v>14024.388333271</v>
      </c>
      <c r="C230" s="129" t="n">
        <f aca="false">B230-D230</f>
        <v>7427.35674740025</v>
      </c>
      <c r="D230" s="129" t="n">
        <f aca="false">E229*$B$4/12</f>
        <v>6597.03158587073</v>
      </c>
      <c r="E230" s="129" t="n">
        <f aca="false">E229-C230</f>
        <v>1431924.98926076</v>
      </c>
    </row>
    <row r="231" customFormat="false" ht="15" hidden="false" customHeight="true" outlineLevel="0" collapsed="false">
      <c r="A231" s="127" t="n">
        <v>223</v>
      </c>
      <c r="B231" s="36" t="n">
        <f aca="false">$B$6</f>
        <v>14024.388333271</v>
      </c>
      <c r="C231" s="36" t="n">
        <f aca="false">B231-D231</f>
        <v>7461.39879915917</v>
      </c>
      <c r="D231" s="36" t="n">
        <f aca="false">E230*$B$4/12</f>
        <v>6562.98953411181</v>
      </c>
      <c r="E231" s="36" t="n">
        <f aca="false">E230-C231</f>
        <v>1424463.5904616</v>
      </c>
    </row>
    <row r="232" customFormat="false" ht="15" hidden="false" customHeight="true" outlineLevel="0" collapsed="false">
      <c r="A232" s="128" t="n">
        <v>224</v>
      </c>
      <c r="B232" s="129" t="n">
        <f aca="false">$B$6</f>
        <v>14024.388333271</v>
      </c>
      <c r="C232" s="129" t="n">
        <f aca="false">B232-D232</f>
        <v>7495.59687698865</v>
      </c>
      <c r="D232" s="129" t="n">
        <f aca="false">E231*$B$4/12</f>
        <v>6528.79145628233</v>
      </c>
      <c r="E232" s="129" t="n">
        <f aca="false">E231-C232</f>
        <v>1416967.99358461</v>
      </c>
    </row>
    <row r="233" customFormat="false" ht="15" hidden="false" customHeight="true" outlineLevel="0" collapsed="false">
      <c r="A233" s="127" t="n">
        <v>225</v>
      </c>
      <c r="B233" s="36" t="n">
        <f aca="false">$B$6</f>
        <v>14024.388333271</v>
      </c>
      <c r="C233" s="36" t="n">
        <f aca="false">B233-D233</f>
        <v>7529.95169600818</v>
      </c>
      <c r="D233" s="36" t="n">
        <f aca="false">E232*$B$4/12</f>
        <v>6494.4366372628</v>
      </c>
      <c r="E233" s="36" t="n">
        <f aca="false">E232-C233</f>
        <v>1409438.0418886</v>
      </c>
    </row>
    <row r="234" customFormat="false" ht="15" hidden="false" customHeight="true" outlineLevel="0" collapsed="false">
      <c r="A234" s="128" t="n">
        <v>226</v>
      </c>
      <c r="B234" s="129" t="n">
        <f aca="false">$B$6</f>
        <v>14024.388333271</v>
      </c>
      <c r="C234" s="129" t="n">
        <f aca="false">B234-D234</f>
        <v>7564.46397461488</v>
      </c>
      <c r="D234" s="129" t="n">
        <f aca="false">E233*$B$4/12</f>
        <v>6459.92435865609</v>
      </c>
      <c r="E234" s="129" t="n">
        <f aca="false">E233-C234</f>
        <v>1401873.57791399</v>
      </c>
    </row>
    <row r="235" customFormat="false" ht="15" hidden="false" customHeight="true" outlineLevel="0" collapsed="false">
      <c r="A235" s="127" t="n">
        <v>227</v>
      </c>
      <c r="B235" s="36" t="n">
        <f aca="false">$B$6</f>
        <v>14024.388333271</v>
      </c>
      <c r="C235" s="36" t="n">
        <f aca="false">B235-D235</f>
        <v>7599.13443449854</v>
      </c>
      <c r="D235" s="36" t="n">
        <f aca="false">E234*$B$4/12</f>
        <v>6425.25389877244</v>
      </c>
      <c r="E235" s="36" t="n">
        <f aca="false">E234-C235</f>
        <v>1394274.44347949</v>
      </c>
    </row>
    <row r="236" customFormat="false" ht="15" hidden="false" customHeight="true" outlineLevel="0" collapsed="false">
      <c r="A236" s="128" t="n">
        <v>228</v>
      </c>
      <c r="B236" s="129" t="n">
        <f aca="false">$B$6</f>
        <v>14024.388333271</v>
      </c>
      <c r="C236" s="129" t="n">
        <f aca="false">B236-D236</f>
        <v>7633.96380065665</v>
      </c>
      <c r="D236" s="129" t="n">
        <f aca="false">E235*$B$4/12</f>
        <v>6390.42453261432</v>
      </c>
      <c r="E236" s="129" t="n">
        <f aca="false">E235-C236</f>
        <v>1386640.47967883</v>
      </c>
    </row>
    <row r="237" customFormat="false" ht="15" hidden="false" customHeight="true" outlineLevel="0" collapsed="false">
      <c r="A237" s="127" t="n">
        <v>229</v>
      </c>
      <c r="B237" s="36" t="n">
        <f aca="false">$B$6</f>
        <v>14024.388333271</v>
      </c>
      <c r="C237" s="36" t="n">
        <f aca="false">B237-D237</f>
        <v>7668.95280140966</v>
      </c>
      <c r="D237" s="36" t="n">
        <f aca="false">E236*$B$4/12</f>
        <v>6355.43553186131</v>
      </c>
      <c r="E237" s="36" t="n">
        <f aca="false">E236-C237</f>
        <v>1378971.52687742</v>
      </c>
    </row>
    <row r="238" customFormat="false" ht="15" hidden="false" customHeight="true" outlineLevel="0" collapsed="false">
      <c r="A238" s="128" t="n">
        <v>230</v>
      </c>
      <c r="B238" s="129" t="n">
        <f aca="false">$B$6</f>
        <v>14024.388333271</v>
      </c>
      <c r="C238" s="129" t="n">
        <f aca="false">B238-D238</f>
        <v>7704.10216841612</v>
      </c>
      <c r="D238" s="129" t="n">
        <f aca="false">E237*$B$4/12</f>
        <v>6320.28616485485</v>
      </c>
      <c r="E238" s="129" t="n">
        <f aca="false">E237-C238</f>
        <v>1371267.42470901</v>
      </c>
    </row>
    <row r="239" customFormat="false" ht="15" hidden="false" customHeight="true" outlineLevel="0" collapsed="false">
      <c r="A239" s="127" t="n">
        <v>231</v>
      </c>
      <c r="B239" s="36" t="n">
        <f aca="false">$B$6</f>
        <v>14024.388333271</v>
      </c>
      <c r="C239" s="36" t="n">
        <f aca="false">B239-D239</f>
        <v>7739.41263668803</v>
      </c>
      <c r="D239" s="36" t="n">
        <f aca="false">E238*$B$4/12</f>
        <v>6284.97569658295</v>
      </c>
      <c r="E239" s="36" t="n">
        <f aca="false">E238-C239</f>
        <v>1363528.01207232</v>
      </c>
    </row>
    <row r="240" customFormat="false" ht="15" hidden="false" customHeight="true" outlineLevel="0" collapsed="false">
      <c r="A240" s="128" t="n">
        <v>232</v>
      </c>
      <c r="B240" s="129" t="n">
        <f aca="false">$B$6</f>
        <v>14024.388333271</v>
      </c>
      <c r="C240" s="129" t="n">
        <f aca="false">B240-D240</f>
        <v>7774.88494460618</v>
      </c>
      <c r="D240" s="129" t="n">
        <f aca="false">E239*$B$4/12</f>
        <v>6249.50338866479</v>
      </c>
      <c r="E240" s="129" t="n">
        <f aca="false">E239-C240</f>
        <v>1355753.12712771</v>
      </c>
    </row>
    <row r="241" customFormat="false" ht="15" hidden="false" customHeight="true" outlineLevel="0" collapsed="false">
      <c r="A241" s="127" t="n">
        <v>233</v>
      </c>
      <c r="B241" s="36" t="n">
        <f aca="false">$B$6</f>
        <v>14024.388333271</v>
      </c>
      <c r="C241" s="36" t="n">
        <f aca="false">B241-D241</f>
        <v>7810.51983393563</v>
      </c>
      <c r="D241" s="36" t="n">
        <f aca="false">E240*$B$4/12</f>
        <v>6213.86849933535</v>
      </c>
      <c r="E241" s="36" t="n">
        <f aca="false">E240-C241</f>
        <v>1347942.60729378</v>
      </c>
    </row>
    <row r="242" customFormat="false" ht="15" hidden="false" customHeight="true" outlineLevel="0" collapsed="false">
      <c r="A242" s="128" t="n">
        <v>234</v>
      </c>
      <c r="B242" s="129" t="n">
        <f aca="false">$B$6</f>
        <v>14024.388333271</v>
      </c>
      <c r="C242" s="129" t="n">
        <f aca="false">B242-D242</f>
        <v>7846.31804984117</v>
      </c>
      <c r="D242" s="129" t="n">
        <f aca="false">E241*$B$4/12</f>
        <v>6178.07028342981</v>
      </c>
      <c r="E242" s="129" t="n">
        <f aca="false">E241-C242</f>
        <v>1340096.28924394</v>
      </c>
    </row>
    <row r="243" customFormat="false" ht="15" hidden="false" customHeight="true" outlineLevel="0" collapsed="false">
      <c r="A243" s="127" t="n">
        <v>235</v>
      </c>
      <c r="B243" s="36" t="n">
        <f aca="false">$B$6</f>
        <v>14024.388333271</v>
      </c>
      <c r="C243" s="36" t="n">
        <f aca="false">B243-D243</f>
        <v>7882.28034090294</v>
      </c>
      <c r="D243" s="36" t="n">
        <f aca="false">E242*$B$4/12</f>
        <v>6142.10799236804</v>
      </c>
      <c r="E243" s="36" t="n">
        <f aca="false">E242-C243</f>
        <v>1332214.00890303</v>
      </c>
    </row>
    <row r="244" customFormat="false" ht="15" hidden="false" customHeight="true" outlineLevel="0" collapsed="false">
      <c r="A244" s="128" t="n">
        <v>236</v>
      </c>
      <c r="B244" s="129" t="n">
        <f aca="false">$B$6</f>
        <v>14024.388333271</v>
      </c>
      <c r="C244" s="129" t="n">
        <f aca="false">B244-D244</f>
        <v>7918.40745913208</v>
      </c>
      <c r="D244" s="129" t="n">
        <f aca="false">E243*$B$4/12</f>
        <v>6105.9808741389</v>
      </c>
      <c r="E244" s="129" t="n">
        <f aca="false">E243-C244</f>
        <v>1324295.6014439</v>
      </c>
    </row>
    <row r="245" customFormat="false" ht="15" hidden="false" customHeight="true" outlineLevel="0" collapsed="false">
      <c r="A245" s="127" t="n">
        <v>237</v>
      </c>
      <c r="B245" s="36" t="n">
        <f aca="false">$B$6</f>
        <v>14024.388333271</v>
      </c>
      <c r="C245" s="36" t="n">
        <f aca="false">B245-D245</f>
        <v>7954.70015998643</v>
      </c>
      <c r="D245" s="36" t="n">
        <f aca="false">E244*$B$4/12</f>
        <v>6069.68817328454</v>
      </c>
      <c r="E245" s="36" t="n">
        <f aca="false">E244-C245</f>
        <v>1316340.90128391</v>
      </c>
    </row>
    <row r="246" customFormat="false" ht="15" hidden="false" customHeight="true" outlineLevel="0" collapsed="false">
      <c r="A246" s="128" t="n">
        <v>238</v>
      </c>
      <c r="B246" s="129" t="n">
        <f aca="false">$B$6</f>
        <v>14024.388333271</v>
      </c>
      <c r="C246" s="129" t="n">
        <f aca="false">B246-D246</f>
        <v>7991.15920238637</v>
      </c>
      <c r="D246" s="129" t="n">
        <f aca="false">E245*$B$4/12</f>
        <v>6033.2291308846</v>
      </c>
      <c r="E246" s="129" t="n">
        <f aca="false">E245-C246</f>
        <v>1308349.74208153</v>
      </c>
    </row>
    <row r="247" customFormat="false" ht="15" hidden="false" customHeight="true" outlineLevel="0" collapsed="false">
      <c r="A247" s="127" t="n">
        <v>239</v>
      </c>
      <c r="B247" s="36" t="n">
        <f aca="false">$B$6</f>
        <v>14024.388333271</v>
      </c>
      <c r="C247" s="36" t="n">
        <f aca="false">B247-D247</f>
        <v>8027.78534873064</v>
      </c>
      <c r="D247" s="36" t="n">
        <f aca="false">E246*$B$4/12</f>
        <v>5996.60298454034</v>
      </c>
      <c r="E247" s="36" t="n">
        <f aca="false">E246-C247</f>
        <v>1300321.9567328</v>
      </c>
    </row>
    <row r="248" customFormat="false" ht="15" hidden="false" customHeight="true" outlineLevel="0" collapsed="false">
      <c r="A248" s="128" t="n">
        <v>240</v>
      </c>
      <c r="B248" s="129" t="n">
        <f aca="false">$B$6</f>
        <v>14024.388333271</v>
      </c>
      <c r="C248" s="129" t="n">
        <f aca="false">B248-D248</f>
        <v>8064.57936491232</v>
      </c>
      <c r="D248" s="129" t="n">
        <f aca="false">E247*$B$4/12</f>
        <v>5959.80896835865</v>
      </c>
      <c r="E248" s="129" t="n">
        <f aca="false">E247-C248</f>
        <v>1292257.37736788</v>
      </c>
    </row>
    <row r="249" customFormat="false" ht="15" hidden="false" customHeight="true" outlineLevel="0" collapsed="false">
      <c r="A249" s="127" t="n">
        <v>241</v>
      </c>
      <c r="B249" s="36" t="n">
        <f aca="false">$B$6</f>
        <v>14024.388333271</v>
      </c>
      <c r="C249" s="36" t="n">
        <f aca="false">B249-D249</f>
        <v>8101.54202033484</v>
      </c>
      <c r="D249" s="36" t="n">
        <f aca="false">E248*$B$4/12</f>
        <v>5922.84631293614</v>
      </c>
      <c r="E249" s="36" t="n">
        <f aca="false">E248-C249</f>
        <v>1284155.83534755</v>
      </c>
    </row>
    <row r="250" customFormat="false" ht="15" hidden="false" customHeight="true" outlineLevel="0" collapsed="false">
      <c r="A250" s="128" t="n">
        <v>242</v>
      </c>
      <c r="B250" s="129" t="n">
        <f aca="false">$B$6</f>
        <v>14024.388333271</v>
      </c>
      <c r="C250" s="129" t="n">
        <f aca="false">B250-D250</f>
        <v>8138.67408792804</v>
      </c>
      <c r="D250" s="129" t="n">
        <f aca="false">E249*$B$4/12</f>
        <v>5885.71424534294</v>
      </c>
      <c r="E250" s="129" t="n">
        <f aca="false">E249-C250</f>
        <v>1276017.16125962</v>
      </c>
    </row>
    <row r="251" customFormat="false" ht="15" hidden="false" customHeight="true" outlineLevel="0" collapsed="false">
      <c r="A251" s="127" t="n">
        <v>243</v>
      </c>
      <c r="B251" s="36" t="n">
        <f aca="false">$B$6</f>
        <v>14024.388333271</v>
      </c>
      <c r="C251" s="36" t="n">
        <f aca="false">B251-D251</f>
        <v>8175.97634416438</v>
      </c>
      <c r="D251" s="36" t="n">
        <f aca="false">E250*$B$4/12</f>
        <v>5848.4119891066</v>
      </c>
      <c r="E251" s="36" t="n">
        <f aca="false">E250-C251</f>
        <v>1267841.18491546</v>
      </c>
    </row>
    <row r="252" customFormat="false" ht="15" hidden="false" customHeight="true" outlineLevel="0" collapsed="false">
      <c r="A252" s="128" t="n">
        <v>244</v>
      </c>
      <c r="B252" s="129" t="n">
        <f aca="false">$B$6</f>
        <v>14024.388333271</v>
      </c>
      <c r="C252" s="129" t="n">
        <f aca="false">B252-D252</f>
        <v>8213.44956907513</v>
      </c>
      <c r="D252" s="129" t="n">
        <f aca="false">E251*$B$4/12</f>
        <v>5810.93876419585</v>
      </c>
      <c r="E252" s="129" t="n">
        <f aca="false">E251-C252</f>
        <v>1259627.73534638</v>
      </c>
    </row>
    <row r="253" customFormat="false" ht="15" hidden="false" customHeight="true" outlineLevel="0" collapsed="false">
      <c r="A253" s="127" t="n">
        <v>245</v>
      </c>
      <c r="B253" s="36" t="n">
        <f aca="false">$B$6</f>
        <v>14024.388333271</v>
      </c>
      <c r="C253" s="36" t="n">
        <f aca="false">B253-D253</f>
        <v>8251.09454626673</v>
      </c>
      <c r="D253" s="36" t="n">
        <f aca="false">E252*$B$4/12</f>
        <v>5773.29378700425</v>
      </c>
      <c r="E253" s="36" t="n">
        <f aca="false">E252-C253</f>
        <v>1251376.64080012</v>
      </c>
    </row>
    <row r="254" customFormat="false" ht="15" hidden="false" customHeight="true" outlineLevel="0" collapsed="false">
      <c r="A254" s="128" t="n">
        <v>246</v>
      </c>
      <c r="B254" s="129" t="n">
        <f aca="false">$B$6</f>
        <v>14024.388333271</v>
      </c>
      <c r="C254" s="129" t="n">
        <f aca="false">B254-D254</f>
        <v>8288.91206293712</v>
      </c>
      <c r="D254" s="129" t="n">
        <f aca="false">E253*$B$4/12</f>
        <v>5735.47627033386</v>
      </c>
      <c r="E254" s="129" t="n">
        <f aca="false">E253-C254</f>
        <v>1243087.72873718</v>
      </c>
    </row>
    <row r="255" customFormat="false" ht="15" hidden="false" customHeight="true" outlineLevel="0" collapsed="false">
      <c r="A255" s="127" t="n">
        <v>247</v>
      </c>
      <c r="B255" s="36" t="n">
        <f aca="false">$B$6</f>
        <v>14024.388333271</v>
      </c>
      <c r="C255" s="36" t="n">
        <f aca="false">B255-D255</f>
        <v>8326.90290989224</v>
      </c>
      <c r="D255" s="36" t="n">
        <f aca="false">E254*$B$4/12</f>
        <v>5697.48542337873</v>
      </c>
      <c r="E255" s="36" t="n">
        <f aca="false">E254-C255</f>
        <v>1234760.82582729</v>
      </c>
    </row>
    <row r="256" customFormat="false" ht="15" hidden="false" customHeight="true" outlineLevel="0" collapsed="false">
      <c r="A256" s="128" t="n">
        <v>248</v>
      </c>
      <c r="B256" s="129" t="n">
        <f aca="false">$B$6</f>
        <v>14024.388333271</v>
      </c>
      <c r="C256" s="129" t="n">
        <f aca="false">B256-D256</f>
        <v>8365.06788156258</v>
      </c>
      <c r="D256" s="129" t="n">
        <f aca="false">E255*$B$4/12</f>
        <v>5659.32045170839</v>
      </c>
      <c r="E256" s="129" t="n">
        <f aca="false">E255-C256</f>
        <v>1226395.75794572</v>
      </c>
    </row>
    <row r="257" customFormat="false" ht="15" hidden="false" customHeight="true" outlineLevel="0" collapsed="false">
      <c r="A257" s="127" t="n">
        <v>249</v>
      </c>
      <c r="B257" s="36" t="n">
        <f aca="false">$B$6</f>
        <v>14024.388333271</v>
      </c>
      <c r="C257" s="36" t="n">
        <f aca="false">B257-D257</f>
        <v>8403.40777601975</v>
      </c>
      <c r="D257" s="36" t="n">
        <f aca="false">E256*$B$4/12</f>
        <v>5620.98055725123</v>
      </c>
      <c r="E257" s="36" t="n">
        <f aca="false">E256-C257</f>
        <v>1217992.3501697</v>
      </c>
    </row>
    <row r="258" customFormat="false" ht="15" hidden="false" customHeight="true" outlineLevel="0" collapsed="false">
      <c r="A258" s="128" t="n">
        <v>250</v>
      </c>
      <c r="B258" s="129" t="n">
        <f aca="false">$B$6</f>
        <v>14024.388333271</v>
      </c>
      <c r="C258" s="129" t="n">
        <f aca="false">B258-D258</f>
        <v>8441.92339499317</v>
      </c>
      <c r="D258" s="129" t="n">
        <f aca="false">E257*$B$4/12</f>
        <v>5582.46493827781</v>
      </c>
      <c r="E258" s="129" t="n">
        <f aca="false">E257-C258</f>
        <v>1209550.42677471</v>
      </c>
    </row>
    <row r="259" customFormat="false" ht="15" hidden="false" customHeight="true" outlineLevel="0" collapsed="false">
      <c r="A259" s="127" t="n">
        <v>251</v>
      </c>
      <c r="B259" s="36" t="n">
        <f aca="false">$B$6</f>
        <v>14024.388333271</v>
      </c>
      <c r="C259" s="36" t="n">
        <f aca="false">B259-D259</f>
        <v>8480.61554388689</v>
      </c>
      <c r="D259" s="36" t="n">
        <f aca="false">E258*$B$4/12</f>
        <v>5543.77278938409</v>
      </c>
      <c r="E259" s="36" t="n">
        <f aca="false">E258-C259</f>
        <v>1201069.81123082</v>
      </c>
    </row>
    <row r="260" customFormat="false" ht="15" hidden="false" customHeight="true" outlineLevel="0" collapsed="false">
      <c r="A260" s="128" t="n">
        <v>252</v>
      </c>
      <c r="B260" s="129" t="n">
        <f aca="false">$B$6</f>
        <v>14024.388333271</v>
      </c>
      <c r="C260" s="129" t="n">
        <f aca="false">B260-D260</f>
        <v>8519.48503179637</v>
      </c>
      <c r="D260" s="129" t="n">
        <f aca="false">E259*$B$4/12</f>
        <v>5504.90330147461</v>
      </c>
      <c r="E260" s="129" t="n">
        <f aca="false">E259-C260</f>
        <v>1192550.32619903</v>
      </c>
    </row>
    <row r="261" customFormat="false" ht="15" hidden="false" customHeight="true" outlineLevel="0" collapsed="false">
      <c r="A261" s="127" t="n">
        <v>253</v>
      </c>
      <c r="B261" s="36" t="n">
        <f aca="false">$B$6</f>
        <v>14024.388333271</v>
      </c>
      <c r="C261" s="36" t="n">
        <f aca="false">B261-D261</f>
        <v>8558.53267152543</v>
      </c>
      <c r="D261" s="36" t="n">
        <f aca="false">E260*$B$4/12</f>
        <v>5465.85566174554</v>
      </c>
      <c r="E261" s="36" t="n">
        <f aca="false">E260-C261</f>
        <v>1183991.7935275</v>
      </c>
    </row>
    <row r="262" customFormat="false" ht="15" hidden="false" customHeight="true" outlineLevel="0" collapsed="false">
      <c r="A262" s="128" t="n">
        <v>254</v>
      </c>
      <c r="B262" s="129" t="n">
        <f aca="false">$B$6</f>
        <v>14024.388333271</v>
      </c>
      <c r="C262" s="129" t="n">
        <f aca="false">B262-D262</f>
        <v>8597.75927960326</v>
      </c>
      <c r="D262" s="129" t="n">
        <f aca="false">E261*$B$4/12</f>
        <v>5426.62905366772</v>
      </c>
      <c r="E262" s="129" t="n">
        <f aca="false">E261-C262</f>
        <v>1175394.0342479</v>
      </c>
    </row>
    <row r="263" customFormat="false" ht="15" hidden="false" customHeight="true" outlineLevel="0" collapsed="false">
      <c r="A263" s="127" t="n">
        <v>255</v>
      </c>
      <c r="B263" s="36" t="n">
        <f aca="false">$B$6</f>
        <v>14024.388333271</v>
      </c>
      <c r="C263" s="36" t="n">
        <f aca="false">B263-D263</f>
        <v>8637.16567630144</v>
      </c>
      <c r="D263" s="36" t="n">
        <f aca="false">E262*$B$4/12</f>
        <v>5387.22265696953</v>
      </c>
      <c r="E263" s="36" t="n">
        <f aca="false">E262-C263</f>
        <v>1166756.8685716</v>
      </c>
    </row>
    <row r="264" customFormat="false" ht="15" hidden="false" customHeight="true" outlineLevel="0" collapsed="false">
      <c r="A264" s="128" t="n">
        <v>256</v>
      </c>
      <c r="B264" s="129" t="n">
        <f aca="false">$B$6</f>
        <v>14024.388333271</v>
      </c>
      <c r="C264" s="129" t="n">
        <f aca="false">B264-D264</f>
        <v>8676.75268565116</v>
      </c>
      <c r="D264" s="129" t="n">
        <f aca="false">E263*$B$4/12</f>
        <v>5347.63564761982</v>
      </c>
      <c r="E264" s="129" t="n">
        <f aca="false">E263-C264</f>
        <v>1158080.11588595</v>
      </c>
    </row>
    <row r="265" customFormat="false" ht="15" hidden="false" customHeight="true" outlineLevel="0" collapsed="false">
      <c r="A265" s="127" t="n">
        <v>257</v>
      </c>
      <c r="B265" s="36" t="n">
        <f aca="false">$B$6</f>
        <v>14024.388333271</v>
      </c>
      <c r="C265" s="36" t="n">
        <f aca="false">B265-D265</f>
        <v>8716.52113546039</v>
      </c>
      <c r="D265" s="36" t="n">
        <f aca="false">E264*$B$4/12</f>
        <v>5307.86719781059</v>
      </c>
      <c r="E265" s="36" t="n">
        <f aca="false">E264-C265</f>
        <v>1149363.59475049</v>
      </c>
    </row>
    <row r="266" customFormat="false" ht="15" hidden="false" customHeight="true" outlineLevel="0" collapsed="false">
      <c r="A266" s="128" t="n">
        <v>258</v>
      </c>
      <c r="B266" s="129" t="n">
        <f aca="false">$B$6</f>
        <v>14024.388333271</v>
      </c>
      <c r="C266" s="129" t="n">
        <f aca="false">B266-D266</f>
        <v>8756.47185733125</v>
      </c>
      <c r="D266" s="129" t="n">
        <f aca="false">E265*$B$4/12</f>
        <v>5267.91647593972</v>
      </c>
      <c r="E266" s="129" t="n">
        <f aca="false">E265-C266</f>
        <v>1140607.12289315</v>
      </c>
    </row>
    <row r="267" customFormat="false" ht="15" hidden="false" customHeight="true" outlineLevel="0" collapsed="false">
      <c r="A267" s="127" t="n">
        <v>259</v>
      </c>
      <c r="B267" s="36" t="n">
        <f aca="false">$B$6</f>
        <v>14024.388333271</v>
      </c>
      <c r="C267" s="36" t="n">
        <f aca="false">B267-D267</f>
        <v>8796.60568667735</v>
      </c>
      <c r="D267" s="36" t="n">
        <f aca="false">E266*$B$4/12</f>
        <v>5227.78264659362</v>
      </c>
      <c r="E267" s="36" t="n">
        <f aca="false">E266-C267</f>
        <v>1131810.51720648</v>
      </c>
    </row>
    <row r="268" customFormat="false" ht="15" hidden="false" customHeight="true" outlineLevel="0" collapsed="false">
      <c r="A268" s="128" t="n">
        <v>260</v>
      </c>
      <c r="B268" s="129" t="n">
        <f aca="false">$B$6</f>
        <v>14024.388333271</v>
      </c>
      <c r="C268" s="129" t="n">
        <f aca="false">B268-D268</f>
        <v>8836.92346274129</v>
      </c>
      <c r="D268" s="129" t="n">
        <f aca="false">E267*$B$4/12</f>
        <v>5187.46487052969</v>
      </c>
      <c r="E268" s="129" t="n">
        <f aca="false">E267-C268</f>
        <v>1122973.59374374</v>
      </c>
    </row>
    <row r="269" customFormat="false" ht="15" hidden="false" customHeight="true" outlineLevel="0" collapsed="false">
      <c r="A269" s="127" t="n">
        <v>261</v>
      </c>
      <c r="B269" s="36" t="n">
        <f aca="false">$B$6</f>
        <v>14024.388333271</v>
      </c>
      <c r="C269" s="36" t="n">
        <f aca="false">B269-D269</f>
        <v>8877.42602861219</v>
      </c>
      <c r="D269" s="36" t="n">
        <f aca="false">E268*$B$4/12</f>
        <v>5146.96230465879</v>
      </c>
      <c r="E269" s="36" t="n">
        <f aca="false">E268-C269</f>
        <v>1114096.16771512</v>
      </c>
    </row>
    <row r="270" customFormat="false" ht="15" hidden="false" customHeight="true" outlineLevel="0" collapsed="false">
      <c r="A270" s="128" t="n">
        <v>262</v>
      </c>
      <c r="B270" s="129" t="n">
        <f aca="false">$B$6</f>
        <v>14024.388333271</v>
      </c>
      <c r="C270" s="129" t="n">
        <f aca="false">B270-D270</f>
        <v>8918.11423124333</v>
      </c>
      <c r="D270" s="129" t="n">
        <f aca="false">E269*$B$4/12</f>
        <v>5106.27410202765</v>
      </c>
      <c r="E270" s="129" t="n">
        <f aca="false">E269-C270</f>
        <v>1105178.05348388</v>
      </c>
    </row>
    <row r="271" customFormat="false" ht="15" hidden="false" customHeight="true" outlineLevel="0" collapsed="false">
      <c r="A271" s="127" t="n">
        <v>263</v>
      </c>
      <c r="B271" s="36" t="n">
        <f aca="false">$B$6</f>
        <v>14024.388333271</v>
      </c>
      <c r="C271" s="36" t="n">
        <f aca="false">B271-D271</f>
        <v>8958.98892146986</v>
      </c>
      <c r="D271" s="36" t="n">
        <f aca="false">E270*$B$4/12</f>
        <v>5065.39941180112</v>
      </c>
      <c r="E271" s="36" t="n">
        <f aca="false">E270-C271</f>
        <v>1096219.06456241</v>
      </c>
    </row>
    <row r="272" customFormat="false" ht="15" hidden="false" customHeight="true" outlineLevel="0" collapsed="false">
      <c r="A272" s="128" t="n">
        <v>264</v>
      </c>
      <c r="B272" s="129" t="n">
        <f aca="false">$B$6</f>
        <v>14024.388333271</v>
      </c>
      <c r="C272" s="129" t="n">
        <f aca="false">B272-D272</f>
        <v>9000.0509540266</v>
      </c>
      <c r="D272" s="129" t="n">
        <f aca="false">E271*$B$4/12</f>
        <v>5024.33737924438</v>
      </c>
      <c r="E272" s="129" t="n">
        <f aca="false">E271-C272</f>
        <v>1087219.01360838</v>
      </c>
    </row>
    <row r="273" customFormat="false" ht="15" hidden="false" customHeight="true" outlineLevel="0" collapsed="false">
      <c r="A273" s="127" t="n">
        <v>265</v>
      </c>
      <c r="B273" s="36" t="n">
        <f aca="false">$B$6</f>
        <v>14024.388333271</v>
      </c>
      <c r="C273" s="36" t="n">
        <f aca="false">B273-D273</f>
        <v>9041.30118756589</v>
      </c>
      <c r="D273" s="36" t="n">
        <f aca="false">E272*$B$4/12</f>
        <v>4983.08714570509</v>
      </c>
      <c r="E273" s="36" t="n">
        <f aca="false">E272-C273</f>
        <v>1078177.71242082</v>
      </c>
    </row>
    <row r="274" customFormat="false" ht="15" hidden="false" customHeight="true" outlineLevel="0" collapsed="false">
      <c r="A274" s="128" t="n">
        <v>266</v>
      </c>
      <c r="B274" s="129" t="n">
        <f aca="false">$B$6</f>
        <v>14024.388333271</v>
      </c>
      <c r="C274" s="129" t="n">
        <f aca="false">B274-D274</f>
        <v>9082.74048467556</v>
      </c>
      <c r="D274" s="129" t="n">
        <f aca="false">E273*$B$4/12</f>
        <v>4941.64784859542</v>
      </c>
      <c r="E274" s="129" t="n">
        <f aca="false">E273-C274</f>
        <v>1069094.97193614</v>
      </c>
    </row>
    <row r="275" customFormat="false" ht="15" hidden="false" customHeight="true" outlineLevel="0" collapsed="false">
      <c r="A275" s="127" t="n">
        <v>267</v>
      </c>
      <c r="B275" s="36" t="n">
        <f aca="false">$B$6</f>
        <v>14024.388333271</v>
      </c>
      <c r="C275" s="36" t="n">
        <f aca="false">B275-D275</f>
        <v>9124.36971189699</v>
      </c>
      <c r="D275" s="36" t="n">
        <f aca="false">E274*$B$4/12</f>
        <v>4900.01862137398</v>
      </c>
      <c r="E275" s="36" t="n">
        <f aca="false">E274-C275</f>
        <v>1059970.60222425</v>
      </c>
    </row>
    <row r="276" customFormat="false" ht="15" hidden="false" customHeight="true" outlineLevel="0" collapsed="false">
      <c r="A276" s="128" t="n">
        <v>268</v>
      </c>
      <c r="B276" s="129" t="n">
        <f aca="false">$B$6</f>
        <v>14024.388333271</v>
      </c>
      <c r="C276" s="129" t="n">
        <f aca="false">B276-D276</f>
        <v>9166.18973974319</v>
      </c>
      <c r="D276" s="129" t="n">
        <f aca="false">E275*$B$4/12</f>
        <v>4858.19859352779</v>
      </c>
      <c r="E276" s="129" t="n">
        <f aca="false">E275-C276</f>
        <v>1050804.4124845</v>
      </c>
    </row>
    <row r="277" customFormat="false" ht="15" hidden="false" customHeight="true" outlineLevel="0" collapsed="false">
      <c r="A277" s="127" t="n">
        <v>269</v>
      </c>
      <c r="B277" s="36" t="n">
        <f aca="false">$B$6</f>
        <v>14024.388333271</v>
      </c>
      <c r="C277" s="36" t="n">
        <f aca="false">B277-D277</f>
        <v>9208.20144271701</v>
      </c>
      <c r="D277" s="36" t="n">
        <f aca="false">E276*$B$4/12</f>
        <v>4816.18689055397</v>
      </c>
      <c r="E277" s="36" t="n">
        <f aca="false">E276-C277</f>
        <v>1041596.21104178</v>
      </c>
    </row>
    <row r="278" customFormat="false" ht="15" hidden="false" customHeight="true" outlineLevel="0" collapsed="false">
      <c r="A278" s="128" t="n">
        <v>270</v>
      </c>
      <c r="B278" s="129" t="n">
        <f aca="false">$B$6</f>
        <v>14024.388333271</v>
      </c>
      <c r="C278" s="129" t="n">
        <f aca="false">B278-D278</f>
        <v>9250.40569932946</v>
      </c>
      <c r="D278" s="129" t="n">
        <f aca="false">E277*$B$4/12</f>
        <v>4773.98263394151</v>
      </c>
      <c r="E278" s="129" t="n">
        <f aca="false">E277-C278</f>
        <v>1032345.80534246</v>
      </c>
    </row>
    <row r="279" customFormat="false" ht="15" hidden="false" customHeight="true" outlineLevel="0" collapsed="false">
      <c r="A279" s="127" t="n">
        <v>271</v>
      </c>
      <c r="B279" s="36" t="n">
        <f aca="false">$B$6</f>
        <v>14024.388333271</v>
      </c>
      <c r="C279" s="36" t="n">
        <f aca="false">B279-D279</f>
        <v>9292.80339211806</v>
      </c>
      <c r="D279" s="36" t="n">
        <f aca="false">E278*$B$4/12</f>
        <v>4731.58494115292</v>
      </c>
      <c r="E279" s="36" t="n">
        <f aca="false">E278-C279</f>
        <v>1023053.00195034</v>
      </c>
    </row>
    <row r="280" customFormat="false" ht="15" hidden="false" customHeight="true" outlineLevel="0" collapsed="false">
      <c r="A280" s="128" t="n">
        <v>272</v>
      </c>
      <c r="B280" s="129" t="n">
        <f aca="false">$B$6</f>
        <v>14024.388333271</v>
      </c>
      <c r="C280" s="129" t="n">
        <f aca="false">B280-D280</f>
        <v>9335.39540766526</v>
      </c>
      <c r="D280" s="129" t="n">
        <f aca="false">E279*$B$4/12</f>
        <v>4688.99292560571</v>
      </c>
      <c r="E280" s="129" t="n">
        <f aca="false">E279-C280</f>
        <v>1013717.60654267</v>
      </c>
    </row>
    <row r="281" customFormat="false" ht="15" hidden="false" customHeight="true" outlineLevel="0" collapsed="false">
      <c r="A281" s="127" t="n">
        <v>273</v>
      </c>
      <c r="B281" s="36" t="n">
        <f aca="false">$B$6</f>
        <v>14024.388333271</v>
      </c>
      <c r="C281" s="36" t="n">
        <f aca="false">B281-D281</f>
        <v>9378.18263661706</v>
      </c>
      <c r="D281" s="36" t="n">
        <f aca="false">E280*$B$4/12</f>
        <v>4646.20569665391</v>
      </c>
      <c r="E281" s="36" t="n">
        <f aca="false">E280-C281</f>
        <v>1004339.42390605</v>
      </c>
    </row>
    <row r="282" customFormat="false" ht="15" hidden="false" customHeight="true" outlineLevel="0" collapsed="false">
      <c r="A282" s="128" t="n">
        <v>274</v>
      </c>
      <c r="B282" s="129" t="n">
        <f aca="false">$B$6</f>
        <v>14024.388333271</v>
      </c>
      <c r="C282" s="129" t="n">
        <f aca="false">B282-D282</f>
        <v>9421.16597370156</v>
      </c>
      <c r="D282" s="129" t="n">
        <f aca="false">E281*$B$4/12</f>
        <v>4603.22235956942</v>
      </c>
      <c r="E282" s="129" t="n">
        <f aca="false">E281-C282</f>
        <v>994918.257932353</v>
      </c>
    </row>
    <row r="283" customFormat="false" ht="15" hidden="false" customHeight="true" outlineLevel="0" collapsed="false">
      <c r="A283" s="127" t="n">
        <v>275</v>
      </c>
      <c r="B283" s="36" t="n">
        <f aca="false">$B$6</f>
        <v>14024.388333271</v>
      </c>
      <c r="C283" s="36" t="n">
        <f aca="false">B283-D283</f>
        <v>9464.34631774769</v>
      </c>
      <c r="D283" s="36" t="n">
        <f aca="false">E282*$B$4/12</f>
        <v>4560.04201552329</v>
      </c>
      <c r="E283" s="36" t="n">
        <f aca="false">E282-C283</f>
        <v>985453.911614606</v>
      </c>
    </row>
    <row r="284" customFormat="false" ht="15" hidden="false" customHeight="true" outlineLevel="0" collapsed="false">
      <c r="A284" s="128" t="n">
        <v>276</v>
      </c>
      <c r="B284" s="129" t="n">
        <f aca="false">$B$6</f>
        <v>14024.388333271</v>
      </c>
      <c r="C284" s="129" t="n">
        <f aca="false">B284-D284</f>
        <v>9507.72457170403</v>
      </c>
      <c r="D284" s="129" t="n">
        <f aca="false">E283*$B$4/12</f>
        <v>4516.66376156694</v>
      </c>
      <c r="E284" s="129" t="n">
        <f aca="false">E283-C284</f>
        <v>975946.187042902</v>
      </c>
    </row>
    <row r="285" customFormat="false" ht="15" hidden="false" customHeight="true" outlineLevel="0" collapsed="false">
      <c r="A285" s="127" t="n">
        <v>277</v>
      </c>
      <c r="B285" s="36" t="n">
        <f aca="false">$B$6</f>
        <v>14024.388333271</v>
      </c>
      <c r="C285" s="36" t="n">
        <f aca="false">B285-D285</f>
        <v>9551.30164265768</v>
      </c>
      <c r="D285" s="36" t="n">
        <f aca="false">E284*$B$4/12</f>
        <v>4473.0866906133</v>
      </c>
      <c r="E285" s="36" t="n">
        <f aca="false">E284-C285</f>
        <v>966394.885400244</v>
      </c>
    </row>
    <row r="286" customFormat="false" ht="15" hidden="false" customHeight="true" outlineLevel="0" collapsed="false">
      <c r="A286" s="128" t="n">
        <v>278</v>
      </c>
      <c r="B286" s="129" t="n">
        <f aca="false">$B$6</f>
        <v>14024.388333271</v>
      </c>
      <c r="C286" s="129" t="n">
        <f aca="false">B286-D286</f>
        <v>9595.07844185319</v>
      </c>
      <c r="D286" s="129" t="n">
        <f aca="false">E285*$B$4/12</f>
        <v>4429.30989141778</v>
      </c>
      <c r="E286" s="129" t="n">
        <f aca="false">E285-C286</f>
        <v>956799.806958391</v>
      </c>
    </row>
    <row r="287" customFormat="false" ht="15" hidden="false" customHeight="true" outlineLevel="0" collapsed="false">
      <c r="A287" s="127" t="n">
        <v>279</v>
      </c>
      <c r="B287" s="36" t="n">
        <f aca="false">$B$6</f>
        <v>14024.388333271</v>
      </c>
      <c r="C287" s="36" t="n">
        <f aca="false">B287-D287</f>
        <v>9639.05588471168</v>
      </c>
      <c r="D287" s="36" t="n">
        <f aca="false">E286*$B$4/12</f>
        <v>4385.33244855929</v>
      </c>
      <c r="E287" s="36" t="n">
        <f aca="false">E286-C287</f>
        <v>947160.751073679</v>
      </c>
    </row>
    <row r="288" customFormat="false" ht="15" hidden="false" customHeight="true" outlineLevel="0" collapsed="false">
      <c r="A288" s="128" t="n">
        <v>280</v>
      </c>
      <c r="B288" s="129" t="n">
        <f aca="false">$B$6</f>
        <v>14024.388333271</v>
      </c>
      <c r="C288" s="129" t="n">
        <f aca="false">B288-D288</f>
        <v>9683.23489084995</v>
      </c>
      <c r="D288" s="129" t="n">
        <f aca="false">E287*$B$4/12</f>
        <v>4341.15344242103</v>
      </c>
      <c r="E288" s="129" t="n">
        <f aca="false">E287-C288</f>
        <v>937477.516182829</v>
      </c>
    </row>
    <row r="289" customFormat="false" ht="15" hidden="false" customHeight="true" outlineLevel="0" collapsed="false">
      <c r="A289" s="127" t="n">
        <v>281</v>
      </c>
      <c r="B289" s="36" t="n">
        <f aca="false">$B$6</f>
        <v>14024.388333271</v>
      </c>
      <c r="C289" s="36" t="n">
        <f aca="false">B289-D289</f>
        <v>9727.61638409968</v>
      </c>
      <c r="D289" s="36" t="n">
        <f aca="false">E288*$B$4/12</f>
        <v>4296.7719491713</v>
      </c>
      <c r="E289" s="36" t="n">
        <f aca="false">E288-C289</f>
        <v>927749.899798729</v>
      </c>
    </row>
    <row r="290" customFormat="false" ht="15" hidden="false" customHeight="true" outlineLevel="0" collapsed="false">
      <c r="A290" s="128" t="n">
        <v>282</v>
      </c>
      <c r="B290" s="129" t="n">
        <f aca="false">$B$6</f>
        <v>14024.388333271</v>
      </c>
      <c r="C290" s="129" t="n">
        <f aca="false">B290-D290</f>
        <v>9772.2012925268</v>
      </c>
      <c r="D290" s="129" t="n">
        <f aca="false">E289*$B$4/12</f>
        <v>4252.18704074418</v>
      </c>
      <c r="E290" s="129" t="n">
        <f aca="false">E289-C290</f>
        <v>917977.698506203</v>
      </c>
    </row>
    <row r="291" customFormat="false" ht="15" hidden="false" customHeight="true" outlineLevel="0" collapsed="false">
      <c r="A291" s="127" t="n">
        <v>283</v>
      </c>
      <c r="B291" s="36" t="n">
        <f aca="false">$B$6</f>
        <v>14024.388333271</v>
      </c>
      <c r="C291" s="36" t="n">
        <f aca="false">B291-D291</f>
        <v>9816.99054845088</v>
      </c>
      <c r="D291" s="36" t="n">
        <f aca="false">E290*$B$4/12</f>
        <v>4207.3977848201</v>
      </c>
      <c r="E291" s="36" t="n">
        <f aca="false">E290-C291</f>
        <v>908160.707957752</v>
      </c>
    </row>
    <row r="292" customFormat="false" ht="15" hidden="false" customHeight="true" outlineLevel="0" collapsed="false">
      <c r="A292" s="128" t="n">
        <v>284</v>
      </c>
      <c r="B292" s="129" t="n">
        <f aca="false">$B$6</f>
        <v>14024.388333271</v>
      </c>
      <c r="C292" s="129" t="n">
        <f aca="false">B292-D292</f>
        <v>9861.98508846462</v>
      </c>
      <c r="D292" s="129" t="n">
        <f aca="false">E291*$B$4/12</f>
        <v>4162.40324480636</v>
      </c>
      <c r="E292" s="129" t="n">
        <f aca="false">E291-C292</f>
        <v>898298.722869287</v>
      </c>
    </row>
    <row r="293" customFormat="false" ht="15" hidden="false" customHeight="true" outlineLevel="0" collapsed="false">
      <c r="A293" s="127" t="n">
        <v>285</v>
      </c>
      <c r="B293" s="36" t="n">
        <f aca="false">$B$6</f>
        <v>14024.388333271</v>
      </c>
      <c r="C293" s="36" t="n">
        <f aca="false">B293-D293</f>
        <v>9907.18585345341</v>
      </c>
      <c r="D293" s="36" t="n">
        <f aca="false">E292*$B$4/12</f>
        <v>4117.20247981757</v>
      </c>
      <c r="E293" s="36" t="n">
        <f aca="false">E292-C293</f>
        <v>888391.537015834</v>
      </c>
    </row>
    <row r="294" customFormat="false" ht="15" hidden="false" customHeight="true" outlineLevel="0" collapsed="false">
      <c r="A294" s="128" t="n">
        <v>286</v>
      </c>
      <c r="B294" s="129" t="n">
        <f aca="false">$B$6</f>
        <v>14024.388333271</v>
      </c>
      <c r="C294" s="129" t="n">
        <f aca="false">B294-D294</f>
        <v>9952.59378861507</v>
      </c>
      <c r="D294" s="129" t="n">
        <f aca="false">E293*$B$4/12</f>
        <v>4071.7945446559</v>
      </c>
      <c r="E294" s="129" t="n">
        <f aca="false">E293-C294</f>
        <v>878438.943227219</v>
      </c>
    </row>
    <row r="295" customFormat="false" ht="15" hidden="false" customHeight="true" outlineLevel="0" collapsed="false">
      <c r="A295" s="127" t="n">
        <v>287</v>
      </c>
      <c r="B295" s="36" t="n">
        <f aca="false">$B$6</f>
        <v>14024.388333271</v>
      </c>
      <c r="C295" s="36" t="n">
        <f aca="false">B295-D295</f>
        <v>9998.20984347956</v>
      </c>
      <c r="D295" s="36" t="n">
        <f aca="false">E294*$B$4/12</f>
        <v>4026.17848979142</v>
      </c>
      <c r="E295" s="36" t="n">
        <f aca="false">E294-C295</f>
        <v>868440.733383739</v>
      </c>
    </row>
    <row r="296" customFormat="false" ht="15" hidden="false" customHeight="true" outlineLevel="0" collapsed="false">
      <c r="A296" s="128" t="n">
        <v>288</v>
      </c>
      <c r="B296" s="129" t="n">
        <f aca="false">$B$6</f>
        <v>14024.388333271</v>
      </c>
      <c r="C296" s="129" t="n">
        <f aca="false">B296-D296</f>
        <v>10044.0349719288</v>
      </c>
      <c r="D296" s="129" t="n">
        <f aca="false">E295*$B$4/12</f>
        <v>3980.35336134214</v>
      </c>
      <c r="E296" s="129" t="n">
        <f aca="false">E295-C296</f>
        <v>858396.69841181</v>
      </c>
    </row>
    <row r="297" customFormat="false" ht="15" hidden="false" customHeight="true" outlineLevel="0" collapsed="false">
      <c r="A297" s="127" t="n">
        <v>289</v>
      </c>
      <c r="B297" s="36" t="n">
        <f aca="false">$B$6</f>
        <v>14024.388333271</v>
      </c>
      <c r="C297" s="36" t="n">
        <f aca="false">B297-D297</f>
        <v>10090.0701322168</v>
      </c>
      <c r="D297" s="36" t="n">
        <f aca="false">E296*$B$4/12</f>
        <v>3934.31820105413</v>
      </c>
      <c r="E297" s="36" t="n">
        <f aca="false">E296-C297</f>
        <v>848306.628279594</v>
      </c>
    </row>
    <row r="298" customFormat="false" ht="15" hidden="false" customHeight="true" outlineLevel="0" collapsed="false">
      <c r="A298" s="128" t="n">
        <v>290</v>
      </c>
      <c r="B298" s="129" t="n">
        <f aca="false">$B$6</f>
        <v>14024.388333271</v>
      </c>
      <c r="C298" s="129" t="n">
        <f aca="false">B298-D298</f>
        <v>10136.3162869895</v>
      </c>
      <c r="D298" s="129" t="n">
        <f aca="false">E297*$B$4/12</f>
        <v>3888.07204628147</v>
      </c>
      <c r="E298" s="129" t="n">
        <f aca="false">E297-C298</f>
        <v>838170.311992604</v>
      </c>
    </row>
    <row r="299" customFormat="false" ht="15" hidden="false" customHeight="true" outlineLevel="0" collapsed="false">
      <c r="A299" s="127" t="n">
        <v>291</v>
      </c>
      <c r="B299" s="36" t="n">
        <f aca="false">$B$6</f>
        <v>14024.388333271</v>
      </c>
      <c r="C299" s="36" t="n">
        <f aca="false">B299-D299</f>
        <v>10182.7744033049</v>
      </c>
      <c r="D299" s="36" t="n">
        <f aca="false">E298*$B$4/12</f>
        <v>3841.6139299661</v>
      </c>
      <c r="E299" s="36" t="n">
        <f aca="false">E298-C299</f>
        <v>827987.537589299</v>
      </c>
    </row>
    <row r="300" customFormat="false" ht="15" hidden="false" customHeight="true" outlineLevel="0" collapsed="false">
      <c r="A300" s="128" t="n">
        <v>292</v>
      </c>
      <c r="B300" s="129" t="n">
        <f aca="false">$B$6</f>
        <v>14024.388333271</v>
      </c>
      <c r="C300" s="129" t="n">
        <f aca="false">B300-D300</f>
        <v>10229.4454526534</v>
      </c>
      <c r="D300" s="129" t="n">
        <f aca="false">E299*$B$4/12</f>
        <v>3794.94288061762</v>
      </c>
      <c r="E300" s="129" t="n">
        <f aca="false">E299-C300</f>
        <v>817758.092136646</v>
      </c>
    </row>
    <row r="301" customFormat="false" ht="15" hidden="false" customHeight="true" outlineLevel="0" collapsed="false">
      <c r="A301" s="127" t="n">
        <v>293</v>
      </c>
      <c r="B301" s="36" t="n">
        <f aca="false">$B$6</f>
        <v>14024.388333271</v>
      </c>
      <c r="C301" s="36" t="n">
        <f aca="false">B301-D301</f>
        <v>10276.330410978</v>
      </c>
      <c r="D301" s="36" t="n">
        <f aca="false">E300*$B$4/12</f>
        <v>3748.05792229296</v>
      </c>
      <c r="E301" s="36" t="n">
        <f aca="false">E300-C301</f>
        <v>807481.761725668</v>
      </c>
    </row>
    <row r="302" customFormat="false" ht="15" hidden="false" customHeight="true" outlineLevel="0" collapsed="false">
      <c r="A302" s="128" t="n">
        <v>294</v>
      </c>
      <c r="B302" s="129" t="n">
        <f aca="false">$B$6</f>
        <v>14024.388333271</v>
      </c>
      <c r="C302" s="129" t="n">
        <f aca="false">B302-D302</f>
        <v>10323.430258695</v>
      </c>
      <c r="D302" s="129" t="n">
        <f aca="false">E301*$B$4/12</f>
        <v>3700.95807457598</v>
      </c>
      <c r="E302" s="129" t="n">
        <f aca="false">E301-C302</f>
        <v>797158.331466973</v>
      </c>
    </row>
    <row r="303" customFormat="false" ht="15" hidden="false" customHeight="true" outlineLevel="0" collapsed="false">
      <c r="A303" s="127" t="n">
        <v>295</v>
      </c>
      <c r="B303" s="36" t="n">
        <f aca="false">$B$6</f>
        <v>14024.388333271</v>
      </c>
      <c r="C303" s="36" t="n">
        <f aca="false">B303-D303</f>
        <v>10370.745980714</v>
      </c>
      <c r="D303" s="36" t="n">
        <f aca="false">E302*$B$4/12</f>
        <v>3653.64235255696</v>
      </c>
      <c r="E303" s="36" t="n">
        <f aca="false">E302-C303</f>
        <v>786787.585486259</v>
      </c>
    </row>
    <row r="304" customFormat="false" ht="15" hidden="false" customHeight="true" outlineLevel="0" collapsed="false">
      <c r="A304" s="128" t="n">
        <v>296</v>
      </c>
      <c r="B304" s="129" t="n">
        <f aca="false">$B$6</f>
        <v>14024.388333271</v>
      </c>
      <c r="C304" s="129" t="n">
        <f aca="false">B304-D304</f>
        <v>10418.278566459</v>
      </c>
      <c r="D304" s="129" t="n">
        <f aca="false">E303*$B$4/12</f>
        <v>3606.10976681202</v>
      </c>
      <c r="E304" s="129" t="n">
        <f aca="false">E303-C304</f>
        <v>776369.3069198</v>
      </c>
    </row>
    <row r="305" customFormat="false" ht="15" hidden="false" customHeight="true" outlineLevel="0" collapsed="false">
      <c r="A305" s="127" t="n">
        <v>297</v>
      </c>
      <c r="B305" s="36" t="n">
        <f aca="false">$B$6</f>
        <v>14024.388333271</v>
      </c>
      <c r="C305" s="36" t="n">
        <f aca="false">B305-D305</f>
        <v>10466.0290098886</v>
      </c>
      <c r="D305" s="36" t="n">
        <f aca="false">E304*$B$4/12</f>
        <v>3558.35932338242</v>
      </c>
      <c r="E305" s="36" t="n">
        <f aca="false">E304-C305</f>
        <v>765903.277909911</v>
      </c>
    </row>
    <row r="306" customFormat="false" ht="15" hidden="false" customHeight="true" outlineLevel="0" collapsed="false">
      <c r="A306" s="128" t="n">
        <v>298</v>
      </c>
      <c r="B306" s="129" t="n">
        <f aca="false">$B$6</f>
        <v>14024.388333271</v>
      </c>
      <c r="C306" s="129" t="n">
        <f aca="false">B306-D306</f>
        <v>10513.9983095172</v>
      </c>
      <c r="D306" s="129" t="n">
        <f aca="false">E305*$B$4/12</f>
        <v>3510.39002375376</v>
      </c>
      <c r="E306" s="129" t="n">
        <f aca="false">E305-C306</f>
        <v>755389.279600394</v>
      </c>
    </row>
    <row r="307" customFormat="false" ht="15" hidden="false" customHeight="true" outlineLevel="0" collapsed="false">
      <c r="A307" s="127" t="n">
        <v>299</v>
      </c>
      <c r="B307" s="36" t="n">
        <f aca="false">$B$6</f>
        <v>14024.388333271</v>
      </c>
      <c r="C307" s="36" t="n">
        <f aca="false">B307-D307</f>
        <v>10562.1874684358</v>
      </c>
      <c r="D307" s="36" t="n">
        <f aca="false">E306*$B$4/12</f>
        <v>3462.20086483514</v>
      </c>
      <c r="E307" s="36" t="n">
        <f aca="false">E306-C307</f>
        <v>744827.092131958</v>
      </c>
    </row>
    <row r="308" customFormat="false" ht="15" hidden="false" customHeight="true" outlineLevel="0" collapsed="false">
      <c r="A308" s="128" t="n">
        <v>300</v>
      </c>
      <c r="B308" s="129" t="n">
        <f aca="false">$B$6</f>
        <v>14024.388333271</v>
      </c>
      <c r="C308" s="129" t="n">
        <f aca="false">B308-D308</f>
        <v>10610.5974943328</v>
      </c>
      <c r="D308" s="129" t="n">
        <f aca="false">E307*$B$4/12</f>
        <v>3413.79083893814</v>
      </c>
      <c r="E308" s="129" t="n">
        <f aca="false">E307-C308</f>
        <v>734216.494637625</v>
      </c>
    </row>
    <row r="309" customFormat="false" ht="15" hidden="false" customHeight="true" outlineLevel="0" collapsed="false">
      <c r="A309" s="127" t="n">
        <v>301</v>
      </c>
      <c r="B309" s="36" t="n">
        <f aca="false">$B$6</f>
        <v>14024.388333271</v>
      </c>
      <c r="C309" s="36" t="n">
        <f aca="false">B309-D309</f>
        <v>10659.2293995152</v>
      </c>
      <c r="D309" s="36" t="n">
        <f aca="false">E308*$B$4/12</f>
        <v>3365.15893375578</v>
      </c>
      <c r="E309" s="36" t="n">
        <f aca="false">E308-C309</f>
        <v>723557.26523811</v>
      </c>
    </row>
    <row r="310" customFormat="false" ht="15" hidden="false" customHeight="true" outlineLevel="0" collapsed="false">
      <c r="A310" s="128" t="n">
        <v>302</v>
      </c>
      <c r="B310" s="129" t="n">
        <f aca="false">$B$6</f>
        <v>14024.388333271</v>
      </c>
      <c r="C310" s="129" t="n">
        <f aca="false">B310-D310</f>
        <v>10708.0842009296</v>
      </c>
      <c r="D310" s="129" t="n">
        <f aca="false">E309*$B$4/12</f>
        <v>3316.30413234134</v>
      </c>
      <c r="E310" s="129" t="n">
        <f aca="false">E309-C310</f>
        <v>712849.181037181</v>
      </c>
    </row>
    <row r="311" customFormat="false" ht="15" hidden="false" customHeight="true" outlineLevel="0" collapsed="false">
      <c r="A311" s="127" t="n">
        <v>303</v>
      </c>
      <c r="B311" s="36" t="n">
        <f aca="false">$B$6</f>
        <v>14024.388333271</v>
      </c>
      <c r="C311" s="36" t="n">
        <f aca="false">B311-D311</f>
        <v>10757.1629201839</v>
      </c>
      <c r="D311" s="36" t="n">
        <f aca="false">E310*$B$4/12</f>
        <v>3267.22541308708</v>
      </c>
      <c r="E311" s="36" t="n">
        <f aca="false">E310-C311</f>
        <v>702092.018116997</v>
      </c>
    </row>
    <row r="312" customFormat="false" ht="15" hidden="false" customHeight="true" outlineLevel="0" collapsed="false">
      <c r="A312" s="128" t="n">
        <v>304</v>
      </c>
      <c r="B312" s="129" t="n">
        <f aca="false">$B$6</f>
        <v>14024.388333271</v>
      </c>
      <c r="C312" s="129" t="n">
        <f aca="false">B312-D312</f>
        <v>10806.4665835681</v>
      </c>
      <c r="D312" s="129" t="n">
        <f aca="false">E311*$B$4/12</f>
        <v>3217.9217497029</v>
      </c>
      <c r="E312" s="129" t="n">
        <f aca="false">E311-C312</f>
        <v>691285.551533429</v>
      </c>
    </row>
    <row r="313" customFormat="false" ht="15" hidden="false" customHeight="true" outlineLevel="0" collapsed="false">
      <c r="A313" s="127" t="n">
        <v>305</v>
      </c>
      <c r="B313" s="36" t="n">
        <f aca="false">$B$6</f>
        <v>14024.388333271</v>
      </c>
      <c r="C313" s="36" t="n">
        <f aca="false">B313-D313</f>
        <v>10855.9962220761</v>
      </c>
      <c r="D313" s="36" t="n">
        <f aca="false">E312*$B$4/12</f>
        <v>3168.39211119488</v>
      </c>
      <c r="E313" s="36" t="n">
        <f aca="false">E312-C313</f>
        <v>680429.555311353</v>
      </c>
    </row>
    <row r="314" customFormat="false" ht="15" hidden="false" customHeight="true" outlineLevel="0" collapsed="false">
      <c r="A314" s="128" t="n">
        <v>306</v>
      </c>
      <c r="B314" s="129" t="n">
        <f aca="false">$B$6</f>
        <v>14024.388333271</v>
      </c>
      <c r="C314" s="129" t="n">
        <f aca="false">B314-D314</f>
        <v>10905.7528714273</v>
      </c>
      <c r="D314" s="129" t="n">
        <f aca="false">E313*$B$4/12</f>
        <v>3118.6354618437</v>
      </c>
      <c r="E314" s="129" t="n">
        <f aca="false">E313-C314</f>
        <v>669523.802439925</v>
      </c>
    </row>
    <row r="315" customFormat="false" ht="15" hidden="false" customHeight="true" outlineLevel="0" collapsed="false">
      <c r="A315" s="127" t="n">
        <v>307</v>
      </c>
      <c r="B315" s="36" t="n">
        <f aca="false">$B$6</f>
        <v>14024.388333271</v>
      </c>
      <c r="C315" s="36" t="n">
        <f aca="false">B315-D315</f>
        <v>10955.737572088</v>
      </c>
      <c r="D315" s="36" t="n">
        <f aca="false">E314*$B$4/12</f>
        <v>3068.65076118299</v>
      </c>
      <c r="E315" s="36" t="n">
        <f aca="false">E314-C315</f>
        <v>658568.064867837</v>
      </c>
    </row>
    <row r="316" customFormat="false" ht="15" hidden="false" customHeight="true" outlineLevel="0" collapsed="false">
      <c r="A316" s="128" t="n">
        <v>308</v>
      </c>
      <c r="B316" s="129" t="n">
        <f aca="false">$B$6</f>
        <v>14024.388333271</v>
      </c>
      <c r="C316" s="129" t="n">
        <f aca="false">B316-D316</f>
        <v>11005.9513692934</v>
      </c>
      <c r="D316" s="129" t="n">
        <f aca="false">E315*$B$4/12</f>
        <v>3018.43696397759</v>
      </c>
      <c r="E316" s="129" t="n">
        <f aca="false">E315-C316</f>
        <v>647562.113498544</v>
      </c>
    </row>
    <row r="317" customFormat="false" ht="15" hidden="false" customHeight="true" outlineLevel="0" collapsed="false">
      <c r="A317" s="127" t="n">
        <v>309</v>
      </c>
      <c r="B317" s="36" t="n">
        <f aca="false">$B$6</f>
        <v>14024.388333271</v>
      </c>
      <c r="C317" s="36" t="n">
        <f aca="false">B317-D317</f>
        <v>11056.3953130693</v>
      </c>
      <c r="D317" s="36" t="n">
        <f aca="false">E316*$B$4/12</f>
        <v>2967.99302020166</v>
      </c>
      <c r="E317" s="36" t="n">
        <f aca="false">E316-C317</f>
        <v>636505.718185475</v>
      </c>
    </row>
    <row r="318" customFormat="false" ht="15" hidden="false" customHeight="true" outlineLevel="0" collapsed="false">
      <c r="A318" s="128" t="n">
        <v>310</v>
      </c>
      <c r="B318" s="129" t="n">
        <f aca="false">$B$6</f>
        <v>14024.388333271</v>
      </c>
      <c r="C318" s="129" t="n">
        <f aca="false">B318-D318</f>
        <v>11107.0704582542</v>
      </c>
      <c r="D318" s="129" t="n">
        <f aca="false">E317*$B$4/12</f>
        <v>2917.31787501676</v>
      </c>
      <c r="E318" s="129" t="n">
        <f aca="false">E317-C318</f>
        <v>625398.64772722</v>
      </c>
    </row>
    <row r="319" customFormat="false" ht="15" hidden="false" customHeight="true" outlineLevel="0" collapsed="false">
      <c r="A319" s="127" t="n">
        <v>311</v>
      </c>
      <c r="B319" s="36" t="n">
        <f aca="false">$B$6</f>
        <v>14024.388333271</v>
      </c>
      <c r="C319" s="36" t="n">
        <f aca="false">B319-D319</f>
        <v>11157.9778645212</v>
      </c>
      <c r="D319" s="36" t="n">
        <f aca="false">E318*$B$4/12</f>
        <v>2866.41046874976</v>
      </c>
      <c r="E319" s="36" t="n">
        <f aca="false">E318-C319</f>
        <v>614240.669862699</v>
      </c>
    </row>
    <row r="320" customFormat="false" ht="15" hidden="false" customHeight="true" outlineLevel="0" collapsed="false">
      <c r="A320" s="128" t="n">
        <v>312</v>
      </c>
      <c r="B320" s="129" t="n">
        <f aca="false">$B$6</f>
        <v>14024.388333271</v>
      </c>
      <c r="C320" s="129" t="n">
        <f aca="false">B320-D320</f>
        <v>11209.1185964003</v>
      </c>
      <c r="D320" s="129" t="n">
        <f aca="false">E319*$B$4/12</f>
        <v>2815.26973687071</v>
      </c>
      <c r="E320" s="129" t="n">
        <f aca="false">E319-C320</f>
        <v>603031.551266299</v>
      </c>
    </row>
    <row r="321" customFormat="false" ht="15" hidden="false" customHeight="true" outlineLevel="0" collapsed="false">
      <c r="A321" s="127" t="n">
        <v>313</v>
      </c>
      <c r="B321" s="36" t="n">
        <f aca="false">$B$6</f>
        <v>14024.388333271</v>
      </c>
      <c r="C321" s="36" t="n">
        <f aca="false">B321-D321</f>
        <v>11260.4937233004</v>
      </c>
      <c r="D321" s="36" t="n">
        <f aca="false">E320*$B$4/12</f>
        <v>2763.89460997054</v>
      </c>
      <c r="E321" s="36" t="n">
        <f aca="false">E320-C321</f>
        <v>591771.057542999</v>
      </c>
    </row>
    <row r="322" customFormat="false" ht="15" hidden="false" customHeight="true" outlineLevel="0" collapsed="false">
      <c r="A322" s="128" t="n">
        <v>314</v>
      </c>
      <c r="B322" s="129" t="n">
        <f aca="false">$B$6</f>
        <v>14024.388333271</v>
      </c>
      <c r="C322" s="129" t="n">
        <f aca="false">B322-D322</f>
        <v>11312.1043195322</v>
      </c>
      <c r="D322" s="129" t="n">
        <f aca="false">E321*$B$4/12</f>
        <v>2712.28401373874</v>
      </c>
      <c r="E322" s="129" t="n">
        <f aca="false">E321-C322</f>
        <v>580458.953223466</v>
      </c>
    </row>
    <row r="323" customFormat="false" ht="15" hidden="false" customHeight="true" outlineLevel="0" collapsed="false">
      <c r="A323" s="127" t="n">
        <v>315</v>
      </c>
      <c r="B323" s="36" t="n">
        <f aca="false">$B$6</f>
        <v>14024.388333271</v>
      </c>
      <c r="C323" s="36" t="n">
        <f aca="false">B323-D323</f>
        <v>11363.9514643301</v>
      </c>
      <c r="D323" s="36" t="n">
        <f aca="false">E322*$B$4/12</f>
        <v>2660.43686894089</v>
      </c>
      <c r="E323" s="36" t="n">
        <f aca="false">E322-C323</f>
        <v>569095.001759136</v>
      </c>
    </row>
    <row r="324" customFormat="false" ht="15" hidden="false" customHeight="true" outlineLevel="0" collapsed="false">
      <c r="A324" s="128" t="n">
        <v>316</v>
      </c>
      <c r="B324" s="129" t="n">
        <f aca="false">$B$6</f>
        <v>14024.388333271</v>
      </c>
      <c r="C324" s="129" t="n">
        <f aca="false">B324-D324</f>
        <v>11416.0362418749</v>
      </c>
      <c r="D324" s="129" t="n">
        <f aca="false">E323*$B$4/12</f>
        <v>2608.35209139604</v>
      </c>
      <c r="E324" s="129" t="n">
        <f aca="false">E323-C324</f>
        <v>557678.965517261</v>
      </c>
    </row>
    <row r="325" customFormat="false" ht="15" hidden="false" customHeight="true" outlineLevel="0" collapsed="false">
      <c r="A325" s="127" t="n">
        <v>317</v>
      </c>
      <c r="B325" s="36" t="n">
        <f aca="false">$B$6</f>
        <v>14024.388333271</v>
      </c>
      <c r="C325" s="36" t="n">
        <f aca="false">B325-D325</f>
        <v>11468.3597413169</v>
      </c>
      <c r="D325" s="36" t="n">
        <f aca="false">E324*$B$4/12</f>
        <v>2556.02859195411</v>
      </c>
      <c r="E325" s="36" t="n">
        <f aca="false">E324-C325</f>
        <v>546210.605775944</v>
      </c>
    </row>
    <row r="326" customFormat="false" ht="15" hidden="false" customHeight="true" outlineLevel="0" collapsed="false">
      <c r="A326" s="128" t="n">
        <v>318</v>
      </c>
      <c r="B326" s="129" t="n">
        <f aca="false">$B$6</f>
        <v>14024.388333271</v>
      </c>
      <c r="C326" s="129" t="n">
        <f aca="false">B326-D326</f>
        <v>11520.9230567979</v>
      </c>
      <c r="D326" s="129" t="n">
        <f aca="false">E325*$B$4/12</f>
        <v>2503.46527647308</v>
      </c>
      <c r="E326" s="129" t="n">
        <f aca="false">E325-C326</f>
        <v>534689.682719147</v>
      </c>
    </row>
    <row r="327" customFormat="false" ht="15" hidden="false" customHeight="true" outlineLevel="0" collapsed="false">
      <c r="A327" s="127" t="n">
        <v>319</v>
      </c>
      <c r="B327" s="36" t="n">
        <f aca="false">$B$6</f>
        <v>14024.388333271</v>
      </c>
      <c r="C327" s="36" t="n">
        <f aca="false">B327-D327</f>
        <v>11573.7272874749</v>
      </c>
      <c r="D327" s="36" t="n">
        <f aca="false">E326*$B$4/12</f>
        <v>2450.66104579609</v>
      </c>
      <c r="E327" s="36" t="n">
        <f aca="false">E326-C327</f>
        <v>523115.955431672</v>
      </c>
    </row>
    <row r="328" customFormat="false" ht="15" hidden="false" customHeight="true" outlineLevel="0" collapsed="false">
      <c r="A328" s="128" t="n">
        <v>320</v>
      </c>
      <c r="B328" s="129" t="n">
        <f aca="false">$B$6</f>
        <v>14024.388333271</v>
      </c>
      <c r="C328" s="129" t="n">
        <f aca="false">B328-D328</f>
        <v>11626.7735375425</v>
      </c>
      <c r="D328" s="129" t="n">
        <f aca="false">E327*$B$4/12</f>
        <v>2397.61479572849</v>
      </c>
      <c r="E328" s="129" t="n">
        <f aca="false">E327-C328</f>
        <v>511489.181894129</v>
      </c>
    </row>
    <row r="329" customFormat="false" ht="15" hidden="false" customHeight="true" outlineLevel="0" collapsed="false">
      <c r="A329" s="127" t="n">
        <v>321</v>
      </c>
      <c r="B329" s="36" t="n">
        <f aca="false">$B$6</f>
        <v>14024.388333271</v>
      </c>
      <c r="C329" s="36" t="n">
        <f aca="false">B329-D329</f>
        <v>11680.0629162562</v>
      </c>
      <c r="D329" s="36" t="n">
        <f aca="false">E328*$B$4/12</f>
        <v>2344.32541701476</v>
      </c>
      <c r="E329" s="36" t="n">
        <f aca="false">E328-C329</f>
        <v>499809.118977873</v>
      </c>
    </row>
    <row r="330" customFormat="false" ht="15" hidden="false" customHeight="true" outlineLevel="0" collapsed="false">
      <c r="A330" s="128" t="n">
        <v>322</v>
      </c>
      <c r="B330" s="129" t="n">
        <f aca="false">$B$6</f>
        <v>14024.388333271</v>
      </c>
      <c r="C330" s="129" t="n">
        <f aca="false">B330-D330</f>
        <v>11733.5965379557</v>
      </c>
      <c r="D330" s="129" t="n">
        <f aca="false">E329*$B$4/12</f>
        <v>2290.79179531525</v>
      </c>
      <c r="E330" s="129" t="n">
        <f aca="false">E329-C330</f>
        <v>488075.522439917</v>
      </c>
    </row>
    <row r="331" customFormat="false" ht="15" hidden="false" customHeight="true" outlineLevel="0" collapsed="false">
      <c r="A331" s="127" t="n">
        <v>323</v>
      </c>
      <c r="B331" s="36" t="n">
        <f aca="false">$B$6</f>
        <v>14024.388333271</v>
      </c>
      <c r="C331" s="36" t="n">
        <f aca="false">B331-D331</f>
        <v>11787.375522088</v>
      </c>
      <c r="D331" s="36" t="n">
        <f aca="false">E330*$B$4/12</f>
        <v>2237.01281118295</v>
      </c>
      <c r="E331" s="36" t="n">
        <f aca="false">E330-C331</f>
        <v>476288.146917829</v>
      </c>
    </row>
    <row r="332" customFormat="false" ht="15" hidden="false" customHeight="true" outlineLevel="0" collapsed="false">
      <c r="A332" s="128" t="n">
        <v>324</v>
      </c>
      <c r="B332" s="129" t="n">
        <f aca="false">$B$6</f>
        <v>14024.388333271</v>
      </c>
      <c r="C332" s="129" t="n">
        <f aca="false">B332-D332</f>
        <v>11841.4009932309</v>
      </c>
      <c r="D332" s="129" t="n">
        <f aca="false">E331*$B$4/12</f>
        <v>2182.98734004005</v>
      </c>
      <c r="E332" s="129" t="n">
        <f aca="false">E331-C332</f>
        <v>464446.745924598</v>
      </c>
    </row>
    <row r="333" customFormat="false" ht="15" hidden="false" customHeight="true" outlineLevel="0" collapsed="false">
      <c r="A333" s="127" t="n">
        <v>325</v>
      </c>
      <c r="B333" s="36" t="n">
        <f aca="false">$B$6</f>
        <v>14024.388333271</v>
      </c>
      <c r="C333" s="36" t="n">
        <f aca="false">B333-D333</f>
        <v>11895.6740811166</v>
      </c>
      <c r="D333" s="36" t="n">
        <f aca="false">E332*$B$4/12</f>
        <v>2128.71425215441</v>
      </c>
      <c r="E333" s="36" t="n">
        <f aca="false">E332-C333</f>
        <v>452551.071843482</v>
      </c>
    </row>
    <row r="334" customFormat="false" ht="15" hidden="false" customHeight="true" outlineLevel="0" collapsed="false">
      <c r="A334" s="128" t="n">
        <v>326</v>
      </c>
      <c r="B334" s="129" t="n">
        <f aca="false">$B$6</f>
        <v>14024.388333271</v>
      </c>
      <c r="C334" s="129" t="n">
        <f aca="false">B334-D334</f>
        <v>11950.195920655</v>
      </c>
      <c r="D334" s="129" t="n">
        <f aca="false">E333*$B$4/12</f>
        <v>2074.19241261596</v>
      </c>
      <c r="E334" s="129" t="n">
        <f aca="false">E333-C334</f>
        <v>440600.875922827</v>
      </c>
    </row>
    <row r="335" customFormat="false" ht="15" hidden="false" customHeight="true" outlineLevel="0" collapsed="false">
      <c r="A335" s="127" t="n">
        <v>327</v>
      </c>
      <c r="B335" s="36" t="n">
        <f aca="false">$B$6</f>
        <v>14024.388333271</v>
      </c>
      <c r="C335" s="36" t="n">
        <f aca="false">B335-D335</f>
        <v>12004.967651958</v>
      </c>
      <c r="D335" s="36" t="n">
        <f aca="false">E334*$B$4/12</f>
        <v>2019.42068131296</v>
      </c>
      <c r="E335" s="36" t="n">
        <f aca="false">E334-C335</f>
        <v>428595.908270869</v>
      </c>
    </row>
    <row r="336" customFormat="false" ht="15" hidden="false" customHeight="true" outlineLevel="0" collapsed="false">
      <c r="A336" s="128" t="n">
        <v>328</v>
      </c>
      <c r="B336" s="129" t="n">
        <f aca="false">$B$6</f>
        <v>14024.388333271</v>
      </c>
      <c r="C336" s="129" t="n">
        <f aca="false">B336-D336</f>
        <v>12059.9904203628</v>
      </c>
      <c r="D336" s="129" t="n">
        <f aca="false">E335*$B$4/12</f>
        <v>1964.39791290815</v>
      </c>
      <c r="E336" s="129" t="n">
        <f aca="false">E335-C336</f>
        <v>416535.917850506</v>
      </c>
    </row>
    <row r="337" customFormat="false" ht="15" hidden="false" customHeight="true" outlineLevel="0" collapsed="false">
      <c r="A337" s="127" t="n">
        <v>329</v>
      </c>
      <c r="B337" s="36" t="n">
        <f aca="false">$B$6</f>
        <v>14024.388333271</v>
      </c>
      <c r="C337" s="36" t="n">
        <f aca="false">B337-D337</f>
        <v>12115.2653764562</v>
      </c>
      <c r="D337" s="36" t="n">
        <f aca="false">E336*$B$4/12</f>
        <v>1909.12295681482</v>
      </c>
      <c r="E337" s="36" t="n">
        <f aca="false">E336-C337</f>
        <v>404420.65247405</v>
      </c>
    </row>
    <row r="338" customFormat="false" ht="15" hidden="false" customHeight="true" outlineLevel="0" collapsed="false">
      <c r="A338" s="128" t="n">
        <v>330</v>
      </c>
      <c r="B338" s="129" t="n">
        <f aca="false">$B$6</f>
        <v>14024.388333271</v>
      </c>
      <c r="C338" s="129" t="n">
        <f aca="false">B338-D338</f>
        <v>12170.7936760982</v>
      </c>
      <c r="D338" s="129" t="n">
        <f aca="false">E337*$B$4/12</f>
        <v>1853.59465717273</v>
      </c>
      <c r="E338" s="129" t="n">
        <f aca="false">E337-C338</f>
        <v>392249.858797951</v>
      </c>
    </row>
    <row r="339" customFormat="false" ht="15" hidden="false" customHeight="true" outlineLevel="0" collapsed="false">
      <c r="A339" s="127" t="n">
        <v>331</v>
      </c>
      <c r="B339" s="36" t="n">
        <f aca="false">$B$6</f>
        <v>14024.388333271</v>
      </c>
      <c r="C339" s="36" t="n">
        <f aca="false">B339-D339</f>
        <v>12226.576480447</v>
      </c>
      <c r="D339" s="36" t="n">
        <f aca="false">E338*$B$4/12</f>
        <v>1797.81185282394</v>
      </c>
      <c r="E339" s="36" t="n">
        <f aca="false">E338-C339</f>
        <v>380023.282317504</v>
      </c>
    </row>
    <row r="340" customFormat="false" ht="15" hidden="false" customHeight="true" outlineLevel="0" collapsed="false">
      <c r="A340" s="128" t="n">
        <v>332</v>
      </c>
      <c r="B340" s="129" t="n">
        <f aca="false">$B$6</f>
        <v>14024.388333271</v>
      </c>
      <c r="C340" s="129" t="n">
        <f aca="false">B340-D340</f>
        <v>12282.6149559824</v>
      </c>
      <c r="D340" s="129" t="n">
        <f aca="false">E339*$B$4/12</f>
        <v>1741.77337728856</v>
      </c>
      <c r="E340" s="129" t="n">
        <f aca="false">E339-C340</f>
        <v>367740.667361522</v>
      </c>
    </row>
    <row r="341" customFormat="false" ht="15" hidden="false" customHeight="true" outlineLevel="0" collapsed="false">
      <c r="A341" s="127" t="n">
        <v>333</v>
      </c>
      <c r="B341" s="36" t="n">
        <f aca="false">$B$6</f>
        <v>14024.388333271</v>
      </c>
      <c r="C341" s="36" t="n">
        <f aca="false">B341-D341</f>
        <v>12338.9102745307</v>
      </c>
      <c r="D341" s="36" t="n">
        <f aca="false">E340*$B$4/12</f>
        <v>1685.47805874031</v>
      </c>
      <c r="E341" s="36" t="n">
        <f aca="false">E340-C341</f>
        <v>355401.757086991</v>
      </c>
    </row>
    <row r="342" customFormat="false" ht="15" hidden="false" customHeight="true" outlineLevel="0" collapsed="false">
      <c r="A342" s="128" t="n">
        <v>334</v>
      </c>
      <c r="B342" s="129" t="n">
        <f aca="false">$B$6</f>
        <v>14024.388333271</v>
      </c>
      <c r="C342" s="129" t="n">
        <f aca="false">B342-D342</f>
        <v>12395.4636132889</v>
      </c>
      <c r="D342" s="129" t="n">
        <f aca="false">E341*$B$4/12</f>
        <v>1628.92471998204</v>
      </c>
      <c r="E342" s="129" t="n">
        <f aca="false">E341-C342</f>
        <v>343006.293473702</v>
      </c>
    </row>
    <row r="343" customFormat="false" ht="15" hidden="false" customHeight="true" outlineLevel="0" collapsed="false">
      <c r="A343" s="127" t="n">
        <v>335</v>
      </c>
      <c r="B343" s="36" t="n">
        <f aca="false">$B$6</f>
        <v>14024.388333271</v>
      </c>
      <c r="C343" s="36" t="n">
        <f aca="false">B343-D343</f>
        <v>12452.2761548498</v>
      </c>
      <c r="D343" s="36" t="n">
        <f aca="false">E342*$B$4/12</f>
        <v>1572.11217842114</v>
      </c>
      <c r="E343" s="36" t="n">
        <f aca="false">E342-C343</f>
        <v>330554.017318853</v>
      </c>
    </row>
    <row r="344" customFormat="false" ht="15" hidden="false" customHeight="true" outlineLevel="0" collapsed="false">
      <c r="A344" s="128" t="n">
        <v>336</v>
      </c>
      <c r="B344" s="129" t="n">
        <f aca="false">$B$6</f>
        <v>14024.388333271</v>
      </c>
      <c r="C344" s="129" t="n">
        <f aca="false">B344-D344</f>
        <v>12509.3490872262</v>
      </c>
      <c r="D344" s="129" t="n">
        <f aca="false">E343*$B$4/12</f>
        <v>1515.03924604474</v>
      </c>
      <c r="E344" s="129" t="n">
        <f aca="false">E343-C344</f>
        <v>318044.668231626</v>
      </c>
    </row>
    <row r="345" customFormat="false" ht="15" hidden="false" customHeight="true" outlineLevel="0" collapsed="false">
      <c r="A345" s="127" t="n">
        <v>337</v>
      </c>
      <c r="B345" s="36" t="n">
        <f aca="false">$B$6</f>
        <v>14024.388333271</v>
      </c>
      <c r="C345" s="36" t="n">
        <f aca="false">B345-D345</f>
        <v>12566.683603876</v>
      </c>
      <c r="D345" s="36" t="n">
        <f aca="false">E344*$B$4/12</f>
        <v>1457.70472939495</v>
      </c>
      <c r="E345" s="36" t="n">
        <f aca="false">E344-C345</f>
        <v>305477.98462775</v>
      </c>
    </row>
    <row r="346" customFormat="false" ht="15" hidden="false" customHeight="true" outlineLevel="0" collapsed="false">
      <c r="A346" s="128" t="n">
        <v>338</v>
      </c>
      <c r="B346" s="129" t="n">
        <f aca="false">$B$6</f>
        <v>14024.388333271</v>
      </c>
      <c r="C346" s="129" t="n">
        <f aca="false">B346-D346</f>
        <v>12624.2809037271</v>
      </c>
      <c r="D346" s="129" t="n">
        <f aca="false">E345*$B$4/12</f>
        <v>1400.10742954386</v>
      </c>
      <c r="E346" s="129" t="n">
        <f aca="false">E345-C346</f>
        <v>292853.703724023</v>
      </c>
    </row>
    <row r="347" customFormat="false" ht="15" hidden="false" customHeight="true" outlineLevel="0" collapsed="false">
      <c r="A347" s="127" t="n">
        <v>339</v>
      </c>
      <c r="B347" s="36" t="n">
        <f aca="false">$B$6</f>
        <v>14024.388333271</v>
      </c>
      <c r="C347" s="36" t="n">
        <f aca="false">B347-D347</f>
        <v>12682.1421912025</v>
      </c>
      <c r="D347" s="36" t="n">
        <f aca="false">E346*$B$4/12</f>
        <v>1342.24614206844</v>
      </c>
      <c r="E347" s="36" t="n">
        <f aca="false">E346-C347</f>
        <v>280171.561532821</v>
      </c>
    </row>
    <row r="348" customFormat="false" ht="15" hidden="false" customHeight="true" outlineLevel="0" collapsed="false">
      <c r="A348" s="128" t="n">
        <v>340</v>
      </c>
      <c r="B348" s="129" t="n">
        <f aca="false">$B$6</f>
        <v>14024.388333271</v>
      </c>
      <c r="C348" s="129" t="n">
        <f aca="false">B348-D348</f>
        <v>12740.2686762455</v>
      </c>
      <c r="D348" s="129" t="n">
        <f aca="false">E347*$B$4/12</f>
        <v>1284.11965702543</v>
      </c>
      <c r="E348" s="129" t="n">
        <f aca="false">E347-C348</f>
        <v>267431.292856575</v>
      </c>
    </row>
    <row r="349" customFormat="false" ht="15" hidden="false" customHeight="true" outlineLevel="0" collapsed="false">
      <c r="A349" s="127" t="n">
        <v>341</v>
      </c>
      <c r="B349" s="36" t="n">
        <f aca="false">$B$6</f>
        <v>14024.388333271</v>
      </c>
      <c r="C349" s="36" t="n">
        <f aca="false">B349-D349</f>
        <v>12798.661574345</v>
      </c>
      <c r="D349" s="36" t="n">
        <f aca="false">E348*$B$4/12</f>
        <v>1225.72675892597</v>
      </c>
      <c r="E349" s="36" t="n">
        <f aca="false">E348-C349</f>
        <v>254632.63128223</v>
      </c>
    </row>
    <row r="350" customFormat="false" ht="15" hidden="false" customHeight="true" outlineLevel="0" collapsed="false">
      <c r="A350" s="128" t="n">
        <v>342</v>
      </c>
      <c r="B350" s="129" t="n">
        <f aca="false">$B$6</f>
        <v>14024.388333271</v>
      </c>
      <c r="C350" s="129" t="n">
        <f aca="false">B350-D350</f>
        <v>12857.3221065608</v>
      </c>
      <c r="D350" s="129" t="n">
        <f aca="false">E349*$B$4/12</f>
        <v>1167.06622671022</v>
      </c>
      <c r="E350" s="129" t="n">
        <f aca="false">E349-C350</f>
        <v>241775.309175669</v>
      </c>
    </row>
    <row r="351" customFormat="false" ht="15" hidden="false" customHeight="true" outlineLevel="0" collapsed="false">
      <c r="A351" s="127" t="n">
        <v>343</v>
      </c>
      <c r="B351" s="36" t="n">
        <f aca="false">$B$6</f>
        <v>14024.388333271</v>
      </c>
      <c r="C351" s="36" t="n">
        <f aca="false">B351-D351</f>
        <v>12916.2514995492</v>
      </c>
      <c r="D351" s="36" t="n">
        <f aca="false">E350*$B$4/12</f>
        <v>1108.13683372182</v>
      </c>
      <c r="E351" s="36" t="n">
        <f aca="false">E350-C351</f>
        <v>228859.05767612</v>
      </c>
    </row>
    <row r="352" customFormat="false" ht="15" hidden="false" customHeight="true" outlineLevel="0" collapsed="false">
      <c r="A352" s="128" t="n">
        <v>344</v>
      </c>
      <c r="B352" s="129" t="n">
        <f aca="false">$B$6</f>
        <v>14024.388333271</v>
      </c>
      <c r="C352" s="129" t="n">
        <f aca="false">B352-D352</f>
        <v>12975.4509855888</v>
      </c>
      <c r="D352" s="129" t="n">
        <f aca="false">E351*$B$4/12</f>
        <v>1048.93734768222</v>
      </c>
      <c r="E352" s="129" t="n">
        <f aca="false">E351-C352</f>
        <v>215883.606690531</v>
      </c>
    </row>
    <row r="353" customFormat="false" ht="15" hidden="false" customHeight="true" outlineLevel="0" collapsed="false">
      <c r="A353" s="127" t="n">
        <v>345</v>
      </c>
      <c r="B353" s="36" t="n">
        <f aca="false">$B$6</f>
        <v>14024.388333271</v>
      </c>
      <c r="C353" s="36" t="n">
        <f aca="false">B353-D353</f>
        <v>13034.921802606</v>
      </c>
      <c r="D353" s="36" t="n">
        <f aca="false">E352*$B$4/12</f>
        <v>989.466530664935</v>
      </c>
      <c r="E353" s="36" t="n">
        <f aca="false">E352-C353</f>
        <v>202848.684887925</v>
      </c>
    </row>
    <row r="354" customFormat="false" ht="15" hidden="false" customHeight="true" outlineLevel="0" collapsed="false">
      <c r="A354" s="128" t="n">
        <v>346</v>
      </c>
      <c r="B354" s="129" t="n">
        <f aca="false">$B$6</f>
        <v>14024.388333271</v>
      </c>
      <c r="C354" s="129" t="n">
        <f aca="false">B354-D354</f>
        <v>13094.6651942013</v>
      </c>
      <c r="D354" s="129" t="n">
        <f aca="false">E353*$B$4/12</f>
        <v>929.723139069658</v>
      </c>
      <c r="E354" s="129" t="n">
        <f aca="false">E353-C354</f>
        <v>189754.019693724</v>
      </c>
    </row>
    <row r="355" customFormat="false" ht="15" hidden="false" customHeight="true" outlineLevel="0" collapsed="false">
      <c r="A355" s="127" t="n">
        <v>347</v>
      </c>
      <c r="B355" s="36" t="n">
        <f aca="false">$B$6</f>
        <v>14024.388333271</v>
      </c>
      <c r="C355" s="36" t="n">
        <f aca="false">B355-D355</f>
        <v>13154.6824096747</v>
      </c>
      <c r="D355" s="36" t="n">
        <f aca="false">E354*$B$4/12</f>
        <v>869.705923596235</v>
      </c>
      <c r="E355" s="36" t="n">
        <f aca="false">E354-C355</f>
        <v>176599.337284049</v>
      </c>
    </row>
    <row r="356" customFormat="false" ht="15" hidden="false" customHeight="true" outlineLevel="0" collapsed="false">
      <c r="A356" s="128" t="n">
        <v>348</v>
      </c>
      <c r="B356" s="129" t="n">
        <f aca="false">$B$6</f>
        <v>14024.388333271</v>
      </c>
      <c r="C356" s="129" t="n">
        <f aca="false">B356-D356</f>
        <v>13214.9747040524</v>
      </c>
      <c r="D356" s="129" t="n">
        <f aca="false">E355*$B$4/12</f>
        <v>809.413629218559</v>
      </c>
      <c r="E356" s="129" t="n">
        <f aca="false">E355-C356</f>
        <v>163384.362579997</v>
      </c>
    </row>
    <row r="357" customFormat="false" ht="15" hidden="false" customHeight="true" outlineLevel="0" collapsed="false">
      <c r="A357" s="127" t="n">
        <v>349</v>
      </c>
      <c r="B357" s="36" t="n">
        <f aca="false">$B$6</f>
        <v>14024.388333271</v>
      </c>
      <c r="C357" s="36" t="n">
        <f aca="false">B357-D357</f>
        <v>13275.5433381127</v>
      </c>
      <c r="D357" s="36" t="n">
        <f aca="false">E356*$B$4/12</f>
        <v>748.844995158319</v>
      </c>
      <c r="E357" s="36" t="n">
        <f aca="false">E356-C357</f>
        <v>150108.819241884</v>
      </c>
    </row>
    <row r="358" customFormat="false" ht="15" hidden="false" customHeight="true" outlineLevel="0" collapsed="false">
      <c r="A358" s="128" t="n">
        <v>350</v>
      </c>
      <c r="B358" s="129" t="n">
        <f aca="false">$B$6</f>
        <v>14024.388333271</v>
      </c>
      <c r="C358" s="129" t="n">
        <f aca="false">B358-D358</f>
        <v>13336.3895784123</v>
      </c>
      <c r="D358" s="129" t="n">
        <f aca="false">E357*$B$4/12</f>
        <v>687.998754858636</v>
      </c>
      <c r="E358" s="129" t="n">
        <f aca="false">E357-C358</f>
        <v>136772.429663472</v>
      </c>
    </row>
    <row r="359" customFormat="false" ht="15" hidden="false" customHeight="true" outlineLevel="0" collapsed="false">
      <c r="A359" s="127" t="n">
        <v>351</v>
      </c>
      <c r="B359" s="36" t="n">
        <f aca="false">$B$6</f>
        <v>14024.388333271</v>
      </c>
      <c r="C359" s="36" t="n">
        <f aca="false">B359-D359</f>
        <v>13397.5146973134</v>
      </c>
      <c r="D359" s="36" t="n">
        <f aca="false">E358*$B$4/12</f>
        <v>626.873635957579</v>
      </c>
      <c r="E359" s="36" t="n">
        <f aca="false">E358-C359</f>
        <v>123374.914966158</v>
      </c>
    </row>
    <row r="360" customFormat="false" ht="15" hidden="false" customHeight="true" outlineLevel="0" collapsed="false">
      <c r="A360" s="128" t="n">
        <v>352</v>
      </c>
      <c r="B360" s="129" t="n">
        <f aca="false">$B$6</f>
        <v>14024.388333271</v>
      </c>
      <c r="C360" s="129" t="n">
        <f aca="false">B360-D360</f>
        <v>13458.9199730094</v>
      </c>
      <c r="D360" s="129" t="n">
        <f aca="false">E359*$B$4/12</f>
        <v>565.46836026156</v>
      </c>
      <c r="E360" s="129" t="n">
        <f aca="false">E359-C360</f>
        <v>109915.994993149</v>
      </c>
    </row>
    <row r="361" customFormat="false" ht="15" hidden="false" customHeight="true" outlineLevel="0" collapsed="false">
      <c r="A361" s="127" t="n">
        <v>353</v>
      </c>
      <c r="B361" s="36" t="n">
        <f aca="false">$B$6</f>
        <v>14024.388333271</v>
      </c>
      <c r="C361" s="36" t="n">
        <f aca="false">B361-D361</f>
        <v>13520.6066895524</v>
      </c>
      <c r="D361" s="36" t="n">
        <f aca="false">E360*$B$4/12</f>
        <v>503.7816437186</v>
      </c>
      <c r="E361" s="36" t="n">
        <f aca="false">E360-C361</f>
        <v>96395.3883035966</v>
      </c>
    </row>
    <row r="362" customFormat="false" ht="15" hidden="false" customHeight="true" outlineLevel="0" collapsed="false">
      <c r="A362" s="128" t="n">
        <v>354</v>
      </c>
      <c r="B362" s="129" t="n">
        <f aca="false">$B$6</f>
        <v>14024.388333271</v>
      </c>
      <c r="C362" s="129" t="n">
        <f aca="false">B362-D362</f>
        <v>13582.5761368795</v>
      </c>
      <c r="D362" s="129" t="n">
        <f aca="false">E361*$B$4/12</f>
        <v>441.812196391485</v>
      </c>
      <c r="E362" s="129" t="n">
        <f aca="false">E361-C362</f>
        <v>82812.8121667172</v>
      </c>
    </row>
    <row r="363" customFormat="false" ht="15" hidden="false" customHeight="true" outlineLevel="0" collapsed="false">
      <c r="A363" s="127" t="n">
        <v>355</v>
      </c>
      <c r="B363" s="36" t="n">
        <f aca="false">$B$6</f>
        <v>14024.388333271</v>
      </c>
      <c r="C363" s="36" t="n">
        <f aca="false">B363-D363</f>
        <v>13644.8296108402</v>
      </c>
      <c r="D363" s="36" t="n">
        <f aca="false">E362*$B$4/12</f>
        <v>379.558722430787</v>
      </c>
      <c r="E363" s="36" t="n">
        <f aca="false">E362-C363</f>
        <v>69167.982555877</v>
      </c>
    </row>
    <row r="364" customFormat="false" ht="15" hidden="false" customHeight="true" outlineLevel="0" collapsed="false">
      <c r="A364" s="128" t="n">
        <v>356</v>
      </c>
      <c r="B364" s="129" t="n">
        <f aca="false">$B$6</f>
        <v>14024.388333271</v>
      </c>
      <c r="C364" s="129" t="n">
        <f aca="false">B364-D364</f>
        <v>13707.3684132232</v>
      </c>
      <c r="D364" s="129" t="n">
        <f aca="false">E363*$B$4/12</f>
        <v>317.019920047769</v>
      </c>
      <c r="E364" s="129" t="n">
        <f aca="false">E363-C364</f>
        <v>55460.6141426538</v>
      </c>
    </row>
    <row r="365" customFormat="false" ht="15" hidden="false" customHeight="true" outlineLevel="0" collapsed="false">
      <c r="A365" s="127" t="n">
        <v>357</v>
      </c>
      <c r="B365" s="36" t="n">
        <f aca="false">$B$6</f>
        <v>14024.388333271</v>
      </c>
      <c r="C365" s="36" t="n">
        <f aca="false">B365-D365</f>
        <v>13770.1938517838</v>
      </c>
      <c r="D365" s="36" t="n">
        <f aca="false">E364*$B$4/12</f>
        <v>254.194481487163</v>
      </c>
      <c r="E365" s="36" t="n">
        <f aca="false">E364-C365</f>
        <v>41690.4202908699</v>
      </c>
    </row>
    <row r="366" customFormat="false" ht="15" hidden="false" customHeight="true" outlineLevel="0" collapsed="false">
      <c r="A366" s="128" t="n">
        <v>358</v>
      </c>
      <c r="B366" s="129" t="n">
        <f aca="false">$B$6</f>
        <v>14024.388333271</v>
      </c>
      <c r="C366" s="129" t="n">
        <f aca="false">B366-D366</f>
        <v>13833.3072402712</v>
      </c>
      <c r="D366" s="129" t="n">
        <f aca="false">E365*$B$4/12</f>
        <v>191.081092999821</v>
      </c>
      <c r="E366" s="129" t="n">
        <f aca="false">E365-C366</f>
        <v>27857.1130505988</v>
      </c>
    </row>
    <row r="367" customFormat="false" ht="15" hidden="false" customHeight="true" outlineLevel="0" collapsed="false">
      <c r="A367" s="127" t="n">
        <v>359</v>
      </c>
      <c r="B367" s="36" t="n">
        <f aca="false">$B$6</f>
        <v>14024.388333271</v>
      </c>
      <c r="C367" s="36" t="n">
        <f aca="false">B367-D367</f>
        <v>13896.7098984557</v>
      </c>
      <c r="D367" s="36" t="n">
        <f aca="false">E366*$B$4/12</f>
        <v>127.678434815244</v>
      </c>
      <c r="E367" s="36" t="n">
        <f aca="false">E366-C367</f>
        <v>13960.4031521431</v>
      </c>
    </row>
    <row r="368" customFormat="false" ht="15" hidden="false" customHeight="true" outlineLevel="0" collapsed="false">
      <c r="A368" s="128" t="n">
        <v>360</v>
      </c>
      <c r="B368" s="129" t="n">
        <f aca="false">$B$6</f>
        <v>14024.388333271</v>
      </c>
      <c r="C368" s="129" t="n">
        <f aca="false">B368-D368</f>
        <v>13960.403152157</v>
      </c>
      <c r="D368" s="129" t="n">
        <f aca="false">E367*$B$4/12</f>
        <v>63.985181113989</v>
      </c>
      <c r="E368" s="129" t="n">
        <f aca="false">E367-C368</f>
        <v>-1.39280018629506E-008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962E"/>
    <pageSetUpPr fitToPage="false"/>
  </sheetPr>
  <dimension ref="A1:E3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6"/>
    <col collapsed="false" customWidth="true" hidden="false" outlineLevel="0" max="5" min="5" style="1" width="18"/>
  </cols>
  <sheetData>
    <row r="1" customFormat="false" ht="19.5" hidden="false" customHeight="true" outlineLevel="0" collapsed="false">
      <c r="A1" s="62" t="s">
        <v>399</v>
      </c>
      <c r="B1" s="62"/>
      <c r="C1" s="62"/>
      <c r="D1" s="62"/>
      <c r="E1" s="62"/>
    </row>
    <row r="2" customFormat="false" ht="15" hidden="false" customHeight="true" outlineLevel="0" collapsed="false">
      <c r="A2" s="20" t="s">
        <v>400</v>
      </c>
      <c r="B2" s="20"/>
      <c r="C2" s="20"/>
      <c r="D2" s="20"/>
      <c r="E2" s="20"/>
    </row>
    <row r="3" customFormat="false" ht="15" hidden="false" customHeight="true" outlineLevel="0" collapsed="false">
      <c r="A3" s="7" t="s">
        <v>386</v>
      </c>
      <c r="B3" s="124" t="n">
        <f aca="false">Assumptions!C125</f>
        <v>0</v>
      </c>
      <c r="C3" s="2"/>
      <c r="D3" s="2"/>
      <c r="E3" s="2"/>
    </row>
    <row r="4" customFormat="false" ht="15" hidden="false" customHeight="true" outlineLevel="0" collapsed="false">
      <c r="A4" s="7" t="s">
        <v>387</v>
      </c>
      <c r="B4" s="125" t="n">
        <f aca="false">Assumptions!C126</f>
        <v>0.055</v>
      </c>
      <c r="C4" s="2"/>
      <c r="D4" s="2"/>
      <c r="E4" s="2"/>
    </row>
    <row r="5" customFormat="false" ht="15" hidden="false" customHeight="true" outlineLevel="0" collapsed="false">
      <c r="A5" s="7" t="s">
        <v>388</v>
      </c>
      <c r="B5" s="9" t="n">
        <f aca="false">Assumptions!C127</f>
        <v>30</v>
      </c>
      <c r="C5" s="2"/>
      <c r="D5" s="2"/>
      <c r="E5" s="2"/>
    </row>
    <row r="6" customFormat="false" ht="15" hidden="false" customHeight="true" outlineLevel="0" collapsed="false">
      <c r="A6" s="102" t="s">
        <v>389</v>
      </c>
      <c r="B6" s="126" t="n">
        <f aca="false">IF(B5&gt;0,PMT(B4/12,B5*12,-B3),0)</f>
        <v>-0</v>
      </c>
      <c r="C6" s="2"/>
      <c r="D6" s="2"/>
      <c r="E6" s="2"/>
    </row>
    <row r="7" customFormat="false" ht="15" hidden="false" customHeight="true" outlineLevel="0" collapsed="false">
      <c r="A7" s="2"/>
      <c r="B7" s="2"/>
      <c r="C7" s="2"/>
      <c r="D7" s="2"/>
      <c r="E7" s="2"/>
    </row>
    <row r="8" customFormat="false" ht="15" hidden="false" customHeight="true" outlineLevel="0" collapsed="false">
      <c r="A8" s="63" t="s">
        <v>390</v>
      </c>
      <c r="B8" s="63" t="s">
        <v>391</v>
      </c>
      <c r="C8" s="63" t="s">
        <v>392</v>
      </c>
      <c r="D8" s="63" t="s">
        <v>393</v>
      </c>
      <c r="E8" s="63" t="s">
        <v>394</v>
      </c>
    </row>
    <row r="9" customFormat="false" ht="15" hidden="false" customHeight="true" outlineLevel="0" collapsed="false">
      <c r="A9" s="127" t="n">
        <v>1</v>
      </c>
      <c r="B9" s="36" t="n">
        <f aca="false">$B$6</f>
        <v>-0</v>
      </c>
      <c r="C9" s="36" t="n">
        <f aca="false">B9-D9</f>
        <v>-0</v>
      </c>
      <c r="D9" s="36" t="n">
        <f aca="false">$B$3*$B$4/12</f>
        <v>0</v>
      </c>
      <c r="E9" s="36" t="n">
        <f aca="false">$B$3-C9</f>
        <v>0</v>
      </c>
    </row>
    <row r="10" customFormat="false" ht="15" hidden="false" customHeight="true" outlineLevel="0" collapsed="false">
      <c r="A10" s="128" t="n">
        <v>2</v>
      </c>
      <c r="B10" s="129" t="n">
        <f aca="false">$B$6</f>
        <v>-0</v>
      </c>
      <c r="C10" s="129" t="n">
        <f aca="false">B10-D10</f>
        <v>-0</v>
      </c>
      <c r="D10" s="129" t="n">
        <f aca="false">E9*$B$4/12</f>
        <v>0</v>
      </c>
      <c r="E10" s="129" t="n">
        <f aca="false">E9-C10</f>
        <v>0</v>
      </c>
    </row>
    <row r="11" customFormat="false" ht="15" hidden="false" customHeight="true" outlineLevel="0" collapsed="false">
      <c r="A11" s="127" t="n">
        <v>3</v>
      </c>
      <c r="B11" s="36" t="n">
        <f aca="false">$B$6</f>
        <v>-0</v>
      </c>
      <c r="C11" s="36" t="n">
        <f aca="false">B11-D11</f>
        <v>-0</v>
      </c>
      <c r="D11" s="36" t="n">
        <f aca="false">E10*$B$4/12</f>
        <v>0</v>
      </c>
      <c r="E11" s="36" t="n">
        <f aca="false">E10-C11</f>
        <v>0</v>
      </c>
    </row>
    <row r="12" customFormat="false" ht="15" hidden="false" customHeight="true" outlineLevel="0" collapsed="false">
      <c r="A12" s="128" t="n">
        <v>4</v>
      </c>
      <c r="B12" s="129" t="n">
        <f aca="false">$B$6</f>
        <v>-0</v>
      </c>
      <c r="C12" s="129" t="n">
        <f aca="false">B12-D12</f>
        <v>-0</v>
      </c>
      <c r="D12" s="129" t="n">
        <f aca="false">E11*$B$4/12</f>
        <v>0</v>
      </c>
      <c r="E12" s="129" t="n">
        <f aca="false">E11-C12</f>
        <v>0</v>
      </c>
    </row>
    <row r="13" customFormat="false" ht="15" hidden="false" customHeight="true" outlineLevel="0" collapsed="false">
      <c r="A13" s="127" t="n">
        <v>5</v>
      </c>
      <c r="B13" s="36" t="n">
        <f aca="false">$B$6</f>
        <v>-0</v>
      </c>
      <c r="C13" s="36" t="n">
        <f aca="false">B13-D13</f>
        <v>-0</v>
      </c>
      <c r="D13" s="36" t="n">
        <f aca="false">E12*$B$4/12</f>
        <v>0</v>
      </c>
      <c r="E13" s="36" t="n">
        <f aca="false">E12-C13</f>
        <v>0</v>
      </c>
    </row>
    <row r="14" customFormat="false" ht="15" hidden="false" customHeight="true" outlineLevel="0" collapsed="false">
      <c r="A14" s="128" t="n">
        <v>6</v>
      </c>
      <c r="B14" s="129" t="n">
        <f aca="false">$B$6</f>
        <v>-0</v>
      </c>
      <c r="C14" s="129" t="n">
        <f aca="false">B14-D14</f>
        <v>-0</v>
      </c>
      <c r="D14" s="129" t="n">
        <f aca="false">E13*$B$4/12</f>
        <v>0</v>
      </c>
      <c r="E14" s="129" t="n">
        <f aca="false">E13-C14</f>
        <v>0</v>
      </c>
    </row>
    <row r="15" customFormat="false" ht="15" hidden="false" customHeight="true" outlineLevel="0" collapsed="false">
      <c r="A15" s="127" t="n">
        <v>7</v>
      </c>
      <c r="B15" s="36" t="n">
        <f aca="false">$B$6</f>
        <v>-0</v>
      </c>
      <c r="C15" s="36" t="n">
        <f aca="false">B15-D15</f>
        <v>-0</v>
      </c>
      <c r="D15" s="36" t="n">
        <f aca="false">E14*$B$4/12</f>
        <v>0</v>
      </c>
      <c r="E15" s="36" t="n">
        <f aca="false">E14-C15</f>
        <v>0</v>
      </c>
    </row>
    <row r="16" customFormat="false" ht="15" hidden="false" customHeight="true" outlineLevel="0" collapsed="false">
      <c r="A16" s="128" t="n">
        <v>8</v>
      </c>
      <c r="B16" s="129" t="n">
        <f aca="false">$B$6</f>
        <v>-0</v>
      </c>
      <c r="C16" s="129" t="n">
        <f aca="false">B16-D16</f>
        <v>-0</v>
      </c>
      <c r="D16" s="129" t="n">
        <f aca="false">E15*$B$4/12</f>
        <v>0</v>
      </c>
      <c r="E16" s="129" t="n">
        <f aca="false">E15-C16</f>
        <v>0</v>
      </c>
    </row>
    <row r="17" customFormat="false" ht="15" hidden="false" customHeight="true" outlineLevel="0" collapsed="false">
      <c r="A17" s="127" t="n">
        <v>9</v>
      </c>
      <c r="B17" s="36" t="n">
        <f aca="false">$B$6</f>
        <v>-0</v>
      </c>
      <c r="C17" s="36" t="n">
        <f aca="false">B17-D17</f>
        <v>-0</v>
      </c>
      <c r="D17" s="36" t="n">
        <f aca="false">E16*$B$4/12</f>
        <v>0</v>
      </c>
      <c r="E17" s="36" t="n">
        <f aca="false">E16-C17</f>
        <v>0</v>
      </c>
    </row>
    <row r="18" customFormat="false" ht="15" hidden="false" customHeight="true" outlineLevel="0" collapsed="false">
      <c r="A18" s="128" t="n">
        <v>10</v>
      </c>
      <c r="B18" s="129" t="n">
        <f aca="false">$B$6</f>
        <v>-0</v>
      </c>
      <c r="C18" s="129" t="n">
        <f aca="false">B18-D18</f>
        <v>-0</v>
      </c>
      <c r="D18" s="129" t="n">
        <f aca="false">E17*$B$4/12</f>
        <v>0</v>
      </c>
      <c r="E18" s="129" t="n">
        <f aca="false">E17-C18</f>
        <v>0</v>
      </c>
    </row>
    <row r="19" customFormat="false" ht="15" hidden="false" customHeight="true" outlineLevel="0" collapsed="false">
      <c r="A19" s="127" t="n">
        <v>11</v>
      </c>
      <c r="B19" s="36" t="n">
        <f aca="false">$B$6</f>
        <v>-0</v>
      </c>
      <c r="C19" s="36" t="n">
        <f aca="false">B19-D19</f>
        <v>-0</v>
      </c>
      <c r="D19" s="36" t="n">
        <f aca="false">E18*$B$4/12</f>
        <v>0</v>
      </c>
      <c r="E19" s="36" t="n">
        <f aca="false">E18-C19</f>
        <v>0</v>
      </c>
    </row>
    <row r="20" customFormat="false" ht="15" hidden="false" customHeight="true" outlineLevel="0" collapsed="false">
      <c r="A20" s="128" t="n">
        <v>12</v>
      </c>
      <c r="B20" s="129" t="n">
        <f aca="false">$B$6</f>
        <v>-0</v>
      </c>
      <c r="C20" s="129" t="n">
        <f aca="false">B20-D20</f>
        <v>-0</v>
      </c>
      <c r="D20" s="129" t="n">
        <f aca="false">E19*$B$4/12</f>
        <v>0</v>
      </c>
      <c r="E20" s="129" t="n">
        <f aca="false">E19-C20</f>
        <v>0</v>
      </c>
    </row>
    <row r="21" customFormat="false" ht="15" hidden="false" customHeight="true" outlineLevel="0" collapsed="false">
      <c r="A21" s="127" t="n">
        <v>13</v>
      </c>
      <c r="B21" s="36" t="n">
        <f aca="false">$B$6</f>
        <v>-0</v>
      </c>
      <c r="C21" s="36" t="n">
        <f aca="false">B21-D21</f>
        <v>-0</v>
      </c>
      <c r="D21" s="36" t="n">
        <f aca="false">E20*$B$4/12</f>
        <v>0</v>
      </c>
      <c r="E21" s="36" t="n">
        <f aca="false">E20-C21</f>
        <v>0</v>
      </c>
    </row>
    <row r="22" customFormat="false" ht="15" hidden="false" customHeight="true" outlineLevel="0" collapsed="false">
      <c r="A22" s="128" t="n">
        <v>14</v>
      </c>
      <c r="B22" s="129" t="n">
        <f aca="false">$B$6</f>
        <v>-0</v>
      </c>
      <c r="C22" s="129" t="n">
        <f aca="false">B22-D22</f>
        <v>-0</v>
      </c>
      <c r="D22" s="129" t="n">
        <f aca="false">E21*$B$4/12</f>
        <v>0</v>
      </c>
      <c r="E22" s="129" t="n">
        <f aca="false">E21-C22</f>
        <v>0</v>
      </c>
    </row>
    <row r="23" customFormat="false" ht="15" hidden="false" customHeight="true" outlineLevel="0" collapsed="false">
      <c r="A23" s="127" t="n">
        <v>15</v>
      </c>
      <c r="B23" s="36" t="n">
        <f aca="false">$B$6</f>
        <v>-0</v>
      </c>
      <c r="C23" s="36" t="n">
        <f aca="false">B23-D23</f>
        <v>-0</v>
      </c>
      <c r="D23" s="36" t="n">
        <f aca="false">E22*$B$4/12</f>
        <v>0</v>
      </c>
      <c r="E23" s="36" t="n">
        <f aca="false">E22-C23</f>
        <v>0</v>
      </c>
    </row>
    <row r="24" customFormat="false" ht="15" hidden="false" customHeight="true" outlineLevel="0" collapsed="false">
      <c r="A24" s="128" t="n">
        <v>16</v>
      </c>
      <c r="B24" s="129" t="n">
        <f aca="false">$B$6</f>
        <v>-0</v>
      </c>
      <c r="C24" s="129" t="n">
        <f aca="false">B24-D24</f>
        <v>-0</v>
      </c>
      <c r="D24" s="129" t="n">
        <f aca="false">E23*$B$4/12</f>
        <v>0</v>
      </c>
      <c r="E24" s="129" t="n">
        <f aca="false">E23-C24</f>
        <v>0</v>
      </c>
    </row>
    <row r="25" customFormat="false" ht="15" hidden="false" customHeight="true" outlineLevel="0" collapsed="false">
      <c r="A25" s="127" t="n">
        <v>17</v>
      </c>
      <c r="B25" s="36" t="n">
        <f aca="false">$B$6</f>
        <v>-0</v>
      </c>
      <c r="C25" s="36" t="n">
        <f aca="false">B25-D25</f>
        <v>-0</v>
      </c>
      <c r="D25" s="36" t="n">
        <f aca="false">E24*$B$4/12</f>
        <v>0</v>
      </c>
      <c r="E25" s="36" t="n">
        <f aca="false">E24-C25</f>
        <v>0</v>
      </c>
    </row>
    <row r="26" customFormat="false" ht="15" hidden="false" customHeight="true" outlineLevel="0" collapsed="false">
      <c r="A26" s="128" t="n">
        <v>18</v>
      </c>
      <c r="B26" s="129" t="n">
        <f aca="false">$B$6</f>
        <v>-0</v>
      </c>
      <c r="C26" s="129" t="n">
        <f aca="false">B26-D26</f>
        <v>-0</v>
      </c>
      <c r="D26" s="129" t="n">
        <f aca="false">E25*$B$4/12</f>
        <v>0</v>
      </c>
      <c r="E26" s="129" t="n">
        <f aca="false">E25-C26</f>
        <v>0</v>
      </c>
    </row>
    <row r="27" customFormat="false" ht="15" hidden="false" customHeight="true" outlineLevel="0" collapsed="false">
      <c r="A27" s="127" t="n">
        <v>19</v>
      </c>
      <c r="B27" s="36" t="n">
        <f aca="false">$B$6</f>
        <v>-0</v>
      </c>
      <c r="C27" s="36" t="n">
        <f aca="false">B27-D27</f>
        <v>-0</v>
      </c>
      <c r="D27" s="36" t="n">
        <f aca="false">E26*$B$4/12</f>
        <v>0</v>
      </c>
      <c r="E27" s="36" t="n">
        <f aca="false">E26-C27</f>
        <v>0</v>
      </c>
    </row>
    <row r="28" customFormat="false" ht="15" hidden="false" customHeight="true" outlineLevel="0" collapsed="false">
      <c r="A28" s="128" t="n">
        <v>20</v>
      </c>
      <c r="B28" s="129" t="n">
        <f aca="false">$B$6</f>
        <v>-0</v>
      </c>
      <c r="C28" s="129" t="n">
        <f aca="false">B28-D28</f>
        <v>-0</v>
      </c>
      <c r="D28" s="129" t="n">
        <f aca="false">E27*$B$4/12</f>
        <v>0</v>
      </c>
      <c r="E28" s="129" t="n">
        <f aca="false">E27-C28</f>
        <v>0</v>
      </c>
    </row>
    <row r="29" customFormat="false" ht="15" hidden="false" customHeight="true" outlineLevel="0" collapsed="false">
      <c r="A29" s="127" t="n">
        <v>21</v>
      </c>
      <c r="B29" s="36" t="n">
        <f aca="false">$B$6</f>
        <v>-0</v>
      </c>
      <c r="C29" s="36" t="n">
        <f aca="false">B29-D29</f>
        <v>-0</v>
      </c>
      <c r="D29" s="36" t="n">
        <f aca="false">E28*$B$4/12</f>
        <v>0</v>
      </c>
      <c r="E29" s="36" t="n">
        <f aca="false">E28-C29</f>
        <v>0</v>
      </c>
    </row>
    <row r="30" customFormat="false" ht="15" hidden="false" customHeight="true" outlineLevel="0" collapsed="false">
      <c r="A30" s="128" t="n">
        <v>22</v>
      </c>
      <c r="B30" s="129" t="n">
        <f aca="false">$B$6</f>
        <v>-0</v>
      </c>
      <c r="C30" s="129" t="n">
        <f aca="false">B30-D30</f>
        <v>-0</v>
      </c>
      <c r="D30" s="129" t="n">
        <f aca="false">E29*$B$4/12</f>
        <v>0</v>
      </c>
      <c r="E30" s="129" t="n">
        <f aca="false">E29-C30</f>
        <v>0</v>
      </c>
    </row>
    <row r="31" customFormat="false" ht="15" hidden="false" customHeight="true" outlineLevel="0" collapsed="false">
      <c r="A31" s="127" t="n">
        <v>23</v>
      </c>
      <c r="B31" s="36" t="n">
        <f aca="false">$B$6</f>
        <v>-0</v>
      </c>
      <c r="C31" s="36" t="n">
        <f aca="false">B31-D31</f>
        <v>-0</v>
      </c>
      <c r="D31" s="36" t="n">
        <f aca="false">E30*$B$4/12</f>
        <v>0</v>
      </c>
      <c r="E31" s="36" t="n">
        <f aca="false">E30-C31</f>
        <v>0</v>
      </c>
    </row>
    <row r="32" customFormat="false" ht="15" hidden="false" customHeight="true" outlineLevel="0" collapsed="false">
      <c r="A32" s="128" t="n">
        <v>24</v>
      </c>
      <c r="B32" s="129" t="n">
        <f aca="false">$B$6</f>
        <v>-0</v>
      </c>
      <c r="C32" s="129" t="n">
        <f aca="false">B32-D32</f>
        <v>-0</v>
      </c>
      <c r="D32" s="129" t="n">
        <f aca="false">E31*$B$4/12</f>
        <v>0</v>
      </c>
      <c r="E32" s="129" t="n">
        <f aca="false">E31-C32</f>
        <v>0</v>
      </c>
    </row>
    <row r="33" customFormat="false" ht="15" hidden="false" customHeight="true" outlineLevel="0" collapsed="false">
      <c r="A33" s="127" t="n">
        <v>25</v>
      </c>
      <c r="B33" s="36" t="n">
        <f aca="false">$B$6</f>
        <v>-0</v>
      </c>
      <c r="C33" s="36" t="n">
        <f aca="false">B33-D33</f>
        <v>-0</v>
      </c>
      <c r="D33" s="36" t="n">
        <f aca="false">E32*$B$4/12</f>
        <v>0</v>
      </c>
      <c r="E33" s="36" t="n">
        <f aca="false">E32-C33</f>
        <v>0</v>
      </c>
    </row>
    <row r="34" customFormat="false" ht="15" hidden="false" customHeight="true" outlineLevel="0" collapsed="false">
      <c r="A34" s="128" t="n">
        <v>26</v>
      </c>
      <c r="B34" s="129" t="n">
        <f aca="false">$B$6</f>
        <v>-0</v>
      </c>
      <c r="C34" s="129" t="n">
        <f aca="false">B34-D34</f>
        <v>-0</v>
      </c>
      <c r="D34" s="129" t="n">
        <f aca="false">E33*$B$4/12</f>
        <v>0</v>
      </c>
      <c r="E34" s="129" t="n">
        <f aca="false">E33-C34</f>
        <v>0</v>
      </c>
    </row>
    <row r="35" customFormat="false" ht="15" hidden="false" customHeight="true" outlineLevel="0" collapsed="false">
      <c r="A35" s="127" t="n">
        <v>27</v>
      </c>
      <c r="B35" s="36" t="n">
        <f aca="false">$B$6</f>
        <v>-0</v>
      </c>
      <c r="C35" s="36" t="n">
        <f aca="false">B35-D35</f>
        <v>-0</v>
      </c>
      <c r="D35" s="36" t="n">
        <f aca="false">E34*$B$4/12</f>
        <v>0</v>
      </c>
      <c r="E35" s="36" t="n">
        <f aca="false">E34-C35</f>
        <v>0</v>
      </c>
    </row>
    <row r="36" customFormat="false" ht="15" hidden="false" customHeight="true" outlineLevel="0" collapsed="false">
      <c r="A36" s="128" t="n">
        <v>28</v>
      </c>
      <c r="B36" s="129" t="n">
        <f aca="false">$B$6</f>
        <v>-0</v>
      </c>
      <c r="C36" s="129" t="n">
        <f aca="false">B36-D36</f>
        <v>-0</v>
      </c>
      <c r="D36" s="129" t="n">
        <f aca="false">E35*$B$4/12</f>
        <v>0</v>
      </c>
      <c r="E36" s="129" t="n">
        <f aca="false">E35-C36</f>
        <v>0</v>
      </c>
    </row>
    <row r="37" customFormat="false" ht="15" hidden="false" customHeight="true" outlineLevel="0" collapsed="false">
      <c r="A37" s="127" t="n">
        <v>29</v>
      </c>
      <c r="B37" s="36" t="n">
        <f aca="false">$B$6</f>
        <v>-0</v>
      </c>
      <c r="C37" s="36" t="n">
        <f aca="false">B37-D37</f>
        <v>-0</v>
      </c>
      <c r="D37" s="36" t="n">
        <f aca="false">E36*$B$4/12</f>
        <v>0</v>
      </c>
      <c r="E37" s="36" t="n">
        <f aca="false">E36-C37</f>
        <v>0</v>
      </c>
    </row>
    <row r="38" customFormat="false" ht="15" hidden="false" customHeight="true" outlineLevel="0" collapsed="false">
      <c r="A38" s="128" t="n">
        <v>30</v>
      </c>
      <c r="B38" s="129" t="n">
        <f aca="false">$B$6</f>
        <v>-0</v>
      </c>
      <c r="C38" s="129" t="n">
        <f aca="false">B38-D38</f>
        <v>-0</v>
      </c>
      <c r="D38" s="129" t="n">
        <f aca="false">E37*$B$4/12</f>
        <v>0</v>
      </c>
      <c r="E38" s="129" t="n">
        <f aca="false">E37-C38</f>
        <v>0</v>
      </c>
    </row>
    <row r="39" customFormat="false" ht="15" hidden="false" customHeight="true" outlineLevel="0" collapsed="false">
      <c r="A39" s="127" t="n">
        <v>31</v>
      </c>
      <c r="B39" s="36" t="n">
        <f aca="false">$B$6</f>
        <v>-0</v>
      </c>
      <c r="C39" s="36" t="n">
        <f aca="false">B39-D39</f>
        <v>-0</v>
      </c>
      <c r="D39" s="36" t="n">
        <f aca="false">E38*$B$4/12</f>
        <v>0</v>
      </c>
      <c r="E39" s="36" t="n">
        <f aca="false">E38-C39</f>
        <v>0</v>
      </c>
    </row>
    <row r="40" customFormat="false" ht="15" hidden="false" customHeight="true" outlineLevel="0" collapsed="false">
      <c r="A40" s="128" t="n">
        <v>32</v>
      </c>
      <c r="B40" s="129" t="n">
        <f aca="false">$B$6</f>
        <v>-0</v>
      </c>
      <c r="C40" s="129" t="n">
        <f aca="false">B40-D40</f>
        <v>-0</v>
      </c>
      <c r="D40" s="129" t="n">
        <f aca="false">E39*$B$4/12</f>
        <v>0</v>
      </c>
      <c r="E40" s="129" t="n">
        <f aca="false">E39-C40</f>
        <v>0</v>
      </c>
    </row>
    <row r="41" customFormat="false" ht="15" hidden="false" customHeight="true" outlineLevel="0" collapsed="false">
      <c r="A41" s="127" t="n">
        <v>33</v>
      </c>
      <c r="B41" s="36" t="n">
        <f aca="false">$B$6</f>
        <v>-0</v>
      </c>
      <c r="C41" s="36" t="n">
        <f aca="false">B41-D41</f>
        <v>-0</v>
      </c>
      <c r="D41" s="36" t="n">
        <f aca="false">E40*$B$4/12</f>
        <v>0</v>
      </c>
      <c r="E41" s="36" t="n">
        <f aca="false">E40-C41</f>
        <v>0</v>
      </c>
    </row>
    <row r="42" customFormat="false" ht="15" hidden="false" customHeight="true" outlineLevel="0" collapsed="false">
      <c r="A42" s="128" t="n">
        <v>34</v>
      </c>
      <c r="B42" s="129" t="n">
        <f aca="false">$B$6</f>
        <v>-0</v>
      </c>
      <c r="C42" s="129" t="n">
        <f aca="false">B42-D42</f>
        <v>-0</v>
      </c>
      <c r="D42" s="129" t="n">
        <f aca="false">E41*$B$4/12</f>
        <v>0</v>
      </c>
      <c r="E42" s="129" t="n">
        <f aca="false">E41-C42</f>
        <v>0</v>
      </c>
    </row>
    <row r="43" customFormat="false" ht="15" hidden="false" customHeight="true" outlineLevel="0" collapsed="false">
      <c r="A43" s="127" t="n">
        <v>35</v>
      </c>
      <c r="B43" s="36" t="n">
        <f aca="false">$B$6</f>
        <v>-0</v>
      </c>
      <c r="C43" s="36" t="n">
        <f aca="false">B43-D43</f>
        <v>-0</v>
      </c>
      <c r="D43" s="36" t="n">
        <f aca="false">E42*$B$4/12</f>
        <v>0</v>
      </c>
      <c r="E43" s="36" t="n">
        <f aca="false">E42-C43</f>
        <v>0</v>
      </c>
    </row>
    <row r="44" customFormat="false" ht="15" hidden="false" customHeight="true" outlineLevel="0" collapsed="false">
      <c r="A44" s="128" t="n">
        <v>36</v>
      </c>
      <c r="B44" s="129" t="n">
        <f aca="false">$B$6</f>
        <v>-0</v>
      </c>
      <c r="C44" s="129" t="n">
        <f aca="false">B44-D44</f>
        <v>-0</v>
      </c>
      <c r="D44" s="129" t="n">
        <f aca="false">E43*$B$4/12</f>
        <v>0</v>
      </c>
      <c r="E44" s="129" t="n">
        <f aca="false">E43-C44</f>
        <v>0</v>
      </c>
    </row>
    <row r="45" customFormat="false" ht="15" hidden="false" customHeight="true" outlineLevel="0" collapsed="false">
      <c r="A45" s="127" t="n">
        <v>37</v>
      </c>
      <c r="B45" s="36" t="n">
        <f aca="false">$B$6</f>
        <v>-0</v>
      </c>
      <c r="C45" s="36" t="n">
        <f aca="false">B45-D45</f>
        <v>-0</v>
      </c>
      <c r="D45" s="36" t="n">
        <f aca="false">E44*$B$4/12</f>
        <v>0</v>
      </c>
      <c r="E45" s="36" t="n">
        <f aca="false">E44-C45</f>
        <v>0</v>
      </c>
    </row>
    <row r="46" customFormat="false" ht="15" hidden="false" customHeight="true" outlineLevel="0" collapsed="false">
      <c r="A46" s="128" t="n">
        <v>38</v>
      </c>
      <c r="B46" s="129" t="n">
        <f aca="false">$B$6</f>
        <v>-0</v>
      </c>
      <c r="C46" s="129" t="n">
        <f aca="false">B46-D46</f>
        <v>-0</v>
      </c>
      <c r="D46" s="129" t="n">
        <f aca="false">E45*$B$4/12</f>
        <v>0</v>
      </c>
      <c r="E46" s="129" t="n">
        <f aca="false">E45-C46</f>
        <v>0</v>
      </c>
    </row>
    <row r="47" customFormat="false" ht="15" hidden="false" customHeight="true" outlineLevel="0" collapsed="false">
      <c r="A47" s="127" t="n">
        <v>39</v>
      </c>
      <c r="B47" s="36" t="n">
        <f aca="false">$B$6</f>
        <v>-0</v>
      </c>
      <c r="C47" s="36" t="n">
        <f aca="false">B47-D47</f>
        <v>-0</v>
      </c>
      <c r="D47" s="36" t="n">
        <f aca="false">E46*$B$4/12</f>
        <v>0</v>
      </c>
      <c r="E47" s="36" t="n">
        <f aca="false">E46-C47</f>
        <v>0</v>
      </c>
    </row>
    <row r="48" customFormat="false" ht="15" hidden="false" customHeight="true" outlineLevel="0" collapsed="false">
      <c r="A48" s="128" t="n">
        <v>40</v>
      </c>
      <c r="B48" s="129" t="n">
        <f aca="false">$B$6</f>
        <v>-0</v>
      </c>
      <c r="C48" s="129" t="n">
        <f aca="false">B48-D48</f>
        <v>-0</v>
      </c>
      <c r="D48" s="129" t="n">
        <f aca="false">E47*$B$4/12</f>
        <v>0</v>
      </c>
      <c r="E48" s="129" t="n">
        <f aca="false">E47-C48</f>
        <v>0</v>
      </c>
    </row>
    <row r="49" customFormat="false" ht="15" hidden="false" customHeight="true" outlineLevel="0" collapsed="false">
      <c r="A49" s="127" t="n">
        <v>41</v>
      </c>
      <c r="B49" s="36" t="n">
        <f aca="false">$B$6</f>
        <v>-0</v>
      </c>
      <c r="C49" s="36" t="n">
        <f aca="false">B49-D49</f>
        <v>-0</v>
      </c>
      <c r="D49" s="36" t="n">
        <f aca="false">E48*$B$4/12</f>
        <v>0</v>
      </c>
      <c r="E49" s="36" t="n">
        <f aca="false">E48-C49</f>
        <v>0</v>
      </c>
    </row>
    <row r="50" customFormat="false" ht="15" hidden="false" customHeight="true" outlineLevel="0" collapsed="false">
      <c r="A50" s="128" t="n">
        <v>42</v>
      </c>
      <c r="B50" s="129" t="n">
        <f aca="false">$B$6</f>
        <v>-0</v>
      </c>
      <c r="C50" s="129" t="n">
        <f aca="false">B50-D50</f>
        <v>-0</v>
      </c>
      <c r="D50" s="129" t="n">
        <f aca="false">E49*$B$4/12</f>
        <v>0</v>
      </c>
      <c r="E50" s="129" t="n">
        <f aca="false">E49-C50</f>
        <v>0</v>
      </c>
    </row>
    <row r="51" customFormat="false" ht="15" hidden="false" customHeight="true" outlineLevel="0" collapsed="false">
      <c r="A51" s="127" t="n">
        <v>43</v>
      </c>
      <c r="B51" s="36" t="n">
        <f aca="false">$B$6</f>
        <v>-0</v>
      </c>
      <c r="C51" s="36" t="n">
        <f aca="false">B51-D51</f>
        <v>-0</v>
      </c>
      <c r="D51" s="36" t="n">
        <f aca="false">E50*$B$4/12</f>
        <v>0</v>
      </c>
      <c r="E51" s="36" t="n">
        <f aca="false">E50-C51</f>
        <v>0</v>
      </c>
    </row>
    <row r="52" customFormat="false" ht="15" hidden="false" customHeight="true" outlineLevel="0" collapsed="false">
      <c r="A52" s="128" t="n">
        <v>44</v>
      </c>
      <c r="B52" s="129" t="n">
        <f aca="false">$B$6</f>
        <v>-0</v>
      </c>
      <c r="C52" s="129" t="n">
        <f aca="false">B52-D52</f>
        <v>-0</v>
      </c>
      <c r="D52" s="129" t="n">
        <f aca="false">E51*$B$4/12</f>
        <v>0</v>
      </c>
      <c r="E52" s="129" t="n">
        <f aca="false">E51-C52</f>
        <v>0</v>
      </c>
    </row>
    <row r="53" customFormat="false" ht="15" hidden="false" customHeight="true" outlineLevel="0" collapsed="false">
      <c r="A53" s="127" t="n">
        <v>45</v>
      </c>
      <c r="B53" s="36" t="n">
        <f aca="false">$B$6</f>
        <v>-0</v>
      </c>
      <c r="C53" s="36" t="n">
        <f aca="false">B53-D53</f>
        <v>-0</v>
      </c>
      <c r="D53" s="36" t="n">
        <f aca="false">E52*$B$4/12</f>
        <v>0</v>
      </c>
      <c r="E53" s="36" t="n">
        <f aca="false">E52-C53</f>
        <v>0</v>
      </c>
    </row>
    <row r="54" customFormat="false" ht="15" hidden="false" customHeight="true" outlineLevel="0" collapsed="false">
      <c r="A54" s="128" t="n">
        <v>46</v>
      </c>
      <c r="B54" s="129" t="n">
        <f aca="false">$B$6</f>
        <v>-0</v>
      </c>
      <c r="C54" s="129" t="n">
        <f aca="false">B54-D54</f>
        <v>-0</v>
      </c>
      <c r="D54" s="129" t="n">
        <f aca="false">E53*$B$4/12</f>
        <v>0</v>
      </c>
      <c r="E54" s="129" t="n">
        <f aca="false">E53-C54</f>
        <v>0</v>
      </c>
    </row>
    <row r="55" customFormat="false" ht="15" hidden="false" customHeight="true" outlineLevel="0" collapsed="false">
      <c r="A55" s="127" t="n">
        <v>47</v>
      </c>
      <c r="B55" s="36" t="n">
        <f aca="false">$B$6</f>
        <v>-0</v>
      </c>
      <c r="C55" s="36" t="n">
        <f aca="false">B55-D55</f>
        <v>-0</v>
      </c>
      <c r="D55" s="36" t="n">
        <f aca="false">E54*$B$4/12</f>
        <v>0</v>
      </c>
      <c r="E55" s="36" t="n">
        <f aca="false">E54-C55</f>
        <v>0</v>
      </c>
    </row>
    <row r="56" customFormat="false" ht="15" hidden="false" customHeight="true" outlineLevel="0" collapsed="false">
      <c r="A56" s="128" t="n">
        <v>48</v>
      </c>
      <c r="B56" s="129" t="n">
        <f aca="false">$B$6</f>
        <v>-0</v>
      </c>
      <c r="C56" s="129" t="n">
        <f aca="false">B56-D56</f>
        <v>-0</v>
      </c>
      <c r="D56" s="129" t="n">
        <f aca="false">E55*$B$4/12</f>
        <v>0</v>
      </c>
      <c r="E56" s="129" t="n">
        <f aca="false">E55-C56</f>
        <v>0</v>
      </c>
    </row>
    <row r="57" customFormat="false" ht="15" hidden="false" customHeight="true" outlineLevel="0" collapsed="false">
      <c r="A57" s="127" t="n">
        <v>49</v>
      </c>
      <c r="B57" s="36" t="n">
        <f aca="false">$B$6</f>
        <v>-0</v>
      </c>
      <c r="C57" s="36" t="n">
        <f aca="false">B57-D57</f>
        <v>-0</v>
      </c>
      <c r="D57" s="36" t="n">
        <f aca="false">E56*$B$4/12</f>
        <v>0</v>
      </c>
      <c r="E57" s="36" t="n">
        <f aca="false">E56-C57</f>
        <v>0</v>
      </c>
    </row>
    <row r="58" customFormat="false" ht="15" hidden="false" customHeight="true" outlineLevel="0" collapsed="false">
      <c r="A58" s="128" t="n">
        <v>50</v>
      </c>
      <c r="B58" s="129" t="n">
        <f aca="false">$B$6</f>
        <v>-0</v>
      </c>
      <c r="C58" s="129" t="n">
        <f aca="false">B58-D58</f>
        <v>-0</v>
      </c>
      <c r="D58" s="129" t="n">
        <f aca="false">E57*$B$4/12</f>
        <v>0</v>
      </c>
      <c r="E58" s="129" t="n">
        <f aca="false">E57-C58</f>
        <v>0</v>
      </c>
    </row>
    <row r="59" customFormat="false" ht="15" hidden="false" customHeight="true" outlineLevel="0" collapsed="false">
      <c r="A59" s="127" t="n">
        <v>51</v>
      </c>
      <c r="B59" s="36" t="n">
        <f aca="false">$B$6</f>
        <v>-0</v>
      </c>
      <c r="C59" s="36" t="n">
        <f aca="false">B59-D59</f>
        <v>-0</v>
      </c>
      <c r="D59" s="36" t="n">
        <f aca="false">E58*$B$4/12</f>
        <v>0</v>
      </c>
      <c r="E59" s="36" t="n">
        <f aca="false">E58-C59</f>
        <v>0</v>
      </c>
    </row>
    <row r="60" customFormat="false" ht="15" hidden="false" customHeight="true" outlineLevel="0" collapsed="false">
      <c r="A60" s="128" t="n">
        <v>52</v>
      </c>
      <c r="B60" s="129" t="n">
        <f aca="false">$B$6</f>
        <v>-0</v>
      </c>
      <c r="C60" s="129" t="n">
        <f aca="false">B60-D60</f>
        <v>-0</v>
      </c>
      <c r="D60" s="129" t="n">
        <f aca="false">E59*$B$4/12</f>
        <v>0</v>
      </c>
      <c r="E60" s="129" t="n">
        <f aca="false">E59-C60</f>
        <v>0</v>
      </c>
    </row>
    <row r="61" customFormat="false" ht="15" hidden="false" customHeight="true" outlineLevel="0" collapsed="false">
      <c r="A61" s="127" t="n">
        <v>53</v>
      </c>
      <c r="B61" s="36" t="n">
        <f aca="false">$B$6</f>
        <v>-0</v>
      </c>
      <c r="C61" s="36" t="n">
        <f aca="false">B61-D61</f>
        <v>-0</v>
      </c>
      <c r="D61" s="36" t="n">
        <f aca="false">E60*$B$4/12</f>
        <v>0</v>
      </c>
      <c r="E61" s="36" t="n">
        <f aca="false">E60-C61</f>
        <v>0</v>
      </c>
    </row>
    <row r="62" customFormat="false" ht="15" hidden="false" customHeight="true" outlineLevel="0" collapsed="false">
      <c r="A62" s="128" t="n">
        <v>54</v>
      </c>
      <c r="B62" s="129" t="n">
        <f aca="false">$B$6</f>
        <v>-0</v>
      </c>
      <c r="C62" s="129" t="n">
        <f aca="false">B62-D62</f>
        <v>-0</v>
      </c>
      <c r="D62" s="129" t="n">
        <f aca="false">E61*$B$4/12</f>
        <v>0</v>
      </c>
      <c r="E62" s="129" t="n">
        <f aca="false">E61-C62</f>
        <v>0</v>
      </c>
    </row>
    <row r="63" customFormat="false" ht="15" hidden="false" customHeight="true" outlineLevel="0" collapsed="false">
      <c r="A63" s="127" t="n">
        <v>55</v>
      </c>
      <c r="B63" s="36" t="n">
        <f aca="false">$B$6</f>
        <v>-0</v>
      </c>
      <c r="C63" s="36" t="n">
        <f aca="false">B63-D63</f>
        <v>-0</v>
      </c>
      <c r="D63" s="36" t="n">
        <f aca="false">E62*$B$4/12</f>
        <v>0</v>
      </c>
      <c r="E63" s="36" t="n">
        <f aca="false">E62-C63</f>
        <v>0</v>
      </c>
    </row>
    <row r="64" customFormat="false" ht="15" hidden="false" customHeight="true" outlineLevel="0" collapsed="false">
      <c r="A64" s="128" t="n">
        <v>56</v>
      </c>
      <c r="B64" s="129" t="n">
        <f aca="false">$B$6</f>
        <v>-0</v>
      </c>
      <c r="C64" s="129" t="n">
        <f aca="false">B64-D64</f>
        <v>-0</v>
      </c>
      <c r="D64" s="129" t="n">
        <f aca="false">E63*$B$4/12</f>
        <v>0</v>
      </c>
      <c r="E64" s="129" t="n">
        <f aca="false">E63-C64</f>
        <v>0</v>
      </c>
    </row>
    <row r="65" customFormat="false" ht="15" hidden="false" customHeight="true" outlineLevel="0" collapsed="false">
      <c r="A65" s="127" t="n">
        <v>57</v>
      </c>
      <c r="B65" s="36" t="n">
        <f aca="false">$B$6</f>
        <v>-0</v>
      </c>
      <c r="C65" s="36" t="n">
        <f aca="false">B65-D65</f>
        <v>-0</v>
      </c>
      <c r="D65" s="36" t="n">
        <f aca="false">E64*$B$4/12</f>
        <v>0</v>
      </c>
      <c r="E65" s="36" t="n">
        <f aca="false">E64-C65</f>
        <v>0</v>
      </c>
    </row>
    <row r="66" customFormat="false" ht="15" hidden="false" customHeight="true" outlineLevel="0" collapsed="false">
      <c r="A66" s="128" t="n">
        <v>58</v>
      </c>
      <c r="B66" s="129" t="n">
        <f aca="false">$B$6</f>
        <v>-0</v>
      </c>
      <c r="C66" s="129" t="n">
        <f aca="false">B66-D66</f>
        <v>-0</v>
      </c>
      <c r="D66" s="129" t="n">
        <f aca="false">E65*$B$4/12</f>
        <v>0</v>
      </c>
      <c r="E66" s="129" t="n">
        <f aca="false">E65-C66</f>
        <v>0</v>
      </c>
    </row>
    <row r="67" customFormat="false" ht="15" hidden="false" customHeight="true" outlineLevel="0" collapsed="false">
      <c r="A67" s="127" t="n">
        <v>59</v>
      </c>
      <c r="B67" s="36" t="n">
        <f aca="false">$B$6</f>
        <v>-0</v>
      </c>
      <c r="C67" s="36" t="n">
        <f aca="false">B67-D67</f>
        <v>-0</v>
      </c>
      <c r="D67" s="36" t="n">
        <f aca="false">E66*$B$4/12</f>
        <v>0</v>
      </c>
      <c r="E67" s="36" t="n">
        <f aca="false">E66-C67</f>
        <v>0</v>
      </c>
    </row>
    <row r="68" customFormat="false" ht="15" hidden="false" customHeight="true" outlineLevel="0" collapsed="false">
      <c r="A68" s="128" t="n">
        <v>60</v>
      </c>
      <c r="B68" s="129" t="n">
        <f aca="false">$B$6</f>
        <v>-0</v>
      </c>
      <c r="C68" s="129" t="n">
        <f aca="false">B68-D68</f>
        <v>-0</v>
      </c>
      <c r="D68" s="129" t="n">
        <f aca="false">E67*$B$4/12</f>
        <v>0</v>
      </c>
      <c r="E68" s="129" t="n">
        <f aca="false">E67-C68</f>
        <v>0</v>
      </c>
    </row>
    <row r="69" customFormat="false" ht="15" hidden="false" customHeight="true" outlineLevel="0" collapsed="false">
      <c r="A69" s="127" t="n">
        <v>61</v>
      </c>
      <c r="B69" s="36" t="n">
        <f aca="false">$B$6</f>
        <v>-0</v>
      </c>
      <c r="C69" s="36" t="n">
        <f aca="false">B69-D69</f>
        <v>-0</v>
      </c>
      <c r="D69" s="36" t="n">
        <f aca="false">E68*$B$4/12</f>
        <v>0</v>
      </c>
      <c r="E69" s="36" t="n">
        <f aca="false">E68-C69</f>
        <v>0</v>
      </c>
    </row>
    <row r="70" customFormat="false" ht="15" hidden="false" customHeight="true" outlineLevel="0" collapsed="false">
      <c r="A70" s="128" t="n">
        <v>62</v>
      </c>
      <c r="B70" s="129" t="n">
        <f aca="false">$B$6</f>
        <v>-0</v>
      </c>
      <c r="C70" s="129" t="n">
        <f aca="false">B70-D70</f>
        <v>-0</v>
      </c>
      <c r="D70" s="129" t="n">
        <f aca="false">E69*$B$4/12</f>
        <v>0</v>
      </c>
      <c r="E70" s="129" t="n">
        <f aca="false">E69-C70</f>
        <v>0</v>
      </c>
    </row>
    <row r="71" customFormat="false" ht="15" hidden="false" customHeight="true" outlineLevel="0" collapsed="false">
      <c r="A71" s="127" t="n">
        <v>63</v>
      </c>
      <c r="B71" s="36" t="n">
        <f aca="false">$B$6</f>
        <v>-0</v>
      </c>
      <c r="C71" s="36" t="n">
        <f aca="false">B71-D71</f>
        <v>-0</v>
      </c>
      <c r="D71" s="36" t="n">
        <f aca="false">E70*$B$4/12</f>
        <v>0</v>
      </c>
      <c r="E71" s="36" t="n">
        <f aca="false">E70-C71</f>
        <v>0</v>
      </c>
    </row>
    <row r="72" customFormat="false" ht="15" hidden="false" customHeight="true" outlineLevel="0" collapsed="false">
      <c r="A72" s="128" t="n">
        <v>64</v>
      </c>
      <c r="B72" s="129" t="n">
        <f aca="false">$B$6</f>
        <v>-0</v>
      </c>
      <c r="C72" s="129" t="n">
        <f aca="false">B72-D72</f>
        <v>-0</v>
      </c>
      <c r="D72" s="129" t="n">
        <f aca="false">E71*$B$4/12</f>
        <v>0</v>
      </c>
      <c r="E72" s="129" t="n">
        <f aca="false">E71-C72</f>
        <v>0</v>
      </c>
    </row>
    <row r="73" customFormat="false" ht="15" hidden="false" customHeight="true" outlineLevel="0" collapsed="false">
      <c r="A73" s="127" t="n">
        <v>65</v>
      </c>
      <c r="B73" s="36" t="n">
        <f aca="false">$B$6</f>
        <v>-0</v>
      </c>
      <c r="C73" s="36" t="n">
        <f aca="false">B73-D73</f>
        <v>-0</v>
      </c>
      <c r="D73" s="36" t="n">
        <f aca="false">E72*$B$4/12</f>
        <v>0</v>
      </c>
      <c r="E73" s="36" t="n">
        <f aca="false">E72-C73</f>
        <v>0</v>
      </c>
    </row>
    <row r="74" customFormat="false" ht="15" hidden="false" customHeight="true" outlineLevel="0" collapsed="false">
      <c r="A74" s="128" t="n">
        <v>66</v>
      </c>
      <c r="B74" s="129" t="n">
        <f aca="false">$B$6</f>
        <v>-0</v>
      </c>
      <c r="C74" s="129" t="n">
        <f aca="false">B74-D74</f>
        <v>-0</v>
      </c>
      <c r="D74" s="129" t="n">
        <f aca="false">E73*$B$4/12</f>
        <v>0</v>
      </c>
      <c r="E74" s="129" t="n">
        <f aca="false">E73-C74</f>
        <v>0</v>
      </c>
    </row>
    <row r="75" customFormat="false" ht="15" hidden="false" customHeight="true" outlineLevel="0" collapsed="false">
      <c r="A75" s="127" t="n">
        <v>67</v>
      </c>
      <c r="B75" s="36" t="n">
        <f aca="false">$B$6</f>
        <v>-0</v>
      </c>
      <c r="C75" s="36" t="n">
        <f aca="false">B75-D75</f>
        <v>-0</v>
      </c>
      <c r="D75" s="36" t="n">
        <f aca="false">E74*$B$4/12</f>
        <v>0</v>
      </c>
      <c r="E75" s="36" t="n">
        <f aca="false">E74-C75</f>
        <v>0</v>
      </c>
    </row>
    <row r="76" customFormat="false" ht="15" hidden="false" customHeight="true" outlineLevel="0" collapsed="false">
      <c r="A76" s="128" t="n">
        <v>68</v>
      </c>
      <c r="B76" s="129" t="n">
        <f aca="false">$B$6</f>
        <v>-0</v>
      </c>
      <c r="C76" s="129" t="n">
        <f aca="false">B76-D76</f>
        <v>-0</v>
      </c>
      <c r="D76" s="129" t="n">
        <f aca="false">E75*$B$4/12</f>
        <v>0</v>
      </c>
      <c r="E76" s="129" t="n">
        <f aca="false">E75-C76</f>
        <v>0</v>
      </c>
    </row>
    <row r="77" customFormat="false" ht="15" hidden="false" customHeight="true" outlineLevel="0" collapsed="false">
      <c r="A77" s="127" t="n">
        <v>69</v>
      </c>
      <c r="B77" s="36" t="n">
        <f aca="false">$B$6</f>
        <v>-0</v>
      </c>
      <c r="C77" s="36" t="n">
        <f aca="false">B77-D77</f>
        <v>-0</v>
      </c>
      <c r="D77" s="36" t="n">
        <f aca="false">E76*$B$4/12</f>
        <v>0</v>
      </c>
      <c r="E77" s="36" t="n">
        <f aca="false">E76-C77</f>
        <v>0</v>
      </c>
    </row>
    <row r="78" customFormat="false" ht="15" hidden="false" customHeight="true" outlineLevel="0" collapsed="false">
      <c r="A78" s="128" t="n">
        <v>70</v>
      </c>
      <c r="B78" s="129" t="n">
        <f aca="false">$B$6</f>
        <v>-0</v>
      </c>
      <c r="C78" s="129" t="n">
        <f aca="false">B78-D78</f>
        <v>-0</v>
      </c>
      <c r="D78" s="129" t="n">
        <f aca="false">E77*$B$4/12</f>
        <v>0</v>
      </c>
      <c r="E78" s="129" t="n">
        <f aca="false">E77-C78</f>
        <v>0</v>
      </c>
    </row>
    <row r="79" customFormat="false" ht="15" hidden="false" customHeight="true" outlineLevel="0" collapsed="false">
      <c r="A79" s="127" t="n">
        <v>71</v>
      </c>
      <c r="B79" s="36" t="n">
        <f aca="false">$B$6</f>
        <v>-0</v>
      </c>
      <c r="C79" s="36" t="n">
        <f aca="false">B79-D79</f>
        <v>-0</v>
      </c>
      <c r="D79" s="36" t="n">
        <f aca="false">E78*$B$4/12</f>
        <v>0</v>
      </c>
      <c r="E79" s="36" t="n">
        <f aca="false">E78-C79</f>
        <v>0</v>
      </c>
    </row>
    <row r="80" customFormat="false" ht="15" hidden="false" customHeight="true" outlineLevel="0" collapsed="false">
      <c r="A80" s="128" t="n">
        <v>72</v>
      </c>
      <c r="B80" s="129" t="n">
        <f aca="false">$B$6</f>
        <v>-0</v>
      </c>
      <c r="C80" s="129" t="n">
        <f aca="false">B80-D80</f>
        <v>-0</v>
      </c>
      <c r="D80" s="129" t="n">
        <f aca="false">E79*$B$4/12</f>
        <v>0</v>
      </c>
      <c r="E80" s="129" t="n">
        <f aca="false">E79-C80</f>
        <v>0</v>
      </c>
    </row>
    <row r="81" customFormat="false" ht="15" hidden="false" customHeight="true" outlineLevel="0" collapsed="false">
      <c r="A81" s="127" t="n">
        <v>73</v>
      </c>
      <c r="B81" s="36" t="n">
        <f aca="false">$B$6</f>
        <v>-0</v>
      </c>
      <c r="C81" s="36" t="n">
        <f aca="false">B81-D81</f>
        <v>-0</v>
      </c>
      <c r="D81" s="36" t="n">
        <f aca="false">E80*$B$4/12</f>
        <v>0</v>
      </c>
      <c r="E81" s="36" t="n">
        <f aca="false">E80-C81</f>
        <v>0</v>
      </c>
    </row>
    <row r="82" customFormat="false" ht="15" hidden="false" customHeight="true" outlineLevel="0" collapsed="false">
      <c r="A82" s="128" t="n">
        <v>74</v>
      </c>
      <c r="B82" s="129" t="n">
        <f aca="false">$B$6</f>
        <v>-0</v>
      </c>
      <c r="C82" s="129" t="n">
        <f aca="false">B82-D82</f>
        <v>-0</v>
      </c>
      <c r="D82" s="129" t="n">
        <f aca="false">E81*$B$4/12</f>
        <v>0</v>
      </c>
      <c r="E82" s="129" t="n">
        <f aca="false">E81-C82</f>
        <v>0</v>
      </c>
    </row>
    <row r="83" customFormat="false" ht="15" hidden="false" customHeight="true" outlineLevel="0" collapsed="false">
      <c r="A83" s="127" t="n">
        <v>75</v>
      </c>
      <c r="B83" s="36" t="n">
        <f aca="false">$B$6</f>
        <v>-0</v>
      </c>
      <c r="C83" s="36" t="n">
        <f aca="false">B83-D83</f>
        <v>-0</v>
      </c>
      <c r="D83" s="36" t="n">
        <f aca="false">E82*$B$4/12</f>
        <v>0</v>
      </c>
      <c r="E83" s="36" t="n">
        <f aca="false">E82-C83</f>
        <v>0</v>
      </c>
    </row>
    <row r="84" customFormat="false" ht="15" hidden="false" customHeight="true" outlineLevel="0" collapsed="false">
      <c r="A84" s="128" t="n">
        <v>76</v>
      </c>
      <c r="B84" s="129" t="n">
        <f aca="false">$B$6</f>
        <v>-0</v>
      </c>
      <c r="C84" s="129" t="n">
        <f aca="false">B84-D84</f>
        <v>-0</v>
      </c>
      <c r="D84" s="129" t="n">
        <f aca="false">E83*$B$4/12</f>
        <v>0</v>
      </c>
      <c r="E84" s="129" t="n">
        <f aca="false">E83-C84</f>
        <v>0</v>
      </c>
    </row>
    <row r="85" customFormat="false" ht="15" hidden="false" customHeight="true" outlineLevel="0" collapsed="false">
      <c r="A85" s="127" t="n">
        <v>77</v>
      </c>
      <c r="B85" s="36" t="n">
        <f aca="false">$B$6</f>
        <v>-0</v>
      </c>
      <c r="C85" s="36" t="n">
        <f aca="false">B85-D85</f>
        <v>-0</v>
      </c>
      <c r="D85" s="36" t="n">
        <f aca="false">E84*$B$4/12</f>
        <v>0</v>
      </c>
      <c r="E85" s="36" t="n">
        <f aca="false">E84-C85</f>
        <v>0</v>
      </c>
    </row>
    <row r="86" customFormat="false" ht="15" hidden="false" customHeight="true" outlineLevel="0" collapsed="false">
      <c r="A86" s="128" t="n">
        <v>78</v>
      </c>
      <c r="B86" s="129" t="n">
        <f aca="false">$B$6</f>
        <v>-0</v>
      </c>
      <c r="C86" s="129" t="n">
        <f aca="false">B86-D86</f>
        <v>-0</v>
      </c>
      <c r="D86" s="129" t="n">
        <f aca="false">E85*$B$4/12</f>
        <v>0</v>
      </c>
      <c r="E86" s="129" t="n">
        <f aca="false">E85-C86</f>
        <v>0</v>
      </c>
    </row>
    <row r="87" customFormat="false" ht="15" hidden="false" customHeight="true" outlineLevel="0" collapsed="false">
      <c r="A87" s="127" t="n">
        <v>79</v>
      </c>
      <c r="B87" s="36" t="n">
        <f aca="false">$B$6</f>
        <v>-0</v>
      </c>
      <c r="C87" s="36" t="n">
        <f aca="false">B87-D87</f>
        <v>-0</v>
      </c>
      <c r="D87" s="36" t="n">
        <f aca="false">E86*$B$4/12</f>
        <v>0</v>
      </c>
      <c r="E87" s="36" t="n">
        <f aca="false">E86-C87</f>
        <v>0</v>
      </c>
    </row>
    <row r="88" customFormat="false" ht="15" hidden="false" customHeight="true" outlineLevel="0" collapsed="false">
      <c r="A88" s="128" t="n">
        <v>80</v>
      </c>
      <c r="B88" s="129" t="n">
        <f aca="false">$B$6</f>
        <v>-0</v>
      </c>
      <c r="C88" s="129" t="n">
        <f aca="false">B88-D88</f>
        <v>-0</v>
      </c>
      <c r="D88" s="129" t="n">
        <f aca="false">E87*$B$4/12</f>
        <v>0</v>
      </c>
      <c r="E88" s="129" t="n">
        <f aca="false">E87-C88</f>
        <v>0</v>
      </c>
    </row>
    <row r="89" customFormat="false" ht="15" hidden="false" customHeight="true" outlineLevel="0" collapsed="false">
      <c r="A89" s="127" t="n">
        <v>81</v>
      </c>
      <c r="B89" s="36" t="n">
        <f aca="false">$B$6</f>
        <v>-0</v>
      </c>
      <c r="C89" s="36" t="n">
        <f aca="false">B89-D89</f>
        <v>-0</v>
      </c>
      <c r="D89" s="36" t="n">
        <f aca="false">E88*$B$4/12</f>
        <v>0</v>
      </c>
      <c r="E89" s="36" t="n">
        <f aca="false">E88-C89</f>
        <v>0</v>
      </c>
    </row>
    <row r="90" customFormat="false" ht="15" hidden="false" customHeight="true" outlineLevel="0" collapsed="false">
      <c r="A90" s="128" t="n">
        <v>82</v>
      </c>
      <c r="B90" s="129" t="n">
        <f aca="false">$B$6</f>
        <v>-0</v>
      </c>
      <c r="C90" s="129" t="n">
        <f aca="false">B90-D90</f>
        <v>-0</v>
      </c>
      <c r="D90" s="129" t="n">
        <f aca="false">E89*$B$4/12</f>
        <v>0</v>
      </c>
      <c r="E90" s="129" t="n">
        <f aca="false">E89-C90</f>
        <v>0</v>
      </c>
    </row>
    <row r="91" customFormat="false" ht="15" hidden="false" customHeight="true" outlineLevel="0" collapsed="false">
      <c r="A91" s="127" t="n">
        <v>83</v>
      </c>
      <c r="B91" s="36" t="n">
        <f aca="false">$B$6</f>
        <v>-0</v>
      </c>
      <c r="C91" s="36" t="n">
        <f aca="false">B91-D91</f>
        <v>-0</v>
      </c>
      <c r="D91" s="36" t="n">
        <f aca="false">E90*$B$4/12</f>
        <v>0</v>
      </c>
      <c r="E91" s="36" t="n">
        <f aca="false">E90-C91</f>
        <v>0</v>
      </c>
    </row>
    <row r="92" customFormat="false" ht="15" hidden="false" customHeight="true" outlineLevel="0" collapsed="false">
      <c r="A92" s="128" t="n">
        <v>84</v>
      </c>
      <c r="B92" s="129" t="n">
        <f aca="false">$B$6</f>
        <v>-0</v>
      </c>
      <c r="C92" s="129" t="n">
        <f aca="false">B92-D92</f>
        <v>-0</v>
      </c>
      <c r="D92" s="129" t="n">
        <f aca="false">E91*$B$4/12</f>
        <v>0</v>
      </c>
      <c r="E92" s="129" t="n">
        <f aca="false">E91-C92</f>
        <v>0</v>
      </c>
    </row>
    <row r="93" customFormat="false" ht="15" hidden="false" customHeight="true" outlineLevel="0" collapsed="false">
      <c r="A93" s="127" t="n">
        <v>85</v>
      </c>
      <c r="B93" s="36" t="n">
        <f aca="false">$B$6</f>
        <v>-0</v>
      </c>
      <c r="C93" s="36" t="n">
        <f aca="false">B93-D93</f>
        <v>-0</v>
      </c>
      <c r="D93" s="36" t="n">
        <f aca="false">E92*$B$4/12</f>
        <v>0</v>
      </c>
      <c r="E93" s="36" t="n">
        <f aca="false">E92-C93</f>
        <v>0</v>
      </c>
    </row>
    <row r="94" customFormat="false" ht="15" hidden="false" customHeight="true" outlineLevel="0" collapsed="false">
      <c r="A94" s="128" t="n">
        <v>86</v>
      </c>
      <c r="B94" s="129" t="n">
        <f aca="false">$B$6</f>
        <v>-0</v>
      </c>
      <c r="C94" s="129" t="n">
        <f aca="false">B94-D94</f>
        <v>-0</v>
      </c>
      <c r="D94" s="129" t="n">
        <f aca="false">E93*$B$4/12</f>
        <v>0</v>
      </c>
      <c r="E94" s="129" t="n">
        <f aca="false">E93-C94</f>
        <v>0</v>
      </c>
    </row>
    <row r="95" customFormat="false" ht="15" hidden="false" customHeight="true" outlineLevel="0" collapsed="false">
      <c r="A95" s="127" t="n">
        <v>87</v>
      </c>
      <c r="B95" s="36" t="n">
        <f aca="false">$B$6</f>
        <v>-0</v>
      </c>
      <c r="C95" s="36" t="n">
        <f aca="false">B95-D95</f>
        <v>-0</v>
      </c>
      <c r="D95" s="36" t="n">
        <f aca="false">E94*$B$4/12</f>
        <v>0</v>
      </c>
      <c r="E95" s="36" t="n">
        <f aca="false">E94-C95</f>
        <v>0</v>
      </c>
    </row>
    <row r="96" customFormat="false" ht="15" hidden="false" customHeight="true" outlineLevel="0" collapsed="false">
      <c r="A96" s="128" t="n">
        <v>88</v>
      </c>
      <c r="B96" s="129" t="n">
        <f aca="false">$B$6</f>
        <v>-0</v>
      </c>
      <c r="C96" s="129" t="n">
        <f aca="false">B96-D96</f>
        <v>-0</v>
      </c>
      <c r="D96" s="129" t="n">
        <f aca="false">E95*$B$4/12</f>
        <v>0</v>
      </c>
      <c r="E96" s="129" t="n">
        <f aca="false">E95-C96</f>
        <v>0</v>
      </c>
    </row>
    <row r="97" customFormat="false" ht="15" hidden="false" customHeight="true" outlineLevel="0" collapsed="false">
      <c r="A97" s="127" t="n">
        <v>89</v>
      </c>
      <c r="B97" s="36" t="n">
        <f aca="false">$B$6</f>
        <v>-0</v>
      </c>
      <c r="C97" s="36" t="n">
        <f aca="false">B97-D97</f>
        <v>-0</v>
      </c>
      <c r="D97" s="36" t="n">
        <f aca="false">E96*$B$4/12</f>
        <v>0</v>
      </c>
      <c r="E97" s="36" t="n">
        <f aca="false">E96-C97</f>
        <v>0</v>
      </c>
    </row>
    <row r="98" customFormat="false" ht="15" hidden="false" customHeight="true" outlineLevel="0" collapsed="false">
      <c r="A98" s="128" t="n">
        <v>90</v>
      </c>
      <c r="B98" s="129" t="n">
        <f aca="false">$B$6</f>
        <v>-0</v>
      </c>
      <c r="C98" s="129" t="n">
        <f aca="false">B98-D98</f>
        <v>-0</v>
      </c>
      <c r="D98" s="129" t="n">
        <f aca="false">E97*$B$4/12</f>
        <v>0</v>
      </c>
      <c r="E98" s="129" t="n">
        <f aca="false">E97-C98</f>
        <v>0</v>
      </c>
    </row>
    <row r="99" customFormat="false" ht="15" hidden="false" customHeight="true" outlineLevel="0" collapsed="false">
      <c r="A99" s="127" t="n">
        <v>91</v>
      </c>
      <c r="B99" s="36" t="n">
        <f aca="false">$B$6</f>
        <v>-0</v>
      </c>
      <c r="C99" s="36" t="n">
        <f aca="false">B99-D99</f>
        <v>-0</v>
      </c>
      <c r="D99" s="36" t="n">
        <f aca="false">E98*$B$4/12</f>
        <v>0</v>
      </c>
      <c r="E99" s="36" t="n">
        <f aca="false">E98-C99</f>
        <v>0</v>
      </c>
    </row>
    <row r="100" customFormat="false" ht="15" hidden="false" customHeight="true" outlineLevel="0" collapsed="false">
      <c r="A100" s="128" t="n">
        <v>92</v>
      </c>
      <c r="B100" s="129" t="n">
        <f aca="false">$B$6</f>
        <v>-0</v>
      </c>
      <c r="C100" s="129" t="n">
        <f aca="false">B100-D100</f>
        <v>-0</v>
      </c>
      <c r="D100" s="129" t="n">
        <f aca="false">E99*$B$4/12</f>
        <v>0</v>
      </c>
      <c r="E100" s="129" t="n">
        <f aca="false">E99-C100</f>
        <v>0</v>
      </c>
    </row>
    <row r="101" customFormat="false" ht="15" hidden="false" customHeight="true" outlineLevel="0" collapsed="false">
      <c r="A101" s="127" t="n">
        <v>93</v>
      </c>
      <c r="B101" s="36" t="n">
        <f aca="false">$B$6</f>
        <v>-0</v>
      </c>
      <c r="C101" s="36" t="n">
        <f aca="false">B101-D101</f>
        <v>-0</v>
      </c>
      <c r="D101" s="36" t="n">
        <f aca="false">E100*$B$4/12</f>
        <v>0</v>
      </c>
      <c r="E101" s="36" t="n">
        <f aca="false">E100-C101</f>
        <v>0</v>
      </c>
    </row>
    <row r="102" customFormat="false" ht="15" hidden="false" customHeight="true" outlineLevel="0" collapsed="false">
      <c r="A102" s="128" t="n">
        <v>94</v>
      </c>
      <c r="B102" s="129" t="n">
        <f aca="false">$B$6</f>
        <v>-0</v>
      </c>
      <c r="C102" s="129" t="n">
        <f aca="false">B102-D102</f>
        <v>-0</v>
      </c>
      <c r="D102" s="129" t="n">
        <f aca="false">E101*$B$4/12</f>
        <v>0</v>
      </c>
      <c r="E102" s="129" t="n">
        <f aca="false">E101-C102</f>
        <v>0</v>
      </c>
    </row>
    <row r="103" customFormat="false" ht="15" hidden="false" customHeight="true" outlineLevel="0" collapsed="false">
      <c r="A103" s="127" t="n">
        <v>95</v>
      </c>
      <c r="B103" s="36" t="n">
        <f aca="false">$B$6</f>
        <v>-0</v>
      </c>
      <c r="C103" s="36" t="n">
        <f aca="false">B103-D103</f>
        <v>-0</v>
      </c>
      <c r="D103" s="36" t="n">
        <f aca="false">E102*$B$4/12</f>
        <v>0</v>
      </c>
      <c r="E103" s="36" t="n">
        <f aca="false">E102-C103</f>
        <v>0</v>
      </c>
    </row>
    <row r="104" customFormat="false" ht="15" hidden="false" customHeight="true" outlineLevel="0" collapsed="false">
      <c r="A104" s="128" t="n">
        <v>96</v>
      </c>
      <c r="B104" s="129" t="n">
        <f aca="false">$B$6</f>
        <v>-0</v>
      </c>
      <c r="C104" s="129" t="n">
        <f aca="false">B104-D104</f>
        <v>-0</v>
      </c>
      <c r="D104" s="129" t="n">
        <f aca="false">E103*$B$4/12</f>
        <v>0</v>
      </c>
      <c r="E104" s="129" t="n">
        <f aca="false">E103-C104</f>
        <v>0</v>
      </c>
    </row>
    <row r="105" customFormat="false" ht="15" hidden="false" customHeight="true" outlineLevel="0" collapsed="false">
      <c r="A105" s="127" t="n">
        <v>97</v>
      </c>
      <c r="B105" s="36" t="n">
        <f aca="false">$B$6</f>
        <v>-0</v>
      </c>
      <c r="C105" s="36" t="n">
        <f aca="false">B105-D105</f>
        <v>-0</v>
      </c>
      <c r="D105" s="36" t="n">
        <f aca="false">E104*$B$4/12</f>
        <v>0</v>
      </c>
      <c r="E105" s="36" t="n">
        <f aca="false">E104-C105</f>
        <v>0</v>
      </c>
    </row>
    <row r="106" customFormat="false" ht="15" hidden="false" customHeight="true" outlineLevel="0" collapsed="false">
      <c r="A106" s="128" t="n">
        <v>98</v>
      </c>
      <c r="B106" s="129" t="n">
        <f aca="false">$B$6</f>
        <v>-0</v>
      </c>
      <c r="C106" s="129" t="n">
        <f aca="false">B106-D106</f>
        <v>-0</v>
      </c>
      <c r="D106" s="129" t="n">
        <f aca="false">E105*$B$4/12</f>
        <v>0</v>
      </c>
      <c r="E106" s="129" t="n">
        <f aca="false">E105-C106</f>
        <v>0</v>
      </c>
    </row>
    <row r="107" customFormat="false" ht="15" hidden="false" customHeight="true" outlineLevel="0" collapsed="false">
      <c r="A107" s="127" t="n">
        <v>99</v>
      </c>
      <c r="B107" s="36" t="n">
        <f aca="false">$B$6</f>
        <v>-0</v>
      </c>
      <c r="C107" s="36" t="n">
        <f aca="false">B107-D107</f>
        <v>-0</v>
      </c>
      <c r="D107" s="36" t="n">
        <f aca="false">E106*$B$4/12</f>
        <v>0</v>
      </c>
      <c r="E107" s="36" t="n">
        <f aca="false">E106-C107</f>
        <v>0</v>
      </c>
    </row>
    <row r="108" customFormat="false" ht="15" hidden="false" customHeight="true" outlineLevel="0" collapsed="false">
      <c r="A108" s="128" t="n">
        <v>100</v>
      </c>
      <c r="B108" s="129" t="n">
        <f aca="false">$B$6</f>
        <v>-0</v>
      </c>
      <c r="C108" s="129" t="n">
        <f aca="false">B108-D108</f>
        <v>-0</v>
      </c>
      <c r="D108" s="129" t="n">
        <f aca="false">E107*$B$4/12</f>
        <v>0</v>
      </c>
      <c r="E108" s="129" t="n">
        <f aca="false">E107-C108</f>
        <v>0</v>
      </c>
    </row>
    <row r="109" customFormat="false" ht="15" hidden="false" customHeight="true" outlineLevel="0" collapsed="false">
      <c r="A109" s="127" t="n">
        <v>101</v>
      </c>
      <c r="B109" s="36" t="n">
        <f aca="false">$B$6</f>
        <v>-0</v>
      </c>
      <c r="C109" s="36" t="n">
        <f aca="false">B109-D109</f>
        <v>-0</v>
      </c>
      <c r="D109" s="36" t="n">
        <f aca="false">E108*$B$4/12</f>
        <v>0</v>
      </c>
      <c r="E109" s="36" t="n">
        <f aca="false">E108-C109</f>
        <v>0</v>
      </c>
    </row>
    <row r="110" customFormat="false" ht="15" hidden="false" customHeight="true" outlineLevel="0" collapsed="false">
      <c r="A110" s="128" t="n">
        <v>102</v>
      </c>
      <c r="B110" s="129" t="n">
        <f aca="false">$B$6</f>
        <v>-0</v>
      </c>
      <c r="C110" s="129" t="n">
        <f aca="false">B110-D110</f>
        <v>-0</v>
      </c>
      <c r="D110" s="129" t="n">
        <f aca="false">E109*$B$4/12</f>
        <v>0</v>
      </c>
      <c r="E110" s="129" t="n">
        <f aca="false">E109-C110</f>
        <v>0</v>
      </c>
    </row>
    <row r="111" customFormat="false" ht="15" hidden="false" customHeight="true" outlineLevel="0" collapsed="false">
      <c r="A111" s="127" t="n">
        <v>103</v>
      </c>
      <c r="B111" s="36" t="n">
        <f aca="false">$B$6</f>
        <v>-0</v>
      </c>
      <c r="C111" s="36" t="n">
        <f aca="false">B111-D111</f>
        <v>-0</v>
      </c>
      <c r="D111" s="36" t="n">
        <f aca="false">E110*$B$4/12</f>
        <v>0</v>
      </c>
      <c r="E111" s="36" t="n">
        <f aca="false">E110-C111</f>
        <v>0</v>
      </c>
    </row>
    <row r="112" customFormat="false" ht="15" hidden="false" customHeight="true" outlineLevel="0" collapsed="false">
      <c r="A112" s="128" t="n">
        <v>104</v>
      </c>
      <c r="B112" s="129" t="n">
        <f aca="false">$B$6</f>
        <v>-0</v>
      </c>
      <c r="C112" s="129" t="n">
        <f aca="false">B112-D112</f>
        <v>-0</v>
      </c>
      <c r="D112" s="129" t="n">
        <f aca="false">E111*$B$4/12</f>
        <v>0</v>
      </c>
      <c r="E112" s="129" t="n">
        <f aca="false">E111-C112</f>
        <v>0</v>
      </c>
    </row>
    <row r="113" customFormat="false" ht="15" hidden="false" customHeight="true" outlineLevel="0" collapsed="false">
      <c r="A113" s="127" t="n">
        <v>105</v>
      </c>
      <c r="B113" s="36" t="n">
        <f aca="false">$B$6</f>
        <v>-0</v>
      </c>
      <c r="C113" s="36" t="n">
        <f aca="false">B113-D113</f>
        <v>-0</v>
      </c>
      <c r="D113" s="36" t="n">
        <f aca="false">E112*$B$4/12</f>
        <v>0</v>
      </c>
      <c r="E113" s="36" t="n">
        <f aca="false">E112-C113</f>
        <v>0</v>
      </c>
    </row>
    <row r="114" customFormat="false" ht="15" hidden="false" customHeight="true" outlineLevel="0" collapsed="false">
      <c r="A114" s="128" t="n">
        <v>106</v>
      </c>
      <c r="B114" s="129" t="n">
        <f aca="false">$B$6</f>
        <v>-0</v>
      </c>
      <c r="C114" s="129" t="n">
        <f aca="false">B114-D114</f>
        <v>-0</v>
      </c>
      <c r="D114" s="129" t="n">
        <f aca="false">E113*$B$4/12</f>
        <v>0</v>
      </c>
      <c r="E114" s="129" t="n">
        <f aca="false">E113-C114</f>
        <v>0</v>
      </c>
    </row>
    <row r="115" customFormat="false" ht="15" hidden="false" customHeight="true" outlineLevel="0" collapsed="false">
      <c r="A115" s="127" t="n">
        <v>107</v>
      </c>
      <c r="B115" s="36" t="n">
        <f aca="false">$B$6</f>
        <v>-0</v>
      </c>
      <c r="C115" s="36" t="n">
        <f aca="false">B115-D115</f>
        <v>-0</v>
      </c>
      <c r="D115" s="36" t="n">
        <f aca="false">E114*$B$4/12</f>
        <v>0</v>
      </c>
      <c r="E115" s="36" t="n">
        <f aca="false">E114-C115</f>
        <v>0</v>
      </c>
    </row>
    <row r="116" customFormat="false" ht="15" hidden="false" customHeight="true" outlineLevel="0" collapsed="false">
      <c r="A116" s="128" t="n">
        <v>108</v>
      </c>
      <c r="B116" s="129" t="n">
        <f aca="false">$B$6</f>
        <v>-0</v>
      </c>
      <c r="C116" s="129" t="n">
        <f aca="false">B116-D116</f>
        <v>-0</v>
      </c>
      <c r="D116" s="129" t="n">
        <f aca="false">E115*$B$4/12</f>
        <v>0</v>
      </c>
      <c r="E116" s="129" t="n">
        <f aca="false">E115-C116</f>
        <v>0</v>
      </c>
    </row>
    <row r="117" customFormat="false" ht="15" hidden="false" customHeight="true" outlineLevel="0" collapsed="false">
      <c r="A117" s="127" t="n">
        <v>109</v>
      </c>
      <c r="B117" s="36" t="n">
        <f aca="false">$B$6</f>
        <v>-0</v>
      </c>
      <c r="C117" s="36" t="n">
        <f aca="false">B117-D117</f>
        <v>-0</v>
      </c>
      <c r="D117" s="36" t="n">
        <f aca="false">E116*$B$4/12</f>
        <v>0</v>
      </c>
      <c r="E117" s="36" t="n">
        <f aca="false">E116-C117</f>
        <v>0</v>
      </c>
    </row>
    <row r="118" customFormat="false" ht="15" hidden="false" customHeight="true" outlineLevel="0" collapsed="false">
      <c r="A118" s="128" t="n">
        <v>110</v>
      </c>
      <c r="B118" s="129" t="n">
        <f aca="false">$B$6</f>
        <v>-0</v>
      </c>
      <c r="C118" s="129" t="n">
        <f aca="false">B118-D118</f>
        <v>-0</v>
      </c>
      <c r="D118" s="129" t="n">
        <f aca="false">E117*$B$4/12</f>
        <v>0</v>
      </c>
      <c r="E118" s="129" t="n">
        <f aca="false">E117-C118</f>
        <v>0</v>
      </c>
    </row>
    <row r="119" customFormat="false" ht="15" hidden="false" customHeight="true" outlineLevel="0" collapsed="false">
      <c r="A119" s="127" t="n">
        <v>111</v>
      </c>
      <c r="B119" s="36" t="n">
        <f aca="false">$B$6</f>
        <v>-0</v>
      </c>
      <c r="C119" s="36" t="n">
        <f aca="false">B119-D119</f>
        <v>-0</v>
      </c>
      <c r="D119" s="36" t="n">
        <f aca="false">E118*$B$4/12</f>
        <v>0</v>
      </c>
      <c r="E119" s="36" t="n">
        <f aca="false">E118-C119</f>
        <v>0</v>
      </c>
    </row>
    <row r="120" customFormat="false" ht="15" hidden="false" customHeight="true" outlineLevel="0" collapsed="false">
      <c r="A120" s="128" t="n">
        <v>112</v>
      </c>
      <c r="B120" s="129" t="n">
        <f aca="false">$B$6</f>
        <v>-0</v>
      </c>
      <c r="C120" s="129" t="n">
        <f aca="false">B120-D120</f>
        <v>-0</v>
      </c>
      <c r="D120" s="129" t="n">
        <f aca="false">E119*$B$4/12</f>
        <v>0</v>
      </c>
      <c r="E120" s="129" t="n">
        <f aca="false">E119-C120</f>
        <v>0</v>
      </c>
    </row>
    <row r="121" customFormat="false" ht="15" hidden="false" customHeight="true" outlineLevel="0" collapsed="false">
      <c r="A121" s="127" t="n">
        <v>113</v>
      </c>
      <c r="B121" s="36" t="n">
        <f aca="false">$B$6</f>
        <v>-0</v>
      </c>
      <c r="C121" s="36" t="n">
        <f aca="false">B121-D121</f>
        <v>-0</v>
      </c>
      <c r="D121" s="36" t="n">
        <f aca="false">E120*$B$4/12</f>
        <v>0</v>
      </c>
      <c r="E121" s="36" t="n">
        <f aca="false">E120-C121</f>
        <v>0</v>
      </c>
    </row>
    <row r="122" customFormat="false" ht="15" hidden="false" customHeight="true" outlineLevel="0" collapsed="false">
      <c r="A122" s="128" t="n">
        <v>114</v>
      </c>
      <c r="B122" s="129" t="n">
        <f aca="false">$B$6</f>
        <v>-0</v>
      </c>
      <c r="C122" s="129" t="n">
        <f aca="false">B122-D122</f>
        <v>-0</v>
      </c>
      <c r="D122" s="129" t="n">
        <f aca="false">E121*$B$4/12</f>
        <v>0</v>
      </c>
      <c r="E122" s="129" t="n">
        <f aca="false">E121-C122</f>
        <v>0</v>
      </c>
    </row>
    <row r="123" customFormat="false" ht="15" hidden="false" customHeight="true" outlineLevel="0" collapsed="false">
      <c r="A123" s="127" t="n">
        <v>115</v>
      </c>
      <c r="B123" s="36" t="n">
        <f aca="false">$B$6</f>
        <v>-0</v>
      </c>
      <c r="C123" s="36" t="n">
        <f aca="false">B123-D123</f>
        <v>-0</v>
      </c>
      <c r="D123" s="36" t="n">
        <f aca="false">E122*$B$4/12</f>
        <v>0</v>
      </c>
      <c r="E123" s="36" t="n">
        <f aca="false">E122-C123</f>
        <v>0</v>
      </c>
    </row>
    <row r="124" customFormat="false" ht="15" hidden="false" customHeight="true" outlineLevel="0" collapsed="false">
      <c r="A124" s="128" t="n">
        <v>116</v>
      </c>
      <c r="B124" s="129" t="n">
        <f aca="false">$B$6</f>
        <v>-0</v>
      </c>
      <c r="C124" s="129" t="n">
        <f aca="false">B124-D124</f>
        <v>-0</v>
      </c>
      <c r="D124" s="129" t="n">
        <f aca="false">E123*$B$4/12</f>
        <v>0</v>
      </c>
      <c r="E124" s="129" t="n">
        <f aca="false">E123-C124</f>
        <v>0</v>
      </c>
    </row>
    <row r="125" customFormat="false" ht="15" hidden="false" customHeight="true" outlineLevel="0" collapsed="false">
      <c r="A125" s="127" t="n">
        <v>117</v>
      </c>
      <c r="B125" s="36" t="n">
        <f aca="false">$B$6</f>
        <v>-0</v>
      </c>
      <c r="C125" s="36" t="n">
        <f aca="false">B125-D125</f>
        <v>-0</v>
      </c>
      <c r="D125" s="36" t="n">
        <f aca="false">E124*$B$4/12</f>
        <v>0</v>
      </c>
      <c r="E125" s="36" t="n">
        <f aca="false">E124-C125</f>
        <v>0</v>
      </c>
    </row>
    <row r="126" customFormat="false" ht="15" hidden="false" customHeight="true" outlineLevel="0" collapsed="false">
      <c r="A126" s="128" t="n">
        <v>118</v>
      </c>
      <c r="B126" s="129" t="n">
        <f aca="false">$B$6</f>
        <v>-0</v>
      </c>
      <c r="C126" s="129" t="n">
        <f aca="false">B126-D126</f>
        <v>-0</v>
      </c>
      <c r="D126" s="129" t="n">
        <f aca="false">E125*$B$4/12</f>
        <v>0</v>
      </c>
      <c r="E126" s="129" t="n">
        <f aca="false">E125-C126</f>
        <v>0</v>
      </c>
    </row>
    <row r="127" customFormat="false" ht="15" hidden="false" customHeight="true" outlineLevel="0" collapsed="false">
      <c r="A127" s="127" t="n">
        <v>119</v>
      </c>
      <c r="B127" s="36" t="n">
        <f aca="false">$B$6</f>
        <v>-0</v>
      </c>
      <c r="C127" s="36" t="n">
        <f aca="false">B127-D127</f>
        <v>-0</v>
      </c>
      <c r="D127" s="36" t="n">
        <f aca="false">E126*$B$4/12</f>
        <v>0</v>
      </c>
      <c r="E127" s="36" t="n">
        <f aca="false">E126-C127</f>
        <v>0</v>
      </c>
    </row>
    <row r="128" customFormat="false" ht="15" hidden="false" customHeight="true" outlineLevel="0" collapsed="false">
      <c r="A128" s="128" t="n">
        <v>120</v>
      </c>
      <c r="B128" s="129" t="n">
        <f aca="false">$B$6</f>
        <v>-0</v>
      </c>
      <c r="C128" s="129" t="n">
        <f aca="false">B128-D128</f>
        <v>-0</v>
      </c>
      <c r="D128" s="129" t="n">
        <f aca="false">E127*$B$4/12</f>
        <v>0</v>
      </c>
      <c r="E128" s="129" t="n">
        <f aca="false">E127-C128</f>
        <v>0</v>
      </c>
    </row>
    <row r="129" customFormat="false" ht="15" hidden="false" customHeight="true" outlineLevel="0" collapsed="false">
      <c r="A129" s="127" t="n">
        <v>121</v>
      </c>
      <c r="B129" s="36" t="n">
        <f aca="false">$B$6</f>
        <v>-0</v>
      </c>
      <c r="C129" s="36" t="n">
        <f aca="false">B129-D129</f>
        <v>-0</v>
      </c>
      <c r="D129" s="36" t="n">
        <f aca="false">E128*$B$4/12</f>
        <v>0</v>
      </c>
      <c r="E129" s="36" t="n">
        <f aca="false">E128-C129</f>
        <v>0</v>
      </c>
    </row>
    <row r="130" customFormat="false" ht="15" hidden="false" customHeight="true" outlineLevel="0" collapsed="false">
      <c r="A130" s="128" t="n">
        <v>122</v>
      </c>
      <c r="B130" s="129" t="n">
        <f aca="false">$B$6</f>
        <v>-0</v>
      </c>
      <c r="C130" s="129" t="n">
        <f aca="false">B130-D130</f>
        <v>-0</v>
      </c>
      <c r="D130" s="129" t="n">
        <f aca="false">E129*$B$4/12</f>
        <v>0</v>
      </c>
      <c r="E130" s="129" t="n">
        <f aca="false">E129-C130</f>
        <v>0</v>
      </c>
    </row>
    <row r="131" customFormat="false" ht="15" hidden="false" customHeight="true" outlineLevel="0" collapsed="false">
      <c r="A131" s="127" t="n">
        <v>123</v>
      </c>
      <c r="B131" s="36" t="n">
        <f aca="false">$B$6</f>
        <v>-0</v>
      </c>
      <c r="C131" s="36" t="n">
        <f aca="false">B131-D131</f>
        <v>-0</v>
      </c>
      <c r="D131" s="36" t="n">
        <f aca="false">E130*$B$4/12</f>
        <v>0</v>
      </c>
      <c r="E131" s="36" t="n">
        <f aca="false">E130-C131</f>
        <v>0</v>
      </c>
    </row>
    <row r="132" customFormat="false" ht="15" hidden="false" customHeight="true" outlineLevel="0" collapsed="false">
      <c r="A132" s="128" t="n">
        <v>124</v>
      </c>
      <c r="B132" s="129" t="n">
        <f aca="false">$B$6</f>
        <v>-0</v>
      </c>
      <c r="C132" s="129" t="n">
        <f aca="false">B132-D132</f>
        <v>-0</v>
      </c>
      <c r="D132" s="129" t="n">
        <f aca="false">E131*$B$4/12</f>
        <v>0</v>
      </c>
      <c r="E132" s="129" t="n">
        <f aca="false">E131-C132</f>
        <v>0</v>
      </c>
    </row>
    <row r="133" customFormat="false" ht="15" hidden="false" customHeight="true" outlineLevel="0" collapsed="false">
      <c r="A133" s="127" t="n">
        <v>125</v>
      </c>
      <c r="B133" s="36" t="n">
        <f aca="false">$B$6</f>
        <v>-0</v>
      </c>
      <c r="C133" s="36" t="n">
        <f aca="false">B133-D133</f>
        <v>-0</v>
      </c>
      <c r="D133" s="36" t="n">
        <f aca="false">E132*$B$4/12</f>
        <v>0</v>
      </c>
      <c r="E133" s="36" t="n">
        <f aca="false">E132-C133</f>
        <v>0</v>
      </c>
    </row>
    <row r="134" customFormat="false" ht="15" hidden="false" customHeight="true" outlineLevel="0" collapsed="false">
      <c r="A134" s="128" t="n">
        <v>126</v>
      </c>
      <c r="B134" s="129" t="n">
        <f aca="false">$B$6</f>
        <v>-0</v>
      </c>
      <c r="C134" s="129" t="n">
        <f aca="false">B134-D134</f>
        <v>-0</v>
      </c>
      <c r="D134" s="129" t="n">
        <f aca="false">E133*$B$4/12</f>
        <v>0</v>
      </c>
      <c r="E134" s="129" t="n">
        <f aca="false">E133-C134</f>
        <v>0</v>
      </c>
    </row>
    <row r="135" customFormat="false" ht="15" hidden="false" customHeight="true" outlineLevel="0" collapsed="false">
      <c r="A135" s="127" t="n">
        <v>127</v>
      </c>
      <c r="B135" s="36" t="n">
        <f aca="false">$B$6</f>
        <v>-0</v>
      </c>
      <c r="C135" s="36" t="n">
        <f aca="false">B135-D135</f>
        <v>-0</v>
      </c>
      <c r="D135" s="36" t="n">
        <f aca="false">E134*$B$4/12</f>
        <v>0</v>
      </c>
      <c r="E135" s="36" t="n">
        <f aca="false">E134-C135</f>
        <v>0</v>
      </c>
    </row>
    <row r="136" customFormat="false" ht="15" hidden="false" customHeight="true" outlineLevel="0" collapsed="false">
      <c r="A136" s="128" t="n">
        <v>128</v>
      </c>
      <c r="B136" s="129" t="n">
        <f aca="false">$B$6</f>
        <v>-0</v>
      </c>
      <c r="C136" s="129" t="n">
        <f aca="false">B136-D136</f>
        <v>-0</v>
      </c>
      <c r="D136" s="129" t="n">
        <f aca="false">E135*$B$4/12</f>
        <v>0</v>
      </c>
      <c r="E136" s="129" t="n">
        <f aca="false">E135-C136</f>
        <v>0</v>
      </c>
    </row>
    <row r="137" customFormat="false" ht="15" hidden="false" customHeight="true" outlineLevel="0" collapsed="false">
      <c r="A137" s="127" t="n">
        <v>129</v>
      </c>
      <c r="B137" s="36" t="n">
        <f aca="false">$B$6</f>
        <v>-0</v>
      </c>
      <c r="C137" s="36" t="n">
        <f aca="false">B137-D137</f>
        <v>-0</v>
      </c>
      <c r="D137" s="36" t="n">
        <f aca="false">E136*$B$4/12</f>
        <v>0</v>
      </c>
      <c r="E137" s="36" t="n">
        <f aca="false">E136-C137</f>
        <v>0</v>
      </c>
    </row>
    <row r="138" customFormat="false" ht="15" hidden="false" customHeight="true" outlineLevel="0" collapsed="false">
      <c r="A138" s="128" t="n">
        <v>130</v>
      </c>
      <c r="B138" s="129" t="n">
        <f aca="false">$B$6</f>
        <v>-0</v>
      </c>
      <c r="C138" s="129" t="n">
        <f aca="false">B138-D138</f>
        <v>-0</v>
      </c>
      <c r="D138" s="129" t="n">
        <f aca="false">E137*$B$4/12</f>
        <v>0</v>
      </c>
      <c r="E138" s="129" t="n">
        <f aca="false">E137-C138</f>
        <v>0</v>
      </c>
    </row>
    <row r="139" customFormat="false" ht="15" hidden="false" customHeight="true" outlineLevel="0" collapsed="false">
      <c r="A139" s="127" t="n">
        <v>131</v>
      </c>
      <c r="B139" s="36" t="n">
        <f aca="false">$B$6</f>
        <v>-0</v>
      </c>
      <c r="C139" s="36" t="n">
        <f aca="false">B139-D139</f>
        <v>-0</v>
      </c>
      <c r="D139" s="36" t="n">
        <f aca="false">E138*$B$4/12</f>
        <v>0</v>
      </c>
      <c r="E139" s="36" t="n">
        <f aca="false">E138-C139</f>
        <v>0</v>
      </c>
    </row>
    <row r="140" customFormat="false" ht="15" hidden="false" customHeight="true" outlineLevel="0" collapsed="false">
      <c r="A140" s="128" t="n">
        <v>132</v>
      </c>
      <c r="B140" s="129" t="n">
        <f aca="false">$B$6</f>
        <v>-0</v>
      </c>
      <c r="C140" s="129" t="n">
        <f aca="false">B140-D140</f>
        <v>-0</v>
      </c>
      <c r="D140" s="129" t="n">
        <f aca="false">E139*$B$4/12</f>
        <v>0</v>
      </c>
      <c r="E140" s="129" t="n">
        <f aca="false">E139-C140</f>
        <v>0</v>
      </c>
    </row>
    <row r="141" customFormat="false" ht="15" hidden="false" customHeight="true" outlineLevel="0" collapsed="false">
      <c r="A141" s="127" t="n">
        <v>133</v>
      </c>
      <c r="B141" s="36" t="n">
        <f aca="false">$B$6</f>
        <v>-0</v>
      </c>
      <c r="C141" s="36" t="n">
        <f aca="false">B141-D141</f>
        <v>-0</v>
      </c>
      <c r="D141" s="36" t="n">
        <f aca="false">E140*$B$4/12</f>
        <v>0</v>
      </c>
      <c r="E141" s="36" t="n">
        <f aca="false">E140-C141</f>
        <v>0</v>
      </c>
    </row>
    <row r="142" customFormat="false" ht="15" hidden="false" customHeight="true" outlineLevel="0" collapsed="false">
      <c r="A142" s="128" t="n">
        <v>134</v>
      </c>
      <c r="B142" s="129" t="n">
        <f aca="false">$B$6</f>
        <v>-0</v>
      </c>
      <c r="C142" s="129" t="n">
        <f aca="false">B142-D142</f>
        <v>-0</v>
      </c>
      <c r="D142" s="129" t="n">
        <f aca="false">E141*$B$4/12</f>
        <v>0</v>
      </c>
      <c r="E142" s="129" t="n">
        <f aca="false">E141-C142</f>
        <v>0</v>
      </c>
    </row>
    <row r="143" customFormat="false" ht="15" hidden="false" customHeight="true" outlineLevel="0" collapsed="false">
      <c r="A143" s="127" t="n">
        <v>135</v>
      </c>
      <c r="B143" s="36" t="n">
        <f aca="false">$B$6</f>
        <v>-0</v>
      </c>
      <c r="C143" s="36" t="n">
        <f aca="false">B143-D143</f>
        <v>-0</v>
      </c>
      <c r="D143" s="36" t="n">
        <f aca="false">E142*$B$4/12</f>
        <v>0</v>
      </c>
      <c r="E143" s="36" t="n">
        <f aca="false">E142-C143</f>
        <v>0</v>
      </c>
    </row>
    <row r="144" customFormat="false" ht="15" hidden="false" customHeight="true" outlineLevel="0" collapsed="false">
      <c r="A144" s="128" t="n">
        <v>136</v>
      </c>
      <c r="B144" s="129" t="n">
        <f aca="false">$B$6</f>
        <v>-0</v>
      </c>
      <c r="C144" s="129" t="n">
        <f aca="false">B144-D144</f>
        <v>-0</v>
      </c>
      <c r="D144" s="129" t="n">
        <f aca="false">E143*$B$4/12</f>
        <v>0</v>
      </c>
      <c r="E144" s="129" t="n">
        <f aca="false">E143-C144</f>
        <v>0</v>
      </c>
    </row>
    <row r="145" customFormat="false" ht="15" hidden="false" customHeight="true" outlineLevel="0" collapsed="false">
      <c r="A145" s="127" t="n">
        <v>137</v>
      </c>
      <c r="B145" s="36" t="n">
        <f aca="false">$B$6</f>
        <v>-0</v>
      </c>
      <c r="C145" s="36" t="n">
        <f aca="false">B145-D145</f>
        <v>-0</v>
      </c>
      <c r="D145" s="36" t="n">
        <f aca="false">E144*$B$4/12</f>
        <v>0</v>
      </c>
      <c r="E145" s="36" t="n">
        <f aca="false">E144-C145</f>
        <v>0</v>
      </c>
    </row>
    <row r="146" customFormat="false" ht="15" hidden="false" customHeight="true" outlineLevel="0" collapsed="false">
      <c r="A146" s="128" t="n">
        <v>138</v>
      </c>
      <c r="B146" s="129" t="n">
        <f aca="false">$B$6</f>
        <v>-0</v>
      </c>
      <c r="C146" s="129" t="n">
        <f aca="false">B146-D146</f>
        <v>-0</v>
      </c>
      <c r="D146" s="129" t="n">
        <f aca="false">E145*$B$4/12</f>
        <v>0</v>
      </c>
      <c r="E146" s="129" t="n">
        <f aca="false">E145-C146</f>
        <v>0</v>
      </c>
    </row>
    <row r="147" customFormat="false" ht="15" hidden="false" customHeight="true" outlineLevel="0" collapsed="false">
      <c r="A147" s="127" t="n">
        <v>139</v>
      </c>
      <c r="B147" s="36" t="n">
        <f aca="false">$B$6</f>
        <v>-0</v>
      </c>
      <c r="C147" s="36" t="n">
        <f aca="false">B147-D147</f>
        <v>-0</v>
      </c>
      <c r="D147" s="36" t="n">
        <f aca="false">E146*$B$4/12</f>
        <v>0</v>
      </c>
      <c r="E147" s="36" t="n">
        <f aca="false">E146-C147</f>
        <v>0</v>
      </c>
    </row>
    <row r="148" customFormat="false" ht="15" hidden="false" customHeight="true" outlineLevel="0" collapsed="false">
      <c r="A148" s="128" t="n">
        <v>140</v>
      </c>
      <c r="B148" s="129" t="n">
        <f aca="false">$B$6</f>
        <v>-0</v>
      </c>
      <c r="C148" s="129" t="n">
        <f aca="false">B148-D148</f>
        <v>-0</v>
      </c>
      <c r="D148" s="129" t="n">
        <f aca="false">E147*$B$4/12</f>
        <v>0</v>
      </c>
      <c r="E148" s="129" t="n">
        <f aca="false">E147-C148</f>
        <v>0</v>
      </c>
    </row>
    <row r="149" customFormat="false" ht="15" hidden="false" customHeight="true" outlineLevel="0" collapsed="false">
      <c r="A149" s="127" t="n">
        <v>141</v>
      </c>
      <c r="B149" s="36" t="n">
        <f aca="false">$B$6</f>
        <v>-0</v>
      </c>
      <c r="C149" s="36" t="n">
        <f aca="false">B149-D149</f>
        <v>-0</v>
      </c>
      <c r="D149" s="36" t="n">
        <f aca="false">E148*$B$4/12</f>
        <v>0</v>
      </c>
      <c r="E149" s="36" t="n">
        <f aca="false">E148-C149</f>
        <v>0</v>
      </c>
    </row>
    <row r="150" customFormat="false" ht="15" hidden="false" customHeight="true" outlineLevel="0" collapsed="false">
      <c r="A150" s="128" t="n">
        <v>142</v>
      </c>
      <c r="B150" s="129" t="n">
        <f aca="false">$B$6</f>
        <v>-0</v>
      </c>
      <c r="C150" s="129" t="n">
        <f aca="false">B150-D150</f>
        <v>-0</v>
      </c>
      <c r="D150" s="129" t="n">
        <f aca="false">E149*$B$4/12</f>
        <v>0</v>
      </c>
      <c r="E150" s="129" t="n">
        <f aca="false">E149-C150</f>
        <v>0</v>
      </c>
    </row>
    <row r="151" customFormat="false" ht="15" hidden="false" customHeight="true" outlineLevel="0" collapsed="false">
      <c r="A151" s="127" t="n">
        <v>143</v>
      </c>
      <c r="B151" s="36" t="n">
        <f aca="false">$B$6</f>
        <v>-0</v>
      </c>
      <c r="C151" s="36" t="n">
        <f aca="false">B151-D151</f>
        <v>-0</v>
      </c>
      <c r="D151" s="36" t="n">
        <f aca="false">E150*$B$4/12</f>
        <v>0</v>
      </c>
      <c r="E151" s="36" t="n">
        <f aca="false">E150-C151</f>
        <v>0</v>
      </c>
    </row>
    <row r="152" customFormat="false" ht="15" hidden="false" customHeight="true" outlineLevel="0" collapsed="false">
      <c r="A152" s="128" t="n">
        <v>144</v>
      </c>
      <c r="B152" s="129" t="n">
        <f aca="false">$B$6</f>
        <v>-0</v>
      </c>
      <c r="C152" s="129" t="n">
        <f aca="false">B152-D152</f>
        <v>-0</v>
      </c>
      <c r="D152" s="129" t="n">
        <f aca="false">E151*$B$4/12</f>
        <v>0</v>
      </c>
      <c r="E152" s="129" t="n">
        <f aca="false">E151-C152</f>
        <v>0</v>
      </c>
    </row>
    <row r="153" customFormat="false" ht="15" hidden="false" customHeight="true" outlineLevel="0" collapsed="false">
      <c r="A153" s="127" t="n">
        <v>145</v>
      </c>
      <c r="B153" s="36" t="n">
        <f aca="false">$B$6</f>
        <v>-0</v>
      </c>
      <c r="C153" s="36" t="n">
        <f aca="false">B153-D153</f>
        <v>-0</v>
      </c>
      <c r="D153" s="36" t="n">
        <f aca="false">E152*$B$4/12</f>
        <v>0</v>
      </c>
      <c r="E153" s="36" t="n">
        <f aca="false">E152-C153</f>
        <v>0</v>
      </c>
    </row>
    <row r="154" customFormat="false" ht="15" hidden="false" customHeight="true" outlineLevel="0" collapsed="false">
      <c r="A154" s="128" t="n">
        <v>146</v>
      </c>
      <c r="B154" s="129" t="n">
        <f aca="false">$B$6</f>
        <v>-0</v>
      </c>
      <c r="C154" s="129" t="n">
        <f aca="false">B154-D154</f>
        <v>-0</v>
      </c>
      <c r="D154" s="129" t="n">
        <f aca="false">E153*$B$4/12</f>
        <v>0</v>
      </c>
      <c r="E154" s="129" t="n">
        <f aca="false">E153-C154</f>
        <v>0</v>
      </c>
    </row>
    <row r="155" customFormat="false" ht="15" hidden="false" customHeight="true" outlineLevel="0" collapsed="false">
      <c r="A155" s="127" t="n">
        <v>147</v>
      </c>
      <c r="B155" s="36" t="n">
        <f aca="false">$B$6</f>
        <v>-0</v>
      </c>
      <c r="C155" s="36" t="n">
        <f aca="false">B155-D155</f>
        <v>-0</v>
      </c>
      <c r="D155" s="36" t="n">
        <f aca="false">E154*$B$4/12</f>
        <v>0</v>
      </c>
      <c r="E155" s="36" t="n">
        <f aca="false">E154-C155</f>
        <v>0</v>
      </c>
    </row>
    <row r="156" customFormat="false" ht="15" hidden="false" customHeight="true" outlineLevel="0" collapsed="false">
      <c r="A156" s="128" t="n">
        <v>148</v>
      </c>
      <c r="B156" s="129" t="n">
        <f aca="false">$B$6</f>
        <v>-0</v>
      </c>
      <c r="C156" s="129" t="n">
        <f aca="false">B156-D156</f>
        <v>-0</v>
      </c>
      <c r="D156" s="129" t="n">
        <f aca="false">E155*$B$4/12</f>
        <v>0</v>
      </c>
      <c r="E156" s="129" t="n">
        <f aca="false">E155-C156</f>
        <v>0</v>
      </c>
    </row>
    <row r="157" customFormat="false" ht="15" hidden="false" customHeight="true" outlineLevel="0" collapsed="false">
      <c r="A157" s="127" t="n">
        <v>149</v>
      </c>
      <c r="B157" s="36" t="n">
        <f aca="false">$B$6</f>
        <v>-0</v>
      </c>
      <c r="C157" s="36" t="n">
        <f aca="false">B157-D157</f>
        <v>-0</v>
      </c>
      <c r="D157" s="36" t="n">
        <f aca="false">E156*$B$4/12</f>
        <v>0</v>
      </c>
      <c r="E157" s="36" t="n">
        <f aca="false">E156-C157</f>
        <v>0</v>
      </c>
    </row>
    <row r="158" customFormat="false" ht="15" hidden="false" customHeight="true" outlineLevel="0" collapsed="false">
      <c r="A158" s="128" t="n">
        <v>150</v>
      </c>
      <c r="B158" s="129" t="n">
        <f aca="false">$B$6</f>
        <v>-0</v>
      </c>
      <c r="C158" s="129" t="n">
        <f aca="false">B158-D158</f>
        <v>-0</v>
      </c>
      <c r="D158" s="129" t="n">
        <f aca="false">E157*$B$4/12</f>
        <v>0</v>
      </c>
      <c r="E158" s="129" t="n">
        <f aca="false">E157-C158</f>
        <v>0</v>
      </c>
    </row>
    <row r="159" customFormat="false" ht="15" hidden="false" customHeight="true" outlineLevel="0" collapsed="false">
      <c r="A159" s="127" t="n">
        <v>151</v>
      </c>
      <c r="B159" s="36" t="n">
        <f aca="false">$B$6</f>
        <v>-0</v>
      </c>
      <c r="C159" s="36" t="n">
        <f aca="false">B159-D159</f>
        <v>-0</v>
      </c>
      <c r="D159" s="36" t="n">
        <f aca="false">E158*$B$4/12</f>
        <v>0</v>
      </c>
      <c r="E159" s="36" t="n">
        <f aca="false">E158-C159</f>
        <v>0</v>
      </c>
    </row>
    <row r="160" customFormat="false" ht="15" hidden="false" customHeight="true" outlineLevel="0" collapsed="false">
      <c r="A160" s="128" t="n">
        <v>152</v>
      </c>
      <c r="B160" s="129" t="n">
        <f aca="false">$B$6</f>
        <v>-0</v>
      </c>
      <c r="C160" s="129" t="n">
        <f aca="false">B160-D160</f>
        <v>-0</v>
      </c>
      <c r="D160" s="129" t="n">
        <f aca="false">E159*$B$4/12</f>
        <v>0</v>
      </c>
      <c r="E160" s="129" t="n">
        <f aca="false">E159-C160</f>
        <v>0</v>
      </c>
    </row>
    <row r="161" customFormat="false" ht="15" hidden="false" customHeight="true" outlineLevel="0" collapsed="false">
      <c r="A161" s="127" t="n">
        <v>153</v>
      </c>
      <c r="B161" s="36" t="n">
        <f aca="false">$B$6</f>
        <v>-0</v>
      </c>
      <c r="C161" s="36" t="n">
        <f aca="false">B161-D161</f>
        <v>-0</v>
      </c>
      <c r="D161" s="36" t="n">
        <f aca="false">E160*$B$4/12</f>
        <v>0</v>
      </c>
      <c r="E161" s="36" t="n">
        <f aca="false">E160-C161</f>
        <v>0</v>
      </c>
    </row>
    <row r="162" customFormat="false" ht="15" hidden="false" customHeight="true" outlineLevel="0" collapsed="false">
      <c r="A162" s="128" t="n">
        <v>154</v>
      </c>
      <c r="B162" s="129" t="n">
        <f aca="false">$B$6</f>
        <v>-0</v>
      </c>
      <c r="C162" s="129" t="n">
        <f aca="false">B162-D162</f>
        <v>-0</v>
      </c>
      <c r="D162" s="129" t="n">
        <f aca="false">E161*$B$4/12</f>
        <v>0</v>
      </c>
      <c r="E162" s="129" t="n">
        <f aca="false">E161-C162</f>
        <v>0</v>
      </c>
    </row>
    <row r="163" customFormat="false" ht="15" hidden="false" customHeight="true" outlineLevel="0" collapsed="false">
      <c r="A163" s="127" t="n">
        <v>155</v>
      </c>
      <c r="B163" s="36" t="n">
        <f aca="false">$B$6</f>
        <v>-0</v>
      </c>
      <c r="C163" s="36" t="n">
        <f aca="false">B163-D163</f>
        <v>-0</v>
      </c>
      <c r="D163" s="36" t="n">
        <f aca="false">E162*$B$4/12</f>
        <v>0</v>
      </c>
      <c r="E163" s="36" t="n">
        <f aca="false">E162-C163</f>
        <v>0</v>
      </c>
    </row>
    <row r="164" customFormat="false" ht="15" hidden="false" customHeight="true" outlineLevel="0" collapsed="false">
      <c r="A164" s="128" t="n">
        <v>156</v>
      </c>
      <c r="B164" s="129" t="n">
        <f aca="false">$B$6</f>
        <v>-0</v>
      </c>
      <c r="C164" s="129" t="n">
        <f aca="false">B164-D164</f>
        <v>-0</v>
      </c>
      <c r="D164" s="129" t="n">
        <f aca="false">E163*$B$4/12</f>
        <v>0</v>
      </c>
      <c r="E164" s="129" t="n">
        <f aca="false">E163-C164</f>
        <v>0</v>
      </c>
    </row>
    <row r="165" customFormat="false" ht="15" hidden="false" customHeight="true" outlineLevel="0" collapsed="false">
      <c r="A165" s="127" t="n">
        <v>157</v>
      </c>
      <c r="B165" s="36" t="n">
        <f aca="false">$B$6</f>
        <v>-0</v>
      </c>
      <c r="C165" s="36" t="n">
        <f aca="false">B165-D165</f>
        <v>-0</v>
      </c>
      <c r="D165" s="36" t="n">
        <f aca="false">E164*$B$4/12</f>
        <v>0</v>
      </c>
      <c r="E165" s="36" t="n">
        <f aca="false">E164-C165</f>
        <v>0</v>
      </c>
    </row>
    <row r="166" customFormat="false" ht="15" hidden="false" customHeight="true" outlineLevel="0" collapsed="false">
      <c r="A166" s="128" t="n">
        <v>158</v>
      </c>
      <c r="B166" s="129" t="n">
        <f aca="false">$B$6</f>
        <v>-0</v>
      </c>
      <c r="C166" s="129" t="n">
        <f aca="false">B166-D166</f>
        <v>-0</v>
      </c>
      <c r="D166" s="129" t="n">
        <f aca="false">E165*$B$4/12</f>
        <v>0</v>
      </c>
      <c r="E166" s="129" t="n">
        <f aca="false">E165-C166</f>
        <v>0</v>
      </c>
    </row>
    <row r="167" customFormat="false" ht="15" hidden="false" customHeight="true" outlineLevel="0" collapsed="false">
      <c r="A167" s="127" t="n">
        <v>159</v>
      </c>
      <c r="B167" s="36" t="n">
        <f aca="false">$B$6</f>
        <v>-0</v>
      </c>
      <c r="C167" s="36" t="n">
        <f aca="false">B167-D167</f>
        <v>-0</v>
      </c>
      <c r="D167" s="36" t="n">
        <f aca="false">E166*$B$4/12</f>
        <v>0</v>
      </c>
      <c r="E167" s="36" t="n">
        <f aca="false">E166-C167</f>
        <v>0</v>
      </c>
    </row>
    <row r="168" customFormat="false" ht="15" hidden="false" customHeight="true" outlineLevel="0" collapsed="false">
      <c r="A168" s="128" t="n">
        <v>160</v>
      </c>
      <c r="B168" s="129" t="n">
        <f aca="false">$B$6</f>
        <v>-0</v>
      </c>
      <c r="C168" s="129" t="n">
        <f aca="false">B168-D168</f>
        <v>-0</v>
      </c>
      <c r="D168" s="129" t="n">
        <f aca="false">E167*$B$4/12</f>
        <v>0</v>
      </c>
      <c r="E168" s="129" t="n">
        <f aca="false">E167-C168</f>
        <v>0</v>
      </c>
    </row>
    <row r="169" customFormat="false" ht="15" hidden="false" customHeight="true" outlineLevel="0" collapsed="false">
      <c r="A169" s="127" t="n">
        <v>161</v>
      </c>
      <c r="B169" s="36" t="n">
        <f aca="false">$B$6</f>
        <v>-0</v>
      </c>
      <c r="C169" s="36" t="n">
        <f aca="false">B169-D169</f>
        <v>-0</v>
      </c>
      <c r="D169" s="36" t="n">
        <f aca="false">E168*$B$4/12</f>
        <v>0</v>
      </c>
      <c r="E169" s="36" t="n">
        <f aca="false">E168-C169</f>
        <v>0</v>
      </c>
    </row>
    <row r="170" customFormat="false" ht="15" hidden="false" customHeight="true" outlineLevel="0" collapsed="false">
      <c r="A170" s="128" t="n">
        <v>162</v>
      </c>
      <c r="B170" s="129" t="n">
        <f aca="false">$B$6</f>
        <v>-0</v>
      </c>
      <c r="C170" s="129" t="n">
        <f aca="false">B170-D170</f>
        <v>-0</v>
      </c>
      <c r="D170" s="129" t="n">
        <f aca="false">E169*$B$4/12</f>
        <v>0</v>
      </c>
      <c r="E170" s="129" t="n">
        <f aca="false">E169-C170</f>
        <v>0</v>
      </c>
    </row>
    <row r="171" customFormat="false" ht="15" hidden="false" customHeight="true" outlineLevel="0" collapsed="false">
      <c r="A171" s="127" t="n">
        <v>163</v>
      </c>
      <c r="B171" s="36" t="n">
        <f aca="false">$B$6</f>
        <v>-0</v>
      </c>
      <c r="C171" s="36" t="n">
        <f aca="false">B171-D171</f>
        <v>-0</v>
      </c>
      <c r="D171" s="36" t="n">
        <f aca="false">E170*$B$4/12</f>
        <v>0</v>
      </c>
      <c r="E171" s="36" t="n">
        <f aca="false">E170-C171</f>
        <v>0</v>
      </c>
    </row>
    <row r="172" customFormat="false" ht="15" hidden="false" customHeight="true" outlineLevel="0" collapsed="false">
      <c r="A172" s="128" t="n">
        <v>164</v>
      </c>
      <c r="B172" s="129" t="n">
        <f aca="false">$B$6</f>
        <v>-0</v>
      </c>
      <c r="C172" s="129" t="n">
        <f aca="false">B172-D172</f>
        <v>-0</v>
      </c>
      <c r="D172" s="129" t="n">
        <f aca="false">E171*$B$4/12</f>
        <v>0</v>
      </c>
      <c r="E172" s="129" t="n">
        <f aca="false">E171-C172</f>
        <v>0</v>
      </c>
    </row>
    <row r="173" customFormat="false" ht="15" hidden="false" customHeight="true" outlineLevel="0" collapsed="false">
      <c r="A173" s="127" t="n">
        <v>165</v>
      </c>
      <c r="B173" s="36" t="n">
        <f aca="false">$B$6</f>
        <v>-0</v>
      </c>
      <c r="C173" s="36" t="n">
        <f aca="false">B173-D173</f>
        <v>-0</v>
      </c>
      <c r="D173" s="36" t="n">
        <f aca="false">E172*$B$4/12</f>
        <v>0</v>
      </c>
      <c r="E173" s="36" t="n">
        <f aca="false">E172-C173</f>
        <v>0</v>
      </c>
    </row>
    <row r="174" customFormat="false" ht="15" hidden="false" customHeight="true" outlineLevel="0" collapsed="false">
      <c r="A174" s="128" t="n">
        <v>166</v>
      </c>
      <c r="B174" s="129" t="n">
        <f aca="false">$B$6</f>
        <v>-0</v>
      </c>
      <c r="C174" s="129" t="n">
        <f aca="false">B174-D174</f>
        <v>-0</v>
      </c>
      <c r="D174" s="129" t="n">
        <f aca="false">E173*$B$4/12</f>
        <v>0</v>
      </c>
      <c r="E174" s="129" t="n">
        <f aca="false">E173-C174</f>
        <v>0</v>
      </c>
    </row>
    <row r="175" customFormat="false" ht="15" hidden="false" customHeight="true" outlineLevel="0" collapsed="false">
      <c r="A175" s="127" t="n">
        <v>167</v>
      </c>
      <c r="B175" s="36" t="n">
        <f aca="false">$B$6</f>
        <v>-0</v>
      </c>
      <c r="C175" s="36" t="n">
        <f aca="false">B175-D175</f>
        <v>-0</v>
      </c>
      <c r="D175" s="36" t="n">
        <f aca="false">E174*$B$4/12</f>
        <v>0</v>
      </c>
      <c r="E175" s="36" t="n">
        <f aca="false">E174-C175</f>
        <v>0</v>
      </c>
    </row>
    <row r="176" customFormat="false" ht="15" hidden="false" customHeight="true" outlineLevel="0" collapsed="false">
      <c r="A176" s="128" t="n">
        <v>168</v>
      </c>
      <c r="B176" s="129" t="n">
        <f aca="false">$B$6</f>
        <v>-0</v>
      </c>
      <c r="C176" s="129" t="n">
        <f aca="false">B176-D176</f>
        <v>-0</v>
      </c>
      <c r="D176" s="129" t="n">
        <f aca="false">E175*$B$4/12</f>
        <v>0</v>
      </c>
      <c r="E176" s="129" t="n">
        <f aca="false">E175-C176</f>
        <v>0</v>
      </c>
    </row>
    <row r="177" customFormat="false" ht="15" hidden="false" customHeight="true" outlineLevel="0" collapsed="false">
      <c r="A177" s="127" t="n">
        <v>169</v>
      </c>
      <c r="B177" s="36" t="n">
        <f aca="false">$B$6</f>
        <v>-0</v>
      </c>
      <c r="C177" s="36" t="n">
        <f aca="false">B177-D177</f>
        <v>-0</v>
      </c>
      <c r="D177" s="36" t="n">
        <f aca="false">E176*$B$4/12</f>
        <v>0</v>
      </c>
      <c r="E177" s="36" t="n">
        <f aca="false">E176-C177</f>
        <v>0</v>
      </c>
    </row>
    <row r="178" customFormat="false" ht="15" hidden="false" customHeight="true" outlineLevel="0" collapsed="false">
      <c r="A178" s="128" t="n">
        <v>170</v>
      </c>
      <c r="B178" s="129" t="n">
        <f aca="false">$B$6</f>
        <v>-0</v>
      </c>
      <c r="C178" s="129" t="n">
        <f aca="false">B178-D178</f>
        <v>-0</v>
      </c>
      <c r="D178" s="129" t="n">
        <f aca="false">E177*$B$4/12</f>
        <v>0</v>
      </c>
      <c r="E178" s="129" t="n">
        <f aca="false">E177-C178</f>
        <v>0</v>
      </c>
    </row>
    <row r="179" customFormat="false" ht="15" hidden="false" customHeight="true" outlineLevel="0" collapsed="false">
      <c r="A179" s="127" t="n">
        <v>171</v>
      </c>
      <c r="B179" s="36" t="n">
        <f aca="false">$B$6</f>
        <v>-0</v>
      </c>
      <c r="C179" s="36" t="n">
        <f aca="false">B179-D179</f>
        <v>-0</v>
      </c>
      <c r="D179" s="36" t="n">
        <f aca="false">E178*$B$4/12</f>
        <v>0</v>
      </c>
      <c r="E179" s="36" t="n">
        <f aca="false">E178-C179</f>
        <v>0</v>
      </c>
    </row>
    <row r="180" customFormat="false" ht="15" hidden="false" customHeight="true" outlineLevel="0" collapsed="false">
      <c r="A180" s="128" t="n">
        <v>172</v>
      </c>
      <c r="B180" s="129" t="n">
        <f aca="false">$B$6</f>
        <v>-0</v>
      </c>
      <c r="C180" s="129" t="n">
        <f aca="false">B180-D180</f>
        <v>-0</v>
      </c>
      <c r="D180" s="129" t="n">
        <f aca="false">E179*$B$4/12</f>
        <v>0</v>
      </c>
      <c r="E180" s="129" t="n">
        <f aca="false">E179-C180</f>
        <v>0</v>
      </c>
    </row>
    <row r="181" customFormat="false" ht="15" hidden="false" customHeight="true" outlineLevel="0" collapsed="false">
      <c r="A181" s="127" t="n">
        <v>173</v>
      </c>
      <c r="B181" s="36" t="n">
        <f aca="false">$B$6</f>
        <v>-0</v>
      </c>
      <c r="C181" s="36" t="n">
        <f aca="false">B181-D181</f>
        <v>-0</v>
      </c>
      <c r="D181" s="36" t="n">
        <f aca="false">E180*$B$4/12</f>
        <v>0</v>
      </c>
      <c r="E181" s="36" t="n">
        <f aca="false">E180-C181</f>
        <v>0</v>
      </c>
    </row>
    <row r="182" customFormat="false" ht="15" hidden="false" customHeight="true" outlineLevel="0" collapsed="false">
      <c r="A182" s="128" t="n">
        <v>174</v>
      </c>
      <c r="B182" s="129" t="n">
        <f aca="false">$B$6</f>
        <v>-0</v>
      </c>
      <c r="C182" s="129" t="n">
        <f aca="false">B182-D182</f>
        <v>-0</v>
      </c>
      <c r="D182" s="129" t="n">
        <f aca="false">E181*$B$4/12</f>
        <v>0</v>
      </c>
      <c r="E182" s="129" t="n">
        <f aca="false">E181-C182</f>
        <v>0</v>
      </c>
    </row>
    <row r="183" customFormat="false" ht="15" hidden="false" customHeight="true" outlineLevel="0" collapsed="false">
      <c r="A183" s="127" t="n">
        <v>175</v>
      </c>
      <c r="B183" s="36" t="n">
        <f aca="false">$B$6</f>
        <v>-0</v>
      </c>
      <c r="C183" s="36" t="n">
        <f aca="false">B183-D183</f>
        <v>-0</v>
      </c>
      <c r="D183" s="36" t="n">
        <f aca="false">E182*$B$4/12</f>
        <v>0</v>
      </c>
      <c r="E183" s="36" t="n">
        <f aca="false">E182-C183</f>
        <v>0</v>
      </c>
    </row>
    <row r="184" customFormat="false" ht="15" hidden="false" customHeight="true" outlineLevel="0" collapsed="false">
      <c r="A184" s="128" t="n">
        <v>176</v>
      </c>
      <c r="B184" s="129" t="n">
        <f aca="false">$B$6</f>
        <v>-0</v>
      </c>
      <c r="C184" s="129" t="n">
        <f aca="false">B184-D184</f>
        <v>-0</v>
      </c>
      <c r="D184" s="129" t="n">
        <f aca="false">E183*$B$4/12</f>
        <v>0</v>
      </c>
      <c r="E184" s="129" t="n">
        <f aca="false">E183-C184</f>
        <v>0</v>
      </c>
    </row>
    <row r="185" customFormat="false" ht="15" hidden="false" customHeight="true" outlineLevel="0" collapsed="false">
      <c r="A185" s="127" t="n">
        <v>177</v>
      </c>
      <c r="B185" s="36" t="n">
        <f aca="false">$B$6</f>
        <v>-0</v>
      </c>
      <c r="C185" s="36" t="n">
        <f aca="false">B185-D185</f>
        <v>-0</v>
      </c>
      <c r="D185" s="36" t="n">
        <f aca="false">E184*$B$4/12</f>
        <v>0</v>
      </c>
      <c r="E185" s="36" t="n">
        <f aca="false">E184-C185</f>
        <v>0</v>
      </c>
    </row>
    <row r="186" customFormat="false" ht="15" hidden="false" customHeight="true" outlineLevel="0" collapsed="false">
      <c r="A186" s="128" t="n">
        <v>178</v>
      </c>
      <c r="B186" s="129" t="n">
        <f aca="false">$B$6</f>
        <v>-0</v>
      </c>
      <c r="C186" s="129" t="n">
        <f aca="false">B186-D186</f>
        <v>-0</v>
      </c>
      <c r="D186" s="129" t="n">
        <f aca="false">E185*$B$4/12</f>
        <v>0</v>
      </c>
      <c r="E186" s="129" t="n">
        <f aca="false">E185-C186</f>
        <v>0</v>
      </c>
    </row>
    <row r="187" customFormat="false" ht="15" hidden="false" customHeight="true" outlineLevel="0" collapsed="false">
      <c r="A187" s="127" t="n">
        <v>179</v>
      </c>
      <c r="B187" s="36" t="n">
        <f aca="false">$B$6</f>
        <v>-0</v>
      </c>
      <c r="C187" s="36" t="n">
        <f aca="false">B187-D187</f>
        <v>-0</v>
      </c>
      <c r="D187" s="36" t="n">
        <f aca="false">E186*$B$4/12</f>
        <v>0</v>
      </c>
      <c r="E187" s="36" t="n">
        <f aca="false">E186-C187</f>
        <v>0</v>
      </c>
    </row>
    <row r="188" customFormat="false" ht="15" hidden="false" customHeight="true" outlineLevel="0" collapsed="false">
      <c r="A188" s="128" t="n">
        <v>180</v>
      </c>
      <c r="B188" s="129" t="n">
        <f aca="false">$B$6</f>
        <v>-0</v>
      </c>
      <c r="C188" s="129" t="n">
        <f aca="false">B188-D188</f>
        <v>-0</v>
      </c>
      <c r="D188" s="129" t="n">
        <f aca="false">E187*$B$4/12</f>
        <v>0</v>
      </c>
      <c r="E188" s="129" t="n">
        <f aca="false">E187-C188</f>
        <v>0</v>
      </c>
    </row>
    <row r="189" customFormat="false" ht="15" hidden="false" customHeight="true" outlineLevel="0" collapsed="false">
      <c r="A189" s="127" t="n">
        <v>181</v>
      </c>
      <c r="B189" s="36" t="n">
        <f aca="false">$B$6</f>
        <v>-0</v>
      </c>
      <c r="C189" s="36" t="n">
        <f aca="false">B189-D189</f>
        <v>-0</v>
      </c>
      <c r="D189" s="36" t="n">
        <f aca="false">E188*$B$4/12</f>
        <v>0</v>
      </c>
      <c r="E189" s="36" t="n">
        <f aca="false">E188-C189</f>
        <v>0</v>
      </c>
    </row>
    <row r="190" customFormat="false" ht="15" hidden="false" customHeight="true" outlineLevel="0" collapsed="false">
      <c r="A190" s="128" t="n">
        <v>182</v>
      </c>
      <c r="B190" s="129" t="n">
        <f aca="false">$B$6</f>
        <v>-0</v>
      </c>
      <c r="C190" s="129" t="n">
        <f aca="false">B190-D190</f>
        <v>-0</v>
      </c>
      <c r="D190" s="129" t="n">
        <f aca="false">E189*$B$4/12</f>
        <v>0</v>
      </c>
      <c r="E190" s="129" t="n">
        <f aca="false">E189-C190</f>
        <v>0</v>
      </c>
    </row>
    <row r="191" customFormat="false" ht="15" hidden="false" customHeight="true" outlineLevel="0" collapsed="false">
      <c r="A191" s="127" t="n">
        <v>183</v>
      </c>
      <c r="B191" s="36" t="n">
        <f aca="false">$B$6</f>
        <v>-0</v>
      </c>
      <c r="C191" s="36" t="n">
        <f aca="false">B191-D191</f>
        <v>-0</v>
      </c>
      <c r="D191" s="36" t="n">
        <f aca="false">E190*$B$4/12</f>
        <v>0</v>
      </c>
      <c r="E191" s="36" t="n">
        <f aca="false">E190-C191</f>
        <v>0</v>
      </c>
    </row>
    <row r="192" customFormat="false" ht="15" hidden="false" customHeight="true" outlineLevel="0" collapsed="false">
      <c r="A192" s="128" t="n">
        <v>184</v>
      </c>
      <c r="B192" s="129" t="n">
        <f aca="false">$B$6</f>
        <v>-0</v>
      </c>
      <c r="C192" s="129" t="n">
        <f aca="false">B192-D192</f>
        <v>-0</v>
      </c>
      <c r="D192" s="129" t="n">
        <f aca="false">E191*$B$4/12</f>
        <v>0</v>
      </c>
      <c r="E192" s="129" t="n">
        <f aca="false">E191-C192</f>
        <v>0</v>
      </c>
    </row>
    <row r="193" customFormat="false" ht="15" hidden="false" customHeight="true" outlineLevel="0" collapsed="false">
      <c r="A193" s="127" t="n">
        <v>185</v>
      </c>
      <c r="B193" s="36" t="n">
        <f aca="false">$B$6</f>
        <v>-0</v>
      </c>
      <c r="C193" s="36" t="n">
        <f aca="false">B193-D193</f>
        <v>-0</v>
      </c>
      <c r="D193" s="36" t="n">
        <f aca="false">E192*$B$4/12</f>
        <v>0</v>
      </c>
      <c r="E193" s="36" t="n">
        <f aca="false">E192-C193</f>
        <v>0</v>
      </c>
    </row>
    <row r="194" customFormat="false" ht="15" hidden="false" customHeight="true" outlineLevel="0" collapsed="false">
      <c r="A194" s="128" t="n">
        <v>186</v>
      </c>
      <c r="B194" s="129" t="n">
        <f aca="false">$B$6</f>
        <v>-0</v>
      </c>
      <c r="C194" s="129" t="n">
        <f aca="false">B194-D194</f>
        <v>-0</v>
      </c>
      <c r="D194" s="129" t="n">
        <f aca="false">E193*$B$4/12</f>
        <v>0</v>
      </c>
      <c r="E194" s="129" t="n">
        <f aca="false">E193-C194</f>
        <v>0</v>
      </c>
    </row>
    <row r="195" customFormat="false" ht="15" hidden="false" customHeight="true" outlineLevel="0" collapsed="false">
      <c r="A195" s="127" t="n">
        <v>187</v>
      </c>
      <c r="B195" s="36" t="n">
        <f aca="false">$B$6</f>
        <v>-0</v>
      </c>
      <c r="C195" s="36" t="n">
        <f aca="false">B195-D195</f>
        <v>-0</v>
      </c>
      <c r="D195" s="36" t="n">
        <f aca="false">E194*$B$4/12</f>
        <v>0</v>
      </c>
      <c r="E195" s="36" t="n">
        <f aca="false">E194-C195</f>
        <v>0</v>
      </c>
    </row>
    <row r="196" customFormat="false" ht="15" hidden="false" customHeight="true" outlineLevel="0" collapsed="false">
      <c r="A196" s="128" t="n">
        <v>188</v>
      </c>
      <c r="B196" s="129" t="n">
        <f aca="false">$B$6</f>
        <v>-0</v>
      </c>
      <c r="C196" s="129" t="n">
        <f aca="false">B196-D196</f>
        <v>-0</v>
      </c>
      <c r="D196" s="129" t="n">
        <f aca="false">E195*$B$4/12</f>
        <v>0</v>
      </c>
      <c r="E196" s="129" t="n">
        <f aca="false">E195-C196</f>
        <v>0</v>
      </c>
    </row>
    <row r="197" customFormat="false" ht="15" hidden="false" customHeight="true" outlineLevel="0" collapsed="false">
      <c r="A197" s="127" t="n">
        <v>189</v>
      </c>
      <c r="B197" s="36" t="n">
        <f aca="false">$B$6</f>
        <v>-0</v>
      </c>
      <c r="C197" s="36" t="n">
        <f aca="false">B197-D197</f>
        <v>-0</v>
      </c>
      <c r="D197" s="36" t="n">
        <f aca="false">E196*$B$4/12</f>
        <v>0</v>
      </c>
      <c r="E197" s="36" t="n">
        <f aca="false">E196-C197</f>
        <v>0</v>
      </c>
    </row>
    <row r="198" customFormat="false" ht="15" hidden="false" customHeight="true" outlineLevel="0" collapsed="false">
      <c r="A198" s="128" t="n">
        <v>190</v>
      </c>
      <c r="B198" s="129" t="n">
        <f aca="false">$B$6</f>
        <v>-0</v>
      </c>
      <c r="C198" s="129" t="n">
        <f aca="false">B198-D198</f>
        <v>-0</v>
      </c>
      <c r="D198" s="129" t="n">
        <f aca="false">E197*$B$4/12</f>
        <v>0</v>
      </c>
      <c r="E198" s="129" t="n">
        <f aca="false">E197-C198</f>
        <v>0</v>
      </c>
    </row>
    <row r="199" customFormat="false" ht="15" hidden="false" customHeight="true" outlineLevel="0" collapsed="false">
      <c r="A199" s="127" t="n">
        <v>191</v>
      </c>
      <c r="B199" s="36" t="n">
        <f aca="false">$B$6</f>
        <v>-0</v>
      </c>
      <c r="C199" s="36" t="n">
        <f aca="false">B199-D199</f>
        <v>-0</v>
      </c>
      <c r="D199" s="36" t="n">
        <f aca="false">E198*$B$4/12</f>
        <v>0</v>
      </c>
      <c r="E199" s="36" t="n">
        <f aca="false">E198-C199</f>
        <v>0</v>
      </c>
    </row>
    <row r="200" customFormat="false" ht="15" hidden="false" customHeight="true" outlineLevel="0" collapsed="false">
      <c r="A200" s="128" t="n">
        <v>192</v>
      </c>
      <c r="B200" s="129" t="n">
        <f aca="false">$B$6</f>
        <v>-0</v>
      </c>
      <c r="C200" s="129" t="n">
        <f aca="false">B200-D200</f>
        <v>-0</v>
      </c>
      <c r="D200" s="129" t="n">
        <f aca="false">E199*$B$4/12</f>
        <v>0</v>
      </c>
      <c r="E200" s="129" t="n">
        <f aca="false">E199-C200</f>
        <v>0</v>
      </c>
    </row>
    <row r="201" customFormat="false" ht="15" hidden="false" customHeight="true" outlineLevel="0" collapsed="false">
      <c r="A201" s="127" t="n">
        <v>193</v>
      </c>
      <c r="B201" s="36" t="n">
        <f aca="false">$B$6</f>
        <v>-0</v>
      </c>
      <c r="C201" s="36" t="n">
        <f aca="false">B201-D201</f>
        <v>-0</v>
      </c>
      <c r="D201" s="36" t="n">
        <f aca="false">E200*$B$4/12</f>
        <v>0</v>
      </c>
      <c r="E201" s="36" t="n">
        <f aca="false">E200-C201</f>
        <v>0</v>
      </c>
    </row>
    <row r="202" customFormat="false" ht="15" hidden="false" customHeight="true" outlineLevel="0" collapsed="false">
      <c r="A202" s="128" t="n">
        <v>194</v>
      </c>
      <c r="B202" s="129" t="n">
        <f aca="false">$B$6</f>
        <v>-0</v>
      </c>
      <c r="C202" s="129" t="n">
        <f aca="false">B202-D202</f>
        <v>-0</v>
      </c>
      <c r="D202" s="129" t="n">
        <f aca="false">E201*$B$4/12</f>
        <v>0</v>
      </c>
      <c r="E202" s="129" t="n">
        <f aca="false">E201-C202</f>
        <v>0</v>
      </c>
    </row>
    <row r="203" customFormat="false" ht="15" hidden="false" customHeight="true" outlineLevel="0" collapsed="false">
      <c r="A203" s="127" t="n">
        <v>195</v>
      </c>
      <c r="B203" s="36" t="n">
        <f aca="false">$B$6</f>
        <v>-0</v>
      </c>
      <c r="C203" s="36" t="n">
        <f aca="false">B203-D203</f>
        <v>-0</v>
      </c>
      <c r="D203" s="36" t="n">
        <f aca="false">E202*$B$4/12</f>
        <v>0</v>
      </c>
      <c r="E203" s="36" t="n">
        <f aca="false">E202-C203</f>
        <v>0</v>
      </c>
    </row>
    <row r="204" customFormat="false" ht="15" hidden="false" customHeight="true" outlineLevel="0" collapsed="false">
      <c r="A204" s="128" t="n">
        <v>196</v>
      </c>
      <c r="B204" s="129" t="n">
        <f aca="false">$B$6</f>
        <v>-0</v>
      </c>
      <c r="C204" s="129" t="n">
        <f aca="false">B204-D204</f>
        <v>-0</v>
      </c>
      <c r="D204" s="129" t="n">
        <f aca="false">E203*$B$4/12</f>
        <v>0</v>
      </c>
      <c r="E204" s="129" t="n">
        <f aca="false">E203-C204</f>
        <v>0</v>
      </c>
    </row>
    <row r="205" customFormat="false" ht="15" hidden="false" customHeight="true" outlineLevel="0" collapsed="false">
      <c r="A205" s="127" t="n">
        <v>197</v>
      </c>
      <c r="B205" s="36" t="n">
        <f aca="false">$B$6</f>
        <v>-0</v>
      </c>
      <c r="C205" s="36" t="n">
        <f aca="false">B205-D205</f>
        <v>-0</v>
      </c>
      <c r="D205" s="36" t="n">
        <f aca="false">E204*$B$4/12</f>
        <v>0</v>
      </c>
      <c r="E205" s="36" t="n">
        <f aca="false">E204-C205</f>
        <v>0</v>
      </c>
    </row>
    <row r="206" customFormat="false" ht="15" hidden="false" customHeight="true" outlineLevel="0" collapsed="false">
      <c r="A206" s="128" t="n">
        <v>198</v>
      </c>
      <c r="B206" s="129" t="n">
        <f aca="false">$B$6</f>
        <v>-0</v>
      </c>
      <c r="C206" s="129" t="n">
        <f aca="false">B206-D206</f>
        <v>-0</v>
      </c>
      <c r="D206" s="129" t="n">
        <f aca="false">E205*$B$4/12</f>
        <v>0</v>
      </c>
      <c r="E206" s="129" t="n">
        <f aca="false">E205-C206</f>
        <v>0</v>
      </c>
    </row>
    <row r="207" customFormat="false" ht="15" hidden="false" customHeight="true" outlineLevel="0" collapsed="false">
      <c r="A207" s="127" t="n">
        <v>199</v>
      </c>
      <c r="B207" s="36" t="n">
        <f aca="false">$B$6</f>
        <v>-0</v>
      </c>
      <c r="C207" s="36" t="n">
        <f aca="false">B207-D207</f>
        <v>-0</v>
      </c>
      <c r="D207" s="36" t="n">
        <f aca="false">E206*$B$4/12</f>
        <v>0</v>
      </c>
      <c r="E207" s="36" t="n">
        <f aca="false">E206-C207</f>
        <v>0</v>
      </c>
    </row>
    <row r="208" customFormat="false" ht="15" hidden="false" customHeight="true" outlineLevel="0" collapsed="false">
      <c r="A208" s="128" t="n">
        <v>200</v>
      </c>
      <c r="B208" s="129" t="n">
        <f aca="false">$B$6</f>
        <v>-0</v>
      </c>
      <c r="C208" s="129" t="n">
        <f aca="false">B208-D208</f>
        <v>-0</v>
      </c>
      <c r="D208" s="129" t="n">
        <f aca="false">E207*$B$4/12</f>
        <v>0</v>
      </c>
      <c r="E208" s="129" t="n">
        <f aca="false">E207-C208</f>
        <v>0</v>
      </c>
    </row>
    <row r="209" customFormat="false" ht="15" hidden="false" customHeight="true" outlineLevel="0" collapsed="false">
      <c r="A209" s="127" t="n">
        <v>201</v>
      </c>
      <c r="B209" s="36" t="n">
        <f aca="false">$B$6</f>
        <v>-0</v>
      </c>
      <c r="C209" s="36" t="n">
        <f aca="false">B209-D209</f>
        <v>-0</v>
      </c>
      <c r="D209" s="36" t="n">
        <f aca="false">E208*$B$4/12</f>
        <v>0</v>
      </c>
      <c r="E209" s="36" t="n">
        <f aca="false">E208-C209</f>
        <v>0</v>
      </c>
    </row>
    <row r="210" customFormat="false" ht="15" hidden="false" customHeight="true" outlineLevel="0" collapsed="false">
      <c r="A210" s="128" t="n">
        <v>202</v>
      </c>
      <c r="B210" s="129" t="n">
        <f aca="false">$B$6</f>
        <v>-0</v>
      </c>
      <c r="C210" s="129" t="n">
        <f aca="false">B210-D210</f>
        <v>-0</v>
      </c>
      <c r="D210" s="129" t="n">
        <f aca="false">E209*$B$4/12</f>
        <v>0</v>
      </c>
      <c r="E210" s="129" t="n">
        <f aca="false">E209-C210</f>
        <v>0</v>
      </c>
    </row>
    <row r="211" customFormat="false" ht="15" hidden="false" customHeight="true" outlineLevel="0" collapsed="false">
      <c r="A211" s="127" t="n">
        <v>203</v>
      </c>
      <c r="B211" s="36" t="n">
        <f aca="false">$B$6</f>
        <v>-0</v>
      </c>
      <c r="C211" s="36" t="n">
        <f aca="false">B211-D211</f>
        <v>-0</v>
      </c>
      <c r="D211" s="36" t="n">
        <f aca="false">E210*$B$4/12</f>
        <v>0</v>
      </c>
      <c r="E211" s="36" t="n">
        <f aca="false">E210-C211</f>
        <v>0</v>
      </c>
    </row>
    <row r="212" customFormat="false" ht="15" hidden="false" customHeight="true" outlineLevel="0" collapsed="false">
      <c r="A212" s="128" t="n">
        <v>204</v>
      </c>
      <c r="B212" s="129" t="n">
        <f aca="false">$B$6</f>
        <v>-0</v>
      </c>
      <c r="C212" s="129" t="n">
        <f aca="false">B212-D212</f>
        <v>-0</v>
      </c>
      <c r="D212" s="129" t="n">
        <f aca="false">E211*$B$4/12</f>
        <v>0</v>
      </c>
      <c r="E212" s="129" t="n">
        <f aca="false">E211-C212</f>
        <v>0</v>
      </c>
    </row>
    <row r="213" customFormat="false" ht="15" hidden="false" customHeight="true" outlineLevel="0" collapsed="false">
      <c r="A213" s="127" t="n">
        <v>205</v>
      </c>
      <c r="B213" s="36" t="n">
        <f aca="false">$B$6</f>
        <v>-0</v>
      </c>
      <c r="C213" s="36" t="n">
        <f aca="false">B213-D213</f>
        <v>-0</v>
      </c>
      <c r="D213" s="36" t="n">
        <f aca="false">E212*$B$4/12</f>
        <v>0</v>
      </c>
      <c r="E213" s="36" t="n">
        <f aca="false">E212-C213</f>
        <v>0</v>
      </c>
    </row>
    <row r="214" customFormat="false" ht="15" hidden="false" customHeight="true" outlineLevel="0" collapsed="false">
      <c r="A214" s="128" t="n">
        <v>206</v>
      </c>
      <c r="B214" s="129" t="n">
        <f aca="false">$B$6</f>
        <v>-0</v>
      </c>
      <c r="C214" s="129" t="n">
        <f aca="false">B214-D214</f>
        <v>-0</v>
      </c>
      <c r="D214" s="129" t="n">
        <f aca="false">E213*$B$4/12</f>
        <v>0</v>
      </c>
      <c r="E214" s="129" t="n">
        <f aca="false">E213-C214</f>
        <v>0</v>
      </c>
    </row>
    <row r="215" customFormat="false" ht="15" hidden="false" customHeight="true" outlineLevel="0" collapsed="false">
      <c r="A215" s="127" t="n">
        <v>207</v>
      </c>
      <c r="B215" s="36" t="n">
        <f aca="false">$B$6</f>
        <v>-0</v>
      </c>
      <c r="C215" s="36" t="n">
        <f aca="false">B215-D215</f>
        <v>-0</v>
      </c>
      <c r="D215" s="36" t="n">
        <f aca="false">E214*$B$4/12</f>
        <v>0</v>
      </c>
      <c r="E215" s="36" t="n">
        <f aca="false">E214-C215</f>
        <v>0</v>
      </c>
    </row>
    <row r="216" customFormat="false" ht="15" hidden="false" customHeight="true" outlineLevel="0" collapsed="false">
      <c r="A216" s="128" t="n">
        <v>208</v>
      </c>
      <c r="B216" s="129" t="n">
        <f aca="false">$B$6</f>
        <v>-0</v>
      </c>
      <c r="C216" s="129" t="n">
        <f aca="false">B216-D216</f>
        <v>-0</v>
      </c>
      <c r="D216" s="129" t="n">
        <f aca="false">E215*$B$4/12</f>
        <v>0</v>
      </c>
      <c r="E216" s="129" t="n">
        <f aca="false">E215-C216</f>
        <v>0</v>
      </c>
    </row>
    <row r="217" customFormat="false" ht="15" hidden="false" customHeight="true" outlineLevel="0" collapsed="false">
      <c r="A217" s="127" t="n">
        <v>209</v>
      </c>
      <c r="B217" s="36" t="n">
        <f aca="false">$B$6</f>
        <v>-0</v>
      </c>
      <c r="C217" s="36" t="n">
        <f aca="false">B217-D217</f>
        <v>-0</v>
      </c>
      <c r="D217" s="36" t="n">
        <f aca="false">E216*$B$4/12</f>
        <v>0</v>
      </c>
      <c r="E217" s="36" t="n">
        <f aca="false">E216-C217</f>
        <v>0</v>
      </c>
    </row>
    <row r="218" customFormat="false" ht="15" hidden="false" customHeight="true" outlineLevel="0" collapsed="false">
      <c r="A218" s="128" t="n">
        <v>210</v>
      </c>
      <c r="B218" s="129" t="n">
        <f aca="false">$B$6</f>
        <v>-0</v>
      </c>
      <c r="C218" s="129" t="n">
        <f aca="false">B218-D218</f>
        <v>-0</v>
      </c>
      <c r="D218" s="129" t="n">
        <f aca="false">E217*$B$4/12</f>
        <v>0</v>
      </c>
      <c r="E218" s="129" t="n">
        <f aca="false">E217-C218</f>
        <v>0</v>
      </c>
    </row>
    <row r="219" customFormat="false" ht="15" hidden="false" customHeight="true" outlineLevel="0" collapsed="false">
      <c r="A219" s="127" t="n">
        <v>211</v>
      </c>
      <c r="B219" s="36" t="n">
        <f aca="false">$B$6</f>
        <v>-0</v>
      </c>
      <c r="C219" s="36" t="n">
        <f aca="false">B219-D219</f>
        <v>-0</v>
      </c>
      <c r="D219" s="36" t="n">
        <f aca="false">E218*$B$4/12</f>
        <v>0</v>
      </c>
      <c r="E219" s="36" t="n">
        <f aca="false">E218-C219</f>
        <v>0</v>
      </c>
    </row>
    <row r="220" customFormat="false" ht="15" hidden="false" customHeight="true" outlineLevel="0" collapsed="false">
      <c r="A220" s="128" t="n">
        <v>212</v>
      </c>
      <c r="B220" s="129" t="n">
        <f aca="false">$B$6</f>
        <v>-0</v>
      </c>
      <c r="C220" s="129" t="n">
        <f aca="false">B220-D220</f>
        <v>-0</v>
      </c>
      <c r="D220" s="129" t="n">
        <f aca="false">E219*$B$4/12</f>
        <v>0</v>
      </c>
      <c r="E220" s="129" t="n">
        <f aca="false">E219-C220</f>
        <v>0</v>
      </c>
    </row>
    <row r="221" customFormat="false" ht="15" hidden="false" customHeight="true" outlineLevel="0" collapsed="false">
      <c r="A221" s="127" t="n">
        <v>213</v>
      </c>
      <c r="B221" s="36" t="n">
        <f aca="false">$B$6</f>
        <v>-0</v>
      </c>
      <c r="C221" s="36" t="n">
        <f aca="false">B221-D221</f>
        <v>-0</v>
      </c>
      <c r="D221" s="36" t="n">
        <f aca="false">E220*$B$4/12</f>
        <v>0</v>
      </c>
      <c r="E221" s="36" t="n">
        <f aca="false">E220-C221</f>
        <v>0</v>
      </c>
    </row>
    <row r="222" customFormat="false" ht="15" hidden="false" customHeight="true" outlineLevel="0" collapsed="false">
      <c r="A222" s="128" t="n">
        <v>214</v>
      </c>
      <c r="B222" s="129" t="n">
        <f aca="false">$B$6</f>
        <v>-0</v>
      </c>
      <c r="C222" s="129" t="n">
        <f aca="false">B222-D222</f>
        <v>-0</v>
      </c>
      <c r="D222" s="129" t="n">
        <f aca="false">E221*$B$4/12</f>
        <v>0</v>
      </c>
      <c r="E222" s="129" t="n">
        <f aca="false">E221-C222</f>
        <v>0</v>
      </c>
    </row>
    <row r="223" customFormat="false" ht="15" hidden="false" customHeight="true" outlineLevel="0" collapsed="false">
      <c r="A223" s="127" t="n">
        <v>215</v>
      </c>
      <c r="B223" s="36" t="n">
        <f aca="false">$B$6</f>
        <v>-0</v>
      </c>
      <c r="C223" s="36" t="n">
        <f aca="false">B223-D223</f>
        <v>-0</v>
      </c>
      <c r="D223" s="36" t="n">
        <f aca="false">E222*$B$4/12</f>
        <v>0</v>
      </c>
      <c r="E223" s="36" t="n">
        <f aca="false">E222-C223</f>
        <v>0</v>
      </c>
    </row>
    <row r="224" customFormat="false" ht="15" hidden="false" customHeight="true" outlineLevel="0" collapsed="false">
      <c r="A224" s="128" t="n">
        <v>216</v>
      </c>
      <c r="B224" s="129" t="n">
        <f aca="false">$B$6</f>
        <v>-0</v>
      </c>
      <c r="C224" s="129" t="n">
        <f aca="false">B224-D224</f>
        <v>-0</v>
      </c>
      <c r="D224" s="129" t="n">
        <f aca="false">E223*$B$4/12</f>
        <v>0</v>
      </c>
      <c r="E224" s="129" t="n">
        <f aca="false">E223-C224</f>
        <v>0</v>
      </c>
    </row>
    <row r="225" customFormat="false" ht="15" hidden="false" customHeight="true" outlineLevel="0" collapsed="false">
      <c r="A225" s="127" t="n">
        <v>217</v>
      </c>
      <c r="B225" s="36" t="n">
        <f aca="false">$B$6</f>
        <v>-0</v>
      </c>
      <c r="C225" s="36" t="n">
        <f aca="false">B225-D225</f>
        <v>-0</v>
      </c>
      <c r="D225" s="36" t="n">
        <f aca="false">E224*$B$4/12</f>
        <v>0</v>
      </c>
      <c r="E225" s="36" t="n">
        <f aca="false">E224-C225</f>
        <v>0</v>
      </c>
    </row>
    <row r="226" customFormat="false" ht="15" hidden="false" customHeight="true" outlineLevel="0" collapsed="false">
      <c r="A226" s="128" t="n">
        <v>218</v>
      </c>
      <c r="B226" s="129" t="n">
        <f aca="false">$B$6</f>
        <v>-0</v>
      </c>
      <c r="C226" s="129" t="n">
        <f aca="false">B226-D226</f>
        <v>-0</v>
      </c>
      <c r="D226" s="129" t="n">
        <f aca="false">E225*$B$4/12</f>
        <v>0</v>
      </c>
      <c r="E226" s="129" t="n">
        <f aca="false">E225-C226</f>
        <v>0</v>
      </c>
    </row>
    <row r="227" customFormat="false" ht="15" hidden="false" customHeight="true" outlineLevel="0" collapsed="false">
      <c r="A227" s="127" t="n">
        <v>219</v>
      </c>
      <c r="B227" s="36" t="n">
        <f aca="false">$B$6</f>
        <v>-0</v>
      </c>
      <c r="C227" s="36" t="n">
        <f aca="false">B227-D227</f>
        <v>-0</v>
      </c>
      <c r="D227" s="36" t="n">
        <f aca="false">E226*$B$4/12</f>
        <v>0</v>
      </c>
      <c r="E227" s="36" t="n">
        <f aca="false">E226-C227</f>
        <v>0</v>
      </c>
    </row>
    <row r="228" customFormat="false" ht="15" hidden="false" customHeight="true" outlineLevel="0" collapsed="false">
      <c r="A228" s="128" t="n">
        <v>220</v>
      </c>
      <c r="B228" s="129" t="n">
        <f aca="false">$B$6</f>
        <v>-0</v>
      </c>
      <c r="C228" s="129" t="n">
        <f aca="false">B228-D228</f>
        <v>-0</v>
      </c>
      <c r="D228" s="129" t="n">
        <f aca="false">E227*$B$4/12</f>
        <v>0</v>
      </c>
      <c r="E228" s="129" t="n">
        <f aca="false">E227-C228</f>
        <v>0</v>
      </c>
    </row>
    <row r="229" customFormat="false" ht="15" hidden="false" customHeight="true" outlineLevel="0" collapsed="false">
      <c r="A229" s="127" t="n">
        <v>221</v>
      </c>
      <c r="B229" s="36" t="n">
        <f aca="false">$B$6</f>
        <v>-0</v>
      </c>
      <c r="C229" s="36" t="n">
        <f aca="false">B229-D229</f>
        <v>-0</v>
      </c>
      <c r="D229" s="36" t="n">
        <f aca="false">E228*$B$4/12</f>
        <v>0</v>
      </c>
      <c r="E229" s="36" t="n">
        <f aca="false">E228-C229</f>
        <v>0</v>
      </c>
    </row>
    <row r="230" customFormat="false" ht="15" hidden="false" customHeight="true" outlineLevel="0" collapsed="false">
      <c r="A230" s="128" t="n">
        <v>222</v>
      </c>
      <c r="B230" s="129" t="n">
        <f aca="false">$B$6</f>
        <v>-0</v>
      </c>
      <c r="C230" s="129" t="n">
        <f aca="false">B230-D230</f>
        <v>-0</v>
      </c>
      <c r="D230" s="129" t="n">
        <f aca="false">E229*$B$4/12</f>
        <v>0</v>
      </c>
      <c r="E230" s="129" t="n">
        <f aca="false">E229-C230</f>
        <v>0</v>
      </c>
    </row>
    <row r="231" customFormat="false" ht="15" hidden="false" customHeight="true" outlineLevel="0" collapsed="false">
      <c r="A231" s="127" t="n">
        <v>223</v>
      </c>
      <c r="B231" s="36" t="n">
        <f aca="false">$B$6</f>
        <v>-0</v>
      </c>
      <c r="C231" s="36" t="n">
        <f aca="false">B231-D231</f>
        <v>-0</v>
      </c>
      <c r="D231" s="36" t="n">
        <f aca="false">E230*$B$4/12</f>
        <v>0</v>
      </c>
      <c r="E231" s="36" t="n">
        <f aca="false">E230-C231</f>
        <v>0</v>
      </c>
    </row>
    <row r="232" customFormat="false" ht="15" hidden="false" customHeight="true" outlineLevel="0" collapsed="false">
      <c r="A232" s="128" t="n">
        <v>224</v>
      </c>
      <c r="B232" s="129" t="n">
        <f aca="false">$B$6</f>
        <v>-0</v>
      </c>
      <c r="C232" s="129" t="n">
        <f aca="false">B232-D232</f>
        <v>-0</v>
      </c>
      <c r="D232" s="129" t="n">
        <f aca="false">E231*$B$4/12</f>
        <v>0</v>
      </c>
      <c r="E232" s="129" t="n">
        <f aca="false">E231-C232</f>
        <v>0</v>
      </c>
    </row>
    <row r="233" customFormat="false" ht="15" hidden="false" customHeight="true" outlineLevel="0" collapsed="false">
      <c r="A233" s="127" t="n">
        <v>225</v>
      </c>
      <c r="B233" s="36" t="n">
        <f aca="false">$B$6</f>
        <v>-0</v>
      </c>
      <c r="C233" s="36" t="n">
        <f aca="false">B233-D233</f>
        <v>-0</v>
      </c>
      <c r="D233" s="36" t="n">
        <f aca="false">E232*$B$4/12</f>
        <v>0</v>
      </c>
      <c r="E233" s="36" t="n">
        <f aca="false">E232-C233</f>
        <v>0</v>
      </c>
    </row>
    <row r="234" customFormat="false" ht="15" hidden="false" customHeight="true" outlineLevel="0" collapsed="false">
      <c r="A234" s="128" t="n">
        <v>226</v>
      </c>
      <c r="B234" s="129" t="n">
        <f aca="false">$B$6</f>
        <v>-0</v>
      </c>
      <c r="C234" s="129" t="n">
        <f aca="false">B234-D234</f>
        <v>-0</v>
      </c>
      <c r="D234" s="129" t="n">
        <f aca="false">E233*$B$4/12</f>
        <v>0</v>
      </c>
      <c r="E234" s="129" t="n">
        <f aca="false">E233-C234</f>
        <v>0</v>
      </c>
    </row>
    <row r="235" customFormat="false" ht="15" hidden="false" customHeight="true" outlineLevel="0" collapsed="false">
      <c r="A235" s="127" t="n">
        <v>227</v>
      </c>
      <c r="B235" s="36" t="n">
        <f aca="false">$B$6</f>
        <v>-0</v>
      </c>
      <c r="C235" s="36" t="n">
        <f aca="false">B235-D235</f>
        <v>-0</v>
      </c>
      <c r="D235" s="36" t="n">
        <f aca="false">E234*$B$4/12</f>
        <v>0</v>
      </c>
      <c r="E235" s="36" t="n">
        <f aca="false">E234-C235</f>
        <v>0</v>
      </c>
    </row>
    <row r="236" customFormat="false" ht="15" hidden="false" customHeight="true" outlineLevel="0" collapsed="false">
      <c r="A236" s="128" t="n">
        <v>228</v>
      </c>
      <c r="B236" s="129" t="n">
        <f aca="false">$B$6</f>
        <v>-0</v>
      </c>
      <c r="C236" s="129" t="n">
        <f aca="false">B236-D236</f>
        <v>-0</v>
      </c>
      <c r="D236" s="129" t="n">
        <f aca="false">E235*$B$4/12</f>
        <v>0</v>
      </c>
      <c r="E236" s="129" t="n">
        <f aca="false">E235-C236</f>
        <v>0</v>
      </c>
    </row>
    <row r="237" customFormat="false" ht="15" hidden="false" customHeight="true" outlineLevel="0" collapsed="false">
      <c r="A237" s="127" t="n">
        <v>229</v>
      </c>
      <c r="B237" s="36" t="n">
        <f aca="false">$B$6</f>
        <v>-0</v>
      </c>
      <c r="C237" s="36" t="n">
        <f aca="false">B237-D237</f>
        <v>-0</v>
      </c>
      <c r="D237" s="36" t="n">
        <f aca="false">E236*$B$4/12</f>
        <v>0</v>
      </c>
      <c r="E237" s="36" t="n">
        <f aca="false">E236-C237</f>
        <v>0</v>
      </c>
    </row>
    <row r="238" customFormat="false" ht="15" hidden="false" customHeight="true" outlineLevel="0" collapsed="false">
      <c r="A238" s="128" t="n">
        <v>230</v>
      </c>
      <c r="B238" s="129" t="n">
        <f aca="false">$B$6</f>
        <v>-0</v>
      </c>
      <c r="C238" s="129" t="n">
        <f aca="false">B238-D238</f>
        <v>-0</v>
      </c>
      <c r="D238" s="129" t="n">
        <f aca="false">E237*$B$4/12</f>
        <v>0</v>
      </c>
      <c r="E238" s="129" t="n">
        <f aca="false">E237-C238</f>
        <v>0</v>
      </c>
    </row>
    <row r="239" customFormat="false" ht="15" hidden="false" customHeight="true" outlineLevel="0" collapsed="false">
      <c r="A239" s="127" t="n">
        <v>231</v>
      </c>
      <c r="B239" s="36" t="n">
        <f aca="false">$B$6</f>
        <v>-0</v>
      </c>
      <c r="C239" s="36" t="n">
        <f aca="false">B239-D239</f>
        <v>-0</v>
      </c>
      <c r="D239" s="36" t="n">
        <f aca="false">E238*$B$4/12</f>
        <v>0</v>
      </c>
      <c r="E239" s="36" t="n">
        <f aca="false">E238-C239</f>
        <v>0</v>
      </c>
    </row>
    <row r="240" customFormat="false" ht="15" hidden="false" customHeight="true" outlineLevel="0" collapsed="false">
      <c r="A240" s="128" t="n">
        <v>232</v>
      </c>
      <c r="B240" s="129" t="n">
        <f aca="false">$B$6</f>
        <v>-0</v>
      </c>
      <c r="C240" s="129" t="n">
        <f aca="false">B240-D240</f>
        <v>-0</v>
      </c>
      <c r="D240" s="129" t="n">
        <f aca="false">E239*$B$4/12</f>
        <v>0</v>
      </c>
      <c r="E240" s="129" t="n">
        <f aca="false">E239-C240</f>
        <v>0</v>
      </c>
    </row>
    <row r="241" customFormat="false" ht="15" hidden="false" customHeight="true" outlineLevel="0" collapsed="false">
      <c r="A241" s="127" t="n">
        <v>233</v>
      </c>
      <c r="B241" s="36" t="n">
        <f aca="false">$B$6</f>
        <v>-0</v>
      </c>
      <c r="C241" s="36" t="n">
        <f aca="false">B241-D241</f>
        <v>-0</v>
      </c>
      <c r="D241" s="36" t="n">
        <f aca="false">E240*$B$4/12</f>
        <v>0</v>
      </c>
      <c r="E241" s="36" t="n">
        <f aca="false">E240-C241</f>
        <v>0</v>
      </c>
    </row>
    <row r="242" customFormat="false" ht="15" hidden="false" customHeight="true" outlineLevel="0" collapsed="false">
      <c r="A242" s="128" t="n">
        <v>234</v>
      </c>
      <c r="B242" s="129" t="n">
        <f aca="false">$B$6</f>
        <v>-0</v>
      </c>
      <c r="C242" s="129" t="n">
        <f aca="false">B242-D242</f>
        <v>-0</v>
      </c>
      <c r="D242" s="129" t="n">
        <f aca="false">E241*$B$4/12</f>
        <v>0</v>
      </c>
      <c r="E242" s="129" t="n">
        <f aca="false">E241-C242</f>
        <v>0</v>
      </c>
    </row>
    <row r="243" customFormat="false" ht="15" hidden="false" customHeight="true" outlineLevel="0" collapsed="false">
      <c r="A243" s="127" t="n">
        <v>235</v>
      </c>
      <c r="B243" s="36" t="n">
        <f aca="false">$B$6</f>
        <v>-0</v>
      </c>
      <c r="C243" s="36" t="n">
        <f aca="false">B243-D243</f>
        <v>-0</v>
      </c>
      <c r="D243" s="36" t="n">
        <f aca="false">E242*$B$4/12</f>
        <v>0</v>
      </c>
      <c r="E243" s="36" t="n">
        <f aca="false">E242-C243</f>
        <v>0</v>
      </c>
    </row>
    <row r="244" customFormat="false" ht="15" hidden="false" customHeight="true" outlineLevel="0" collapsed="false">
      <c r="A244" s="128" t="n">
        <v>236</v>
      </c>
      <c r="B244" s="129" t="n">
        <f aca="false">$B$6</f>
        <v>-0</v>
      </c>
      <c r="C244" s="129" t="n">
        <f aca="false">B244-D244</f>
        <v>-0</v>
      </c>
      <c r="D244" s="129" t="n">
        <f aca="false">E243*$B$4/12</f>
        <v>0</v>
      </c>
      <c r="E244" s="129" t="n">
        <f aca="false">E243-C244</f>
        <v>0</v>
      </c>
    </row>
    <row r="245" customFormat="false" ht="15" hidden="false" customHeight="true" outlineLevel="0" collapsed="false">
      <c r="A245" s="127" t="n">
        <v>237</v>
      </c>
      <c r="B245" s="36" t="n">
        <f aca="false">$B$6</f>
        <v>-0</v>
      </c>
      <c r="C245" s="36" t="n">
        <f aca="false">B245-D245</f>
        <v>-0</v>
      </c>
      <c r="D245" s="36" t="n">
        <f aca="false">E244*$B$4/12</f>
        <v>0</v>
      </c>
      <c r="E245" s="36" t="n">
        <f aca="false">E244-C245</f>
        <v>0</v>
      </c>
    </row>
    <row r="246" customFormat="false" ht="15" hidden="false" customHeight="true" outlineLevel="0" collapsed="false">
      <c r="A246" s="128" t="n">
        <v>238</v>
      </c>
      <c r="B246" s="129" t="n">
        <f aca="false">$B$6</f>
        <v>-0</v>
      </c>
      <c r="C246" s="129" t="n">
        <f aca="false">B246-D246</f>
        <v>-0</v>
      </c>
      <c r="D246" s="129" t="n">
        <f aca="false">E245*$B$4/12</f>
        <v>0</v>
      </c>
      <c r="E246" s="129" t="n">
        <f aca="false">E245-C246</f>
        <v>0</v>
      </c>
    </row>
    <row r="247" customFormat="false" ht="15" hidden="false" customHeight="true" outlineLevel="0" collapsed="false">
      <c r="A247" s="127" t="n">
        <v>239</v>
      </c>
      <c r="B247" s="36" t="n">
        <f aca="false">$B$6</f>
        <v>-0</v>
      </c>
      <c r="C247" s="36" t="n">
        <f aca="false">B247-D247</f>
        <v>-0</v>
      </c>
      <c r="D247" s="36" t="n">
        <f aca="false">E246*$B$4/12</f>
        <v>0</v>
      </c>
      <c r="E247" s="36" t="n">
        <f aca="false">E246-C247</f>
        <v>0</v>
      </c>
    </row>
    <row r="248" customFormat="false" ht="15" hidden="false" customHeight="true" outlineLevel="0" collapsed="false">
      <c r="A248" s="128" t="n">
        <v>240</v>
      </c>
      <c r="B248" s="129" t="n">
        <f aca="false">$B$6</f>
        <v>-0</v>
      </c>
      <c r="C248" s="129" t="n">
        <f aca="false">B248-D248</f>
        <v>-0</v>
      </c>
      <c r="D248" s="129" t="n">
        <f aca="false">E247*$B$4/12</f>
        <v>0</v>
      </c>
      <c r="E248" s="129" t="n">
        <f aca="false">E247-C248</f>
        <v>0</v>
      </c>
    </row>
    <row r="249" customFormat="false" ht="15" hidden="false" customHeight="true" outlineLevel="0" collapsed="false">
      <c r="A249" s="127" t="n">
        <v>241</v>
      </c>
      <c r="B249" s="36" t="n">
        <f aca="false">$B$6</f>
        <v>-0</v>
      </c>
      <c r="C249" s="36" t="n">
        <f aca="false">B249-D249</f>
        <v>-0</v>
      </c>
      <c r="D249" s="36" t="n">
        <f aca="false">E248*$B$4/12</f>
        <v>0</v>
      </c>
      <c r="E249" s="36" t="n">
        <f aca="false">E248-C249</f>
        <v>0</v>
      </c>
    </row>
    <row r="250" customFormat="false" ht="15" hidden="false" customHeight="true" outlineLevel="0" collapsed="false">
      <c r="A250" s="128" t="n">
        <v>242</v>
      </c>
      <c r="B250" s="129" t="n">
        <f aca="false">$B$6</f>
        <v>-0</v>
      </c>
      <c r="C250" s="129" t="n">
        <f aca="false">B250-D250</f>
        <v>-0</v>
      </c>
      <c r="D250" s="129" t="n">
        <f aca="false">E249*$B$4/12</f>
        <v>0</v>
      </c>
      <c r="E250" s="129" t="n">
        <f aca="false">E249-C250</f>
        <v>0</v>
      </c>
    </row>
    <row r="251" customFormat="false" ht="15" hidden="false" customHeight="true" outlineLevel="0" collapsed="false">
      <c r="A251" s="127" t="n">
        <v>243</v>
      </c>
      <c r="B251" s="36" t="n">
        <f aca="false">$B$6</f>
        <v>-0</v>
      </c>
      <c r="C251" s="36" t="n">
        <f aca="false">B251-D251</f>
        <v>-0</v>
      </c>
      <c r="D251" s="36" t="n">
        <f aca="false">E250*$B$4/12</f>
        <v>0</v>
      </c>
      <c r="E251" s="36" t="n">
        <f aca="false">E250-C251</f>
        <v>0</v>
      </c>
    </row>
    <row r="252" customFormat="false" ht="15" hidden="false" customHeight="true" outlineLevel="0" collapsed="false">
      <c r="A252" s="128" t="n">
        <v>244</v>
      </c>
      <c r="B252" s="129" t="n">
        <f aca="false">$B$6</f>
        <v>-0</v>
      </c>
      <c r="C252" s="129" t="n">
        <f aca="false">B252-D252</f>
        <v>-0</v>
      </c>
      <c r="D252" s="129" t="n">
        <f aca="false">E251*$B$4/12</f>
        <v>0</v>
      </c>
      <c r="E252" s="129" t="n">
        <f aca="false">E251-C252</f>
        <v>0</v>
      </c>
    </row>
    <row r="253" customFormat="false" ht="15" hidden="false" customHeight="true" outlineLevel="0" collapsed="false">
      <c r="A253" s="127" t="n">
        <v>245</v>
      </c>
      <c r="B253" s="36" t="n">
        <f aca="false">$B$6</f>
        <v>-0</v>
      </c>
      <c r="C253" s="36" t="n">
        <f aca="false">B253-D253</f>
        <v>-0</v>
      </c>
      <c r="D253" s="36" t="n">
        <f aca="false">E252*$B$4/12</f>
        <v>0</v>
      </c>
      <c r="E253" s="36" t="n">
        <f aca="false">E252-C253</f>
        <v>0</v>
      </c>
    </row>
    <row r="254" customFormat="false" ht="15" hidden="false" customHeight="true" outlineLevel="0" collapsed="false">
      <c r="A254" s="128" t="n">
        <v>246</v>
      </c>
      <c r="B254" s="129" t="n">
        <f aca="false">$B$6</f>
        <v>-0</v>
      </c>
      <c r="C254" s="129" t="n">
        <f aca="false">B254-D254</f>
        <v>-0</v>
      </c>
      <c r="D254" s="129" t="n">
        <f aca="false">E253*$B$4/12</f>
        <v>0</v>
      </c>
      <c r="E254" s="129" t="n">
        <f aca="false">E253-C254</f>
        <v>0</v>
      </c>
    </row>
    <row r="255" customFormat="false" ht="15" hidden="false" customHeight="true" outlineLevel="0" collapsed="false">
      <c r="A255" s="127" t="n">
        <v>247</v>
      </c>
      <c r="B255" s="36" t="n">
        <f aca="false">$B$6</f>
        <v>-0</v>
      </c>
      <c r="C255" s="36" t="n">
        <f aca="false">B255-D255</f>
        <v>-0</v>
      </c>
      <c r="D255" s="36" t="n">
        <f aca="false">E254*$B$4/12</f>
        <v>0</v>
      </c>
      <c r="E255" s="36" t="n">
        <f aca="false">E254-C255</f>
        <v>0</v>
      </c>
    </row>
    <row r="256" customFormat="false" ht="15" hidden="false" customHeight="true" outlineLevel="0" collapsed="false">
      <c r="A256" s="128" t="n">
        <v>248</v>
      </c>
      <c r="B256" s="129" t="n">
        <f aca="false">$B$6</f>
        <v>-0</v>
      </c>
      <c r="C256" s="129" t="n">
        <f aca="false">B256-D256</f>
        <v>-0</v>
      </c>
      <c r="D256" s="129" t="n">
        <f aca="false">E255*$B$4/12</f>
        <v>0</v>
      </c>
      <c r="E256" s="129" t="n">
        <f aca="false">E255-C256</f>
        <v>0</v>
      </c>
    </row>
    <row r="257" customFormat="false" ht="15" hidden="false" customHeight="true" outlineLevel="0" collapsed="false">
      <c r="A257" s="127" t="n">
        <v>249</v>
      </c>
      <c r="B257" s="36" t="n">
        <f aca="false">$B$6</f>
        <v>-0</v>
      </c>
      <c r="C257" s="36" t="n">
        <f aca="false">B257-D257</f>
        <v>-0</v>
      </c>
      <c r="D257" s="36" t="n">
        <f aca="false">E256*$B$4/12</f>
        <v>0</v>
      </c>
      <c r="E257" s="36" t="n">
        <f aca="false">E256-C257</f>
        <v>0</v>
      </c>
    </row>
    <row r="258" customFormat="false" ht="15" hidden="false" customHeight="true" outlineLevel="0" collapsed="false">
      <c r="A258" s="128" t="n">
        <v>250</v>
      </c>
      <c r="B258" s="129" t="n">
        <f aca="false">$B$6</f>
        <v>-0</v>
      </c>
      <c r="C258" s="129" t="n">
        <f aca="false">B258-D258</f>
        <v>-0</v>
      </c>
      <c r="D258" s="129" t="n">
        <f aca="false">E257*$B$4/12</f>
        <v>0</v>
      </c>
      <c r="E258" s="129" t="n">
        <f aca="false">E257-C258</f>
        <v>0</v>
      </c>
    </row>
    <row r="259" customFormat="false" ht="15" hidden="false" customHeight="true" outlineLevel="0" collapsed="false">
      <c r="A259" s="127" t="n">
        <v>251</v>
      </c>
      <c r="B259" s="36" t="n">
        <f aca="false">$B$6</f>
        <v>-0</v>
      </c>
      <c r="C259" s="36" t="n">
        <f aca="false">B259-D259</f>
        <v>-0</v>
      </c>
      <c r="D259" s="36" t="n">
        <f aca="false">E258*$B$4/12</f>
        <v>0</v>
      </c>
      <c r="E259" s="36" t="n">
        <f aca="false">E258-C259</f>
        <v>0</v>
      </c>
    </row>
    <row r="260" customFormat="false" ht="15" hidden="false" customHeight="true" outlineLevel="0" collapsed="false">
      <c r="A260" s="128" t="n">
        <v>252</v>
      </c>
      <c r="B260" s="129" t="n">
        <f aca="false">$B$6</f>
        <v>-0</v>
      </c>
      <c r="C260" s="129" t="n">
        <f aca="false">B260-D260</f>
        <v>-0</v>
      </c>
      <c r="D260" s="129" t="n">
        <f aca="false">E259*$B$4/12</f>
        <v>0</v>
      </c>
      <c r="E260" s="129" t="n">
        <f aca="false">E259-C260</f>
        <v>0</v>
      </c>
    </row>
    <row r="261" customFormat="false" ht="15" hidden="false" customHeight="true" outlineLevel="0" collapsed="false">
      <c r="A261" s="127" t="n">
        <v>253</v>
      </c>
      <c r="B261" s="36" t="n">
        <f aca="false">$B$6</f>
        <v>-0</v>
      </c>
      <c r="C261" s="36" t="n">
        <f aca="false">B261-D261</f>
        <v>-0</v>
      </c>
      <c r="D261" s="36" t="n">
        <f aca="false">E260*$B$4/12</f>
        <v>0</v>
      </c>
      <c r="E261" s="36" t="n">
        <f aca="false">E260-C261</f>
        <v>0</v>
      </c>
    </row>
    <row r="262" customFormat="false" ht="15" hidden="false" customHeight="true" outlineLevel="0" collapsed="false">
      <c r="A262" s="128" t="n">
        <v>254</v>
      </c>
      <c r="B262" s="129" t="n">
        <f aca="false">$B$6</f>
        <v>-0</v>
      </c>
      <c r="C262" s="129" t="n">
        <f aca="false">B262-D262</f>
        <v>-0</v>
      </c>
      <c r="D262" s="129" t="n">
        <f aca="false">E261*$B$4/12</f>
        <v>0</v>
      </c>
      <c r="E262" s="129" t="n">
        <f aca="false">E261-C262</f>
        <v>0</v>
      </c>
    </row>
    <row r="263" customFormat="false" ht="15" hidden="false" customHeight="true" outlineLevel="0" collapsed="false">
      <c r="A263" s="127" t="n">
        <v>255</v>
      </c>
      <c r="B263" s="36" t="n">
        <f aca="false">$B$6</f>
        <v>-0</v>
      </c>
      <c r="C263" s="36" t="n">
        <f aca="false">B263-D263</f>
        <v>-0</v>
      </c>
      <c r="D263" s="36" t="n">
        <f aca="false">E262*$B$4/12</f>
        <v>0</v>
      </c>
      <c r="E263" s="36" t="n">
        <f aca="false">E262-C263</f>
        <v>0</v>
      </c>
    </row>
    <row r="264" customFormat="false" ht="15" hidden="false" customHeight="true" outlineLevel="0" collapsed="false">
      <c r="A264" s="128" t="n">
        <v>256</v>
      </c>
      <c r="B264" s="129" t="n">
        <f aca="false">$B$6</f>
        <v>-0</v>
      </c>
      <c r="C264" s="129" t="n">
        <f aca="false">B264-D264</f>
        <v>-0</v>
      </c>
      <c r="D264" s="129" t="n">
        <f aca="false">E263*$B$4/12</f>
        <v>0</v>
      </c>
      <c r="E264" s="129" t="n">
        <f aca="false">E263-C264</f>
        <v>0</v>
      </c>
    </row>
    <row r="265" customFormat="false" ht="15" hidden="false" customHeight="true" outlineLevel="0" collapsed="false">
      <c r="A265" s="127" t="n">
        <v>257</v>
      </c>
      <c r="B265" s="36" t="n">
        <f aca="false">$B$6</f>
        <v>-0</v>
      </c>
      <c r="C265" s="36" t="n">
        <f aca="false">B265-D265</f>
        <v>-0</v>
      </c>
      <c r="D265" s="36" t="n">
        <f aca="false">E264*$B$4/12</f>
        <v>0</v>
      </c>
      <c r="E265" s="36" t="n">
        <f aca="false">E264-C265</f>
        <v>0</v>
      </c>
    </row>
    <row r="266" customFormat="false" ht="15" hidden="false" customHeight="true" outlineLevel="0" collapsed="false">
      <c r="A266" s="128" t="n">
        <v>258</v>
      </c>
      <c r="B266" s="129" t="n">
        <f aca="false">$B$6</f>
        <v>-0</v>
      </c>
      <c r="C266" s="129" t="n">
        <f aca="false">B266-D266</f>
        <v>-0</v>
      </c>
      <c r="D266" s="129" t="n">
        <f aca="false">E265*$B$4/12</f>
        <v>0</v>
      </c>
      <c r="E266" s="129" t="n">
        <f aca="false">E265-C266</f>
        <v>0</v>
      </c>
    </row>
    <row r="267" customFormat="false" ht="15" hidden="false" customHeight="true" outlineLevel="0" collapsed="false">
      <c r="A267" s="127" t="n">
        <v>259</v>
      </c>
      <c r="B267" s="36" t="n">
        <f aca="false">$B$6</f>
        <v>-0</v>
      </c>
      <c r="C267" s="36" t="n">
        <f aca="false">B267-D267</f>
        <v>-0</v>
      </c>
      <c r="D267" s="36" t="n">
        <f aca="false">E266*$B$4/12</f>
        <v>0</v>
      </c>
      <c r="E267" s="36" t="n">
        <f aca="false">E266-C267</f>
        <v>0</v>
      </c>
    </row>
    <row r="268" customFormat="false" ht="15" hidden="false" customHeight="true" outlineLevel="0" collapsed="false">
      <c r="A268" s="128" t="n">
        <v>260</v>
      </c>
      <c r="B268" s="129" t="n">
        <f aca="false">$B$6</f>
        <v>-0</v>
      </c>
      <c r="C268" s="129" t="n">
        <f aca="false">B268-D268</f>
        <v>-0</v>
      </c>
      <c r="D268" s="129" t="n">
        <f aca="false">E267*$B$4/12</f>
        <v>0</v>
      </c>
      <c r="E268" s="129" t="n">
        <f aca="false">E267-C268</f>
        <v>0</v>
      </c>
    </row>
    <row r="269" customFormat="false" ht="15" hidden="false" customHeight="true" outlineLevel="0" collapsed="false">
      <c r="A269" s="127" t="n">
        <v>261</v>
      </c>
      <c r="B269" s="36" t="n">
        <f aca="false">$B$6</f>
        <v>-0</v>
      </c>
      <c r="C269" s="36" t="n">
        <f aca="false">B269-D269</f>
        <v>-0</v>
      </c>
      <c r="D269" s="36" t="n">
        <f aca="false">E268*$B$4/12</f>
        <v>0</v>
      </c>
      <c r="E269" s="36" t="n">
        <f aca="false">E268-C269</f>
        <v>0</v>
      </c>
    </row>
    <row r="270" customFormat="false" ht="15" hidden="false" customHeight="true" outlineLevel="0" collapsed="false">
      <c r="A270" s="128" t="n">
        <v>262</v>
      </c>
      <c r="B270" s="129" t="n">
        <f aca="false">$B$6</f>
        <v>-0</v>
      </c>
      <c r="C270" s="129" t="n">
        <f aca="false">B270-D270</f>
        <v>-0</v>
      </c>
      <c r="D270" s="129" t="n">
        <f aca="false">E269*$B$4/12</f>
        <v>0</v>
      </c>
      <c r="E270" s="129" t="n">
        <f aca="false">E269-C270</f>
        <v>0</v>
      </c>
    </row>
    <row r="271" customFormat="false" ht="15" hidden="false" customHeight="true" outlineLevel="0" collapsed="false">
      <c r="A271" s="127" t="n">
        <v>263</v>
      </c>
      <c r="B271" s="36" t="n">
        <f aca="false">$B$6</f>
        <v>-0</v>
      </c>
      <c r="C271" s="36" t="n">
        <f aca="false">B271-D271</f>
        <v>-0</v>
      </c>
      <c r="D271" s="36" t="n">
        <f aca="false">E270*$B$4/12</f>
        <v>0</v>
      </c>
      <c r="E271" s="36" t="n">
        <f aca="false">E270-C271</f>
        <v>0</v>
      </c>
    </row>
    <row r="272" customFormat="false" ht="15" hidden="false" customHeight="true" outlineLevel="0" collapsed="false">
      <c r="A272" s="128" t="n">
        <v>264</v>
      </c>
      <c r="B272" s="129" t="n">
        <f aca="false">$B$6</f>
        <v>-0</v>
      </c>
      <c r="C272" s="129" t="n">
        <f aca="false">B272-D272</f>
        <v>-0</v>
      </c>
      <c r="D272" s="129" t="n">
        <f aca="false">E271*$B$4/12</f>
        <v>0</v>
      </c>
      <c r="E272" s="129" t="n">
        <f aca="false">E271-C272</f>
        <v>0</v>
      </c>
    </row>
    <row r="273" customFormat="false" ht="15" hidden="false" customHeight="true" outlineLevel="0" collapsed="false">
      <c r="A273" s="127" t="n">
        <v>265</v>
      </c>
      <c r="B273" s="36" t="n">
        <f aca="false">$B$6</f>
        <v>-0</v>
      </c>
      <c r="C273" s="36" t="n">
        <f aca="false">B273-D273</f>
        <v>-0</v>
      </c>
      <c r="D273" s="36" t="n">
        <f aca="false">E272*$B$4/12</f>
        <v>0</v>
      </c>
      <c r="E273" s="36" t="n">
        <f aca="false">E272-C273</f>
        <v>0</v>
      </c>
    </row>
    <row r="274" customFormat="false" ht="15" hidden="false" customHeight="true" outlineLevel="0" collapsed="false">
      <c r="A274" s="128" t="n">
        <v>266</v>
      </c>
      <c r="B274" s="129" t="n">
        <f aca="false">$B$6</f>
        <v>-0</v>
      </c>
      <c r="C274" s="129" t="n">
        <f aca="false">B274-D274</f>
        <v>-0</v>
      </c>
      <c r="D274" s="129" t="n">
        <f aca="false">E273*$B$4/12</f>
        <v>0</v>
      </c>
      <c r="E274" s="129" t="n">
        <f aca="false">E273-C274</f>
        <v>0</v>
      </c>
    </row>
    <row r="275" customFormat="false" ht="15" hidden="false" customHeight="true" outlineLevel="0" collapsed="false">
      <c r="A275" s="127" t="n">
        <v>267</v>
      </c>
      <c r="B275" s="36" t="n">
        <f aca="false">$B$6</f>
        <v>-0</v>
      </c>
      <c r="C275" s="36" t="n">
        <f aca="false">B275-D275</f>
        <v>-0</v>
      </c>
      <c r="D275" s="36" t="n">
        <f aca="false">E274*$B$4/12</f>
        <v>0</v>
      </c>
      <c r="E275" s="36" t="n">
        <f aca="false">E274-C275</f>
        <v>0</v>
      </c>
    </row>
    <row r="276" customFormat="false" ht="15" hidden="false" customHeight="true" outlineLevel="0" collapsed="false">
      <c r="A276" s="128" t="n">
        <v>268</v>
      </c>
      <c r="B276" s="129" t="n">
        <f aca="false">$B$6</f>
        <v>-0</v>
      </c>
      <c r="C276" s="129" t="n">
        <f aca="false">B276-D276</f>
        <v>-0</v>
      </c>
      <c r="D276" s="129" t="n">
        <f aca="false">E275*$B$4/12</f>
        <v>0</v>
      </c>
      <c r="E276" s="129" t="n">
        <f aca="false">E275-C276</f>
        <v>0</v>
      </c>
    </row>
    <row r="277" customFormat="false" ht="15" hidden="false" customHeight="true" outlineLevel="0" collapsed="false">
      <c r="A277" s="127" t="n">
        <v>269</v>
      </c>
      <c r="B277" s="36" t="n">
        <f aca="false">$B$6</f>
        <v>-0</v>
      </c>
      <c r="C277" s="36" t="n">
        <f aca="false">B277-D277</f>
        <v>-0</v>
      </c>
      <c r="D277" s="36" t="n">
        <f aca="false">E276*$B$4/12</f>
        <v>0</v>
      </c>
      <c r="E277" s="36" t="n">
        <f aca="false">E276-C277</f>
        <v>0</v>
      </c>
    </row>
    <row r="278" customFormat="false" ht="15" hidden="false" customHeight="true" outlineLevel="0" collapsed="false">
      <c r="A278" s="128" t="n">
        <v>270</v>
      </c>
      <c r="B278" s="129" t="n">
        <f aca="false">$B$6</f>
        <v>-0</v>
      </c>
      <c r="C278" s="129" t="n">
        <f aca="false">B278-D278</f>
        <v>-0</v>
      </c>
      <c r="D278" s="129" t="n">
        <f aca="false">E277*$B$4/12</f>
        <v>0</v>
      </c>
      <c r="E278" s="129" t="n">
        <f aca="false">E277-C278</f>
        <v>0</v>
      </c>
    </row>
    <row r="279" customFormat="false" ht="15" hidden="false" customHeight="true" outlineLevel="0" collapsed="false">
      <c r="A279" s="127" t="n">
        <v>271</v>
      </c>
      <c r="B279" s="36" t="n">
        <f aca="false">$B$6</f>
        <v>-0</v>
      </c>
      <c r="C279" s="36" t="n">
        <f aca="false">B279-D279</f>
        <v>-0</v>
      </c>
      <c r="D279" s="36" t="n">
        <f aca="false">E278*$B$4/12</f>
        <v>0</v>
      </c>
      <c r="E279" s="36" t="n">
        <f aca="false">E278-C279</f>
        <v>0</v>
      </c>
    </row>
    <row r="280" customFormat="false" ht="15" hidden="false" customHeight="true" outlineLevel="0" collapsed="false">
      <c r="A280" s="128" t="n">
        <v>272</v>
      </c>
      <c r="B280" s="129" t="n">
        <f aca="false">$B$6</f>
        <v>-0</v>
      </c>
      <c r="C280" s="129" t="n">
        <f aca="false">B280-D280</f>
        <v>-0</v>
      </c>
      <c r="D280" s="129" t="n">
        <f aca="false">E279*$B$4/12</f>
        <v>0</v>
      </c>
      <c r="E280" s="129" t="n">
        <f aca="false">E279-C280</f>
        <v>0</v>
      </c>
    </row>
    <row r="281" customFormat="false" ht="15" hidden="false" customHeight="true" outlineLevel="0" collapsed="false">
      <c r="A281" s="127" t="n">
        <v>273</v>
      </c>
      <c r="B281" s="36" t="n">
        <f aca="false">$B$6</f>
        <v>-0</v>
      </c>
      <c r="C281" s="36" t="n">
        <f aca="false">B281-D281</f>
        <v>-0</v>
      </c>
      <c r="D281" s="36" t="n">
        <f aca="false">E280*$B$4/12</f>
        <v>0</v>
      </c>
      <c r="E281" s="36" t="n">
        <f aca="false">E280-C281</f>
        <v>0</v>
      </c>
    </row>
    <row r="282" customFormat="false" ht="15" hidden="false" customHeight="true" outlineLevel="0" collapsed="false">
      <c r="A282" s="128" t="n">
        <v>274</v>
      </c>
      <c r="B282" s="129" t="n">
        <f aca="false">$B$6</f>
        <v>-0</v>
      </c>
      <c r="C282" s="129" t="n">
        <f aca="false">B282-D282</f>
        <v>-0</v>
      </c>
      <c r="D282" s="129" t="n">
        <f aca="false">E281*$B$4/12</f>
        <v>0</v>
      </c>
      <c r="E282" s="129" t="n">
        <f aca="false">E281-C282</f>
        <v>0</v>
      </c>
    </row>
    <row r="283" customFormat="false" ht="15" hidden="false" customHeight="true" outlineLevel="0" collapsed="false">
      <c r="A283" s="127" t="n">
        <v>275</v>
      </c>
      <c r="B283" s="36" t="n">
        <f aca="false">$B$6</f>
        <v>-0</v>
      </c>
      <c r="C283" s="36" t="n">
        <f aca="false">B283-D283</f>
        <v>-0</v>
      </c>
      <c r="D283" s="36" t="n">
        <f aca="false">E282*$B$4/12</f>
        <v>0</v>
      </c>
      <c r="E283" s="36" t="n">
        <f aca="false">E282-C283</f>
        <v>0</v>
      </c>
    </row>
    <row r="284" customFormat="false" ht="15" hidden="false" customHeight="true" outlineLevel="0" collapsed="false">
      <c r="A284" s="128" t="n">
        <v>276</v>
      </c>
      <c r="B284" s="129" t="n">
        <f aca="false">$B$6</f>
        <v>-0</v>
      </c>
      <c r="C284" s="129" t="n">
        <f aca="false">B284-D284</f>
        <v>-0</v>
      </c>
      <c r="D284" s="129" t="n">
        <f aca="false">E283*$B$4/12</f>
        <v>0</v>
      </c>
      <c r="E284" s="129" t="n">
        <f aca="false">E283-C284</f>
        <v>0</v>
      </c>
    </row>
    <row r="285" customFormat="false" ht="15" hidden="false" customHeight="true" outlineLevel="0" collapsed="false">
      <c r="A285" s="127" t="n">
        <v>277</v>
      </c>
      <c r="B285" s="36" t="n">
        <f aca="false">$B$6</f>
        <v>-0</v>
      </c>
      <c r="C285" s="36" t="n">
        <f aca="false">B285-D285</f>
        <v>-0</v>
      </c>
      <c r="D285" s="36" t="n">
        <f aca="false">E284*$B$4/12</f>
        <v>0</v>
      </c>
      <c r="E285" s="36" t="n">
        <f aca="false">E284-C285</f>
        <v>0</v>
      </c>
    </row>
    <row r="286" customFormat="false" ht="15" hidden="false" customHeight="true" outlineLevel="0" collapsed="false">
      <c r="A286" s="128" t="n">
        <v>278</v>
      </c>
      <c r="B286" s="129" t="n">
        <f aca="false">$B$6</f>
        <v>-0</v>
      </c>
      <c r="C286" s="129" t="n">
        <f aca="false">B286-D286</f>
        <v>-0</v>
      </c>
      <c r="D286" s="129" t="n">
        <f aca="false">E285*$B$4/12</f>
        <v>0</v>
      </c>
      <c r="E286" s="129" t="n">
        <f aca="false">E285-C286</f>
        <v>0</v>
      </c>
    </row>
    <row r="287" customFormat="false" ht="15" hidden="false" customHeight="true" outlineLevel="0" collapsed="false">
      <c r="A287" s="127" t="n">
        <v>279</v>
      </c>
      <c r="B287" s="36" t="n">
        <f aca="false">$B$6</f>
        <v>-0</v>
      </c>
      <c r="C287" s="36" t="n">
        <f aca="false">B287-D287</f>
        <v>-0</v>
      </c>
      <c r="D287" s="36" t="n">
        <f aca="false">E286*$B$4/12</f>
        <v>0</v>
      </c>
      <c r="E287" s="36" t="n">
        <f aca="false">E286-C287</f>
        <v>0</v>
      </c>
    </row>
    <row r="288" customFormat="false" ht="15" hidden="false" customHeight="true" outlineLevel="0" collapsed="false">
      <c r="A288" s="128" t="n">
        <v>280</v>
      </c>
      <c r="B288" s="129" t="n">
        <f aca="false">$B$6</f>
        <v>-0</v>
      </c>
      <c r="C288" s="129" t="n">
        <f aca="false">B288-D288</f>
        <v>-0</v>
      </c>
      <c r="D288" s="129" t="n">
        <f aca="false">E287*$B$4/12</f>
        <v>0</v>
      </c>
      <c r="E288" s="129" t="n">
        <f aca="false">E287-C288</f>
        <v>0</v>
      </c>
    </row>
    <row r="289" customFormat="false" ht="15" hidden="false" customHeight="true" outlineLevel="0" collapsed="false">
      <c r="A289" s="127" t="n">
        <v>281</v>
      </c>
      <c r="B289" s="36" t="n">
        <f aca="false">$B$6</f>
        <v>-0</v>
      </c>
      <c r="C289" s="36" t="n">
        <f aca="false">B289-D289</f>
        <v>-0</v>
      </c>
      <c r="D289" s="36" t="n">
        <f aca="false">E288*$B$4/12</f>
        <v>0</v>
      </c>
      <c r="E289" s="36" t="n">
        <f aca="false">E288-C289</f>
        <v>0</v>
      </c>
    </row>
    <row r="290" customFormat="false" ht="15" hidden="false" customHeight="true" outlineLevel="0" collapsed="false">
      <c r="A290" s="128" t="n">
        <v>282</v>
      </c>
      <c r="B290" s="129" t="n">
        <f aca="false">$B$6</f>
        <v>-0</v>
      </c>
      <c r="C290" s="129" t="n">
        <f aca="false">B290-D290</f>
        <v>-0</v>
      </c>
      <c r="D290" s="129" t="n">
        <f aca="false">E289*$B$4/12</f>
        <v>0</v>
      </c>
      <c r="E290" s="129" t="n">
        <f aca="false">E289-C290</f>
        <v>0</v>
      </c>
    </row>
    <row r="291" customFormat="false" ht="15" hidden="false" customHeight="true" outlineLevel="0" collapsed="false">
      <c r="A291" s="127" t="n">
        <v>283</v>
      </c>
      <c r="B291" s="36" t="n">
        <f aca="false">$B$6</f>
        <v>-0</v>
      </c>
      <c r="C291" s="36" t="n">
        <f aca="false">B291-D291</f>
        <v>-0</v>
      </c>
      <c r="D291" s="36" t="n">
        <f aca="false">E290*$B$4/12</f>
        <v>0</v>
      </c>
      <c r="E291" s="36" t="n">
        <f aca="false">E290-C291</f>
        <v>0</v>
      </c>
    </row>
    <row r="292" customFormat="false" ht="15" hidden="false" customHeight="true" outlineLevel="0" collapsed="false">
      <c r="A292" s="128" t="n">
        <v>284</v>
      </c>
      <c r="B292" s="129" t="n">
        <f aca="false">$B$6</f>
        <v>-0</v>
      </c>
      <c r="C292" s="129" t="n">
        <f aca="false">B292-D292</f>
        <v>-0</v>
      </c>
      <c r="D292" s="129" t="n">
        <f aca="false">E291*$B$4/12</f>
        <v>0</v>
      </c>
      <c r="E292" s="129" t="n">
        <f aca="false">E291-C292</f>
        <v>0</v>
      </c>
    </row>
    <row r="293" customFormat="false" ht="15" hidden="false" customHeight="true" outlineLevel="0" collapsed="false">
      <c r="A293" s="127" t="n">
        <v>285</v>
      </c>
      <c r="B293" s="36" t="n">
        <f aca="false">$B$6</f>
        <v>-0</v>
      </c>
      <c r="C293" s="36" t="n">
        <f aca="false">B293-D293</f>
        <v>-0</v>
      </c>
      <c r="D293" s="36" t="n">
        <f aca="false">E292*$B$4/12</f>
        <v>0</v>
      </c>
      <c r="E293" s="36" t="n">
        <f aca="false">E292-C293</f>
        <v>0</v>
      </c>
    </row>
    <row r="294" customFormat="false" ht="15" hidden="false" customHeight="true" outlineLevel="0" collapsed="false">
      <c r="A294" s="128" t="n">
        <v>286</v>
      </c>
      <c r="B294" s="129" t="n">
        <f aca="false">$B$6</f>
        <v>-0</v>
      </c>
      <c r="C294" s="129" t="n">
        <f aca="false">B294-D294</f>
        <v>-0</v>
      </c>
      <c r="D294" s="129" t="n">
        <f aca="false">E293*$B$4/12</f>
        <v>0</v>
      </c>
      <c r="E294" s="129" t="n">
        <f aca="false">E293-C294</f>
        <v>0</v>
      </c>
    </row>
    <row r="295" customFormat="false" ht="15" hidden="false" customHeight="true" outlineLevel="0" collapsed="false">
      <c r="A295" s="127" t="n">
        <v>287</v>
      </c>
      <c r="B295" s="36" t="n">
        <f aca="false">$B$6</f>
        <v>-0</v>
      </c>
      <c r="C295" s="36" t="n">
        <f aca="false">B295-D295</f>
        <v>-0</v>
      </c>
      <c r="D295" s="36" t="n">
        <f aca="false">E294*$B$4/12</f>
        <v>0</v>
      </c>
      <c r="E295" s="36" t="n">
        <f aca="false">E294-C295</f>
        <v>0</v>
      </c>
    </row>
    <row r="296" customFormat="false" ht="15" hidden="false" customHeight="true" outlineLevel="0" collapsed="false">
      <c r="A296" s="128" t="n">
        <v>288</v>
      </c>
      <c r="B296" s="129" t="n">
        <f aca="false">$B$6</f>
        <v>-0</v>
      </c>
      <c r="C296" s="129" t="n">
        <f aca="false">B296-D296</f>
        <v>-0</v>
      </c>
      <c r="D296" s="129" t="n">
        <f aca="false">E295*$B$4/12</f>
        <v>0</v>
      </c>
      <c r="E296" s="129" t="n">
        <f aca="false">E295-C296</f>
        <v>0</v>
      </c>
    </row>
    <row r="297" customFormat="false" ht="15" hidden="false" customHeight="true" outlineLevel="0" collapsed="false">
      <c r="A297" s="127" t="n">
        <v>289</v>
      </c>
      <c r="B297" s="36" t="n">
        <f aca="false">$B$6</f>
        <v>-0</v>
      </c>
      <c r="C297" s="36" t="n">
        <f aca="false">B297-D297</f>
        <v>-0</v>
      </c>
      <c r="D297" s="36" t="n">
        <f aca="false">E296*$B$4/12</f>
        <v>0</v>
      </c>
      <c r="E297" s="36" t="n">
        <f aca="false">E296-C297</f>
        <v>0</v>
      </c>
    </row>
    <row r="298" customFormat="false" ht="15" hidden="false" customHeight="true" outlineLevel="0" collapsed="false">
      <c r="A298" s="128" t="n">
        <v>290</v>
      </c>
      <c r="B298" s="129" t="n">
        <f aca="false">$B$6</f>
        <v>-0</v>
      </c>
      <c r="C298" s="129" t="n">
        <f aca="false">B298-D298</f>
        <v>-0</v>
      </c>
      <c r="D298" s="129" t="n">
        <f aca="false">E297*$B$4/12</f>
        <v>0</v>
      </c>
      <c r="E298" s="129" t="n">
        <f aca="false">E297-C298</f>
        <v>0</v>
      </c>
    </row>
    <row r="299" customFormat="false" ht="15" hidden="false" customHeight="true" outlineLevel="0" collapsed="false">
      <c r="A299" s="127" t="n">
        <v>291</v>
      </c>
      <c r="B299" s="36" t="n">
        <f aca="false">$B$6</f>
        <v>-0</v>
      </c>
      <c r="C299" s="36" t="n">
        <f aca="false">B299-D299</f>
        <v>-0</v>
      </c>
      <c r="D299" s="36" t="n">
        <f aca="false">E298*$B$4/12</f>
        <v>0</v>
      </c>
      <c r="E299" s="36" t="n">
        <f aca="false">E298-C299</f>
        <v>0</v>
      </c>
    </row>
    <row r="300" customFormat="false" ht="15" hidden="false" customHeight="true" outlineLevel="0" collapsed="false">
      <c r="A300" s="128" t="n">
        <v>292</v>
      </c>
      <c r="B300" s="129" t="n">
        <f aca="false">$B$6</f>
        <v>-0</v>
      </c>
      <c r="C300" s="129" t="n">
        <f aca="false">B300-D300</f>
        <v>-0</v>
      </c>
      <c r="D300" s="129" t="n">
        <f aca="false">E299*$B$4/12</f>
        <v>0</v>
      </c>
      <c r="E300" s="129" t="n">
        <f aca="false">E299-C300</f>
        <v>0</v>
      </c>
    </row>
    <row r="301" customFormat="false" ht="15" hidden="false" customHeight="true" outlineLevel="0" collapsed="false">
      <c r="A301" s="127" t="n">
        <v>293</v>
      </c>
      <c r="B301" s="36" t="n">
        <f aca="false">$B$6</f>
        <v>-0</v>
      </c>
      <c r="C301" s="36" t="n">
        <f aca="false">B301-D301</f>
        <v>-0</v>
      </c>
      <c r="D301" s="36" t="n">
        <f aca="false">E300*$B$4/12</f>
        <v>0</v>
      </c>
      <c r="E301" s="36" t="n">
        <f aca="false">E300-C301</f>
        <v>0</v>
      </c>
    </row>
    <row r="302" customFormat="false" ht="15" hidden="false" customHeight="true" outlineLevel="0" collapsed="false">
      <c r="A302" s="128" t="n">
        <v>294</v>
      </c>
      <c r="B302" s="129" t="n">
        <f aca="false">$B$6</f>
        <v>-0</v>
      </c>
      <c r="C302" s="129" t="n">
        <f aca="false">B302-D302</f>
        <v>-0</v>
      </c>
      <c r="D302" s="129" t="n">
        <f aca="false">E301*$B$4/12</f>
        <v>0</v>
      </c>
      <c r="E302" s="129" t="n">
        <f aca="false">E301-C302</f>
        <v>0</v>
      </c>
    </row>
    <row r="303" customFormat="false" ht="15" hidden="false" customHeight="true" outlineLevel="0" collapsed="false">
      <c r="A303" s="127" t="n">
        <v>295</v>
      </c>
      <c r="B303" s="36" t="n">
        <f aca="false">$B$6</f>
        <v>-0</v>
      </c>
      <c r="C303" s="36" t="n">
        <f aca="false">B303-D303</f>
        <v>-0</v>
      </c>
      <c r="D303" s="36" t="n">
        <f aca="false">E302*$B$4/12</f>
        <v>0</v>
      </c>
      <c r="E303" s="36" t="n">
        <f aca="false">E302-C303</f>
        <v>0</v>
      </c>
    </row>
    <row r="304" customFormat="false" ht="15" hidden="false" customHeight="true" outlineLevel="0" collapsed="false">
      <c r="A304" s="128" t="n">
        <v>296</v>
      </c>
      <c r="B304" s="129" t="n">
        <f aca="false">$B$6</f>
        <v>-0</v>
      </c>
      <c r="C304" s="129" t="n">
        <f aca="false">B304-D304</f>
        <v>-0</v>
      </c>
      <c r="D304" s="129" t="n">
        <f aca="false">E303*$B$4/12</f>
        <v>0</v>
      </c>
      <c r="E304" s="129" t="n">
        <f aca="false">E303-C304</f>
        <v>0</v>
      </c>
    </row>
    <row r="305" customFormat="false" ht="15" hidden="false" customHeight="true" outlineLevel="0" collapsed="false">
      <c r="A305" s="127" t="n">
        <v>297</v>
      </c>
      <c r="B305" s="36" t="n">
        <f aca="false">$B$6</f>
        <v>-0</v>
      </c>
      <c r="C305" s="36" t="n">
        <f aca="false">B305-D305</f>
        <v>-0</v>
      </c>
      <c r="D305" s="36" t="n">
        <f aca="false">E304*$B$4/12</f>
        <v>0</v>
      </c>
      <c r="E305" s="36" t="n">
        <f aca="false">E304-C305</f>
        <v>0</v>
      </c>
    </row>
    <row r="306" customFormat="false" ht="15" hidden="false" customHeight="true" outlineLevel="0" collapsed="false">
      <c r="A306" s="128" t="n">
        <v>298</v>
      </c>
      <c r="B306" s="129" t="n">
        <f aca="false">$B$6</f>
        <v>-0</v>
      </c>
      <c r="C306" s="129" t="n">
        <f aca="false">B306-D306</f>
        <v>-0</v>
      </c>
      <c r="D306" s="129" t="n">
        <f aca="false">E305*$B$4/12</f>
        <v>0</v>
      </c>
      <c r="E306" s="129" t="n">
        <f aca="false">E305-C306</f>
        <v>0</v>
      </c>
    </row>
    <row r="307" customFormat="false" ht="15" hidden="false" customHeight="true" outlineLevel="0" collapsed="false">
      <c r="A307" s="127" t="n">
        <v>299</v>
      </c>
      <c r="B307" s="36" t="n">
        <f aca="false">$B$6</f>
        <v>-0</v>
      </c>
      <c r="C307" s="36" t="n">
        <f aca="false">B307-D307</f>
        <v>-0</v>
      </c>
      <c r="D307" s="36" t="n">
        <f aca="false">E306*$B$4/12</f>
        <v>0</v>
      </c>
      <c r="E307" s="36" t="n">
        <f aca="false">E306-C307</f>
        <v>0</v>
      </c>
    </row>
    <row r="308" customFormat="false" ht="15" hidden="false" customHeight="true" outlineLevel="0" collapsed="false">
      <c r="A308" s="128" t="n">
        <v>300</v>
      </c>
      <c r="B308" s="129" t="n">
        <f aca="false">$B$6</f>
        <v>-0</v>
      </c>
      <c r="C308" s="129" t="n">
        <f aca="false">B308-D308</f>
        <v>-0</v>
      </c>
      <c r="D308" s="129" t="n">
        <f aca="false">E307*$B$4/12</f>
        <v>0</v>
      </c>
      <c r="E308" s="129" t="n">
        <f aca="false">E307-C308</f>
        <v>0</v>
      </c>
    </row>
    <row r="309" customFormat="false" ht="15" hidden="false" customHeight="true" outlineLevel="0" collapsed="false">
      <c r="A309" s="127" t="n">
        <v>301</v>
      </c>
      <c r="B309" s="36" t="n">
        <f aca="false">$B$6</f>
        <v>-0</v>
      </c>
      <c r="C309" s="36" t="n">
        <f aca="false">B309-D309</f>
        <v>-0</v>
      </c>
      <c r="D309" s="36" t="n">
        <f aca="false">E308*$B$4/12</f>
        <v>0</v>
      </c>
      <c r="E309" s="36" t="n">
        <f aca="false">E308-C309</f>
        <v>0</v>
      </c>
    </row>
    <row r="310" customFormat="false" ht="15" hidden="false" customHeight="true" outlineLevel="0" collapsed="false">
      <c r="A310" s="128" t="n">
        <v>302</v>
      </c>
      <c r="B310" s="129" t="n">
        <f aca="false">$B$6</f>
        <v>-0</v>
      </c>
      <c r="C310" s="129" t="n">
        <f aca="false">B310-D310</f>
        <v>-0</v>
      </c>
      <c r="D310" s="129" t="n">
        <f aca="false">E309*$B$4/12</f>
        <v>0</v>
      </c>
      <c r="E310" s="129" t="n">
        <f aca="false">E309-C310</f>
        <v>0</v>
      </c>
    </row>
    <row r="311" customFormat="false" ht="15" hidden="false" customHeight="true" outlineLevel="0" collapsed="false">
      <c r="A311" s="127" t="n">
        <v>303</v>
      </c>
      <c r="B311" s="36" t="n">
        <f aca="false">$B$6</f>
        <v>-0</v>
      </c>
      <c r="C311" s="36" t="n">
        <f aca="false">B311-D311</f>
        <v>-0</v>
      </c>
      <c r="D311" s="36" t="n">
        <f aca="false">E310*$B$4/12</f>
        <v>0</v>
      </c>
      <c r="E311" s="36" t="n">
        <f aca="false">E310-C311</f>
        <v>0</v>
      </c>
    </row>
    <row r="312" customFormat="false" ht="15" hidden="false" customHeight="true" outlineLevel="0" collapsed="false">
      <c r="A312" s="128" t="n">
        <v>304</v>
      </c>
      <c r="B312" s="129" t="n">
        <f aca="false">$B$6</f>
        <v>-0</v>
      </c>
      <c r="C312" s="129" t="n">
        <f aca="false">B312-D312</f>
        <v>-0</v>
      </c>
      <c r="D312" s="129" t="n">
        <f aca="false">E311*$B$4/12</f>
        <v>0</v>
      </c>
      <c r="E312" s="129" t="n">
        <f aca="false">E311-C312</f>
        <v>0</v>
      </c>
    </row>
    <row r="313" customFormat="false" ht="15" hidden="false" customHeight="true" outlineLevel="0" collapsed="false">
      <c r="A313" s="127" t="n">
        <v>305</v>
      </c>
      <c r="B313" s="36" t="n">
        <f aca="false">$B$6</f>
        <v>-0</v>
      </c>
      <c r="C313" s="36" t="n">
        <f aca="false">B313-D313</f>
        <v>-0</v>
      </c>
      <c r="D313" s="36" t="n">
        <f aca="false">E312*$B$4/12</f>
        <v>0</v>
      </c>
      <c r="E313" s="36" t="n">
        <f aca="false">E312-C313</f>
        <v>0</v>
      </c>
    </row>
    <row r="314" customFormat="false" ht="15" hidden="false" customHeight="true" outlineLevel="0" collapsed="false">
      <c r="A314" s="128" t="n">
        <v>306</v>
      </c>
      <c r="B314" s="129" t="n">
        <f aca="false">$B$6</f>
        <v>-0</v>
      </c>
      <c r="C314" s="129" t="n">
        <f aca="false">B314-D314</f>
        <v>-0</v>
      </c>
      <c r="D314" s="129" t="n">
        <f aca="false">E313*$B$4/12</f>
        <v>0</v>
      </c>
      <c r="E314" s="129" t="n">
        <f aca="false">E313-C314</f>
        <v>0</v>
      </c>
    </row>
    <row r="315" customFormat="false" ht="15" hidden="false" customHeight="true" outlineLevel="0" collapsed="false">
      <c r="A315" s="127" t="n">
        <v>307</v>
      </c>
      <c r="B315" s="36" t="n">
        <f aca="false">$B$6</f>
        <v>-0</v>
      </c>
      <c r="C315" s="36" t="n">
        <f aca="false">B315-D315</f>
        <v>-0</v>
      </c>
      <c r="D315" s="36" t="n">
        <f aca="false">E314*$B$4/12</f>
        <v>0</v>
      </c>
      <c r="E315" s="36" t="n">
        <f aca="false">E314-C315</f>
        <v>0</v>
      </c>
    </row>
    <row r="316" customFormat="false" ht="15" hidden="false" customHeight="true" outlineLevel="0" collapsed="false">
      <c r="A316" s="128" t="n">
        <v>308</v>
      </c>
      <c r="B316" s="129" t="n">
        <f aca="false">$B$6</f>
        <v>-0</v>
      </c>
      <c r="C316" s="129" t="n">
        <f aca="false">B316-D316</f>
        <v>-0</v>
      </c>
      <c r="D316" s="129" t="n">
        <f aca="false">E315*$B$4/12</f>
        <v>0</v>
      </c>
      <c r="E316" s="129" t="n">
        <f aca="false">E315-C316</f>
        <v>0</v>
      </c>
    </row>
    <row r="317" customFormat="false" ht="15" hidden="false" customHeight="true" outlineLevel="0" collapsed="false">
      <c r="A317" s="127" t="n">
        <v>309</v>
      </c>
      <c r="B317" s="36" t="n">
        <f aca="false">$B$6</f>
        <v>-0</v>
      </c>
      <c r="C317" s="36" t="n">
        <f aca="false">B317-D317</f>
        <v>-0</v>
      </c>
      <c r="D317" s="36" t="n">
        <f aca="false">E316*$B$4/12</f>
        <v>0</v>
      </c>
      <c r="E317" s="36" t="n">
        <f aca="false">E316-C317</f>
        <v>0</v>
      </c>
    </row>
    <row r="318" customFormat="false" ht="15" hidden="false" customHeight="true" outlineLevel="0" collapsed="false">
      <c r="A318" s="128" t="n">
        <v>310</v>
      </c>
      <c r="B318" s="129" t="n">
        <f aca="false">$B$6</f>
        <v>-0</v>
      </c>
      <c r="C318" s="129" t="n">
        <f aca="false">B318-D318</f>
        <v>-0</v>
      </c>
      <c r="D318" s="129" t="n">
        <f aca="false">E317*$B$4/12</f>
        <v>0</v>
      </c>
      <c r="E318" s="129" t="n">
        <f aca="false">E317-C318</f>
        <v>0</v>
      </c>
    </row>
    <row r="319" customFormat="false" ht="15" hidden="false" customHeight="true" outlineLevel="0" collapsed="false">
      <c r="A319" s="127" t="n">
        <v>311</v>
      </c>
      <c r="B319" s="36" t="n">
        <f aca="false">$B$6</f>
        <v>-0</v>
      </c>
      <c r="C319" s="36" t="n">
        <f aca="false">B319-D319</f>
        <v>-0</v>
      </c>
      <c r="D319" s="36" t="n">
        <f aca="false">E318*$B$4/12</f>
        <v>0</v>
      </c>
      <c r="E319" s="36" t="n">
        <f aca="false">E318-C319</f>
        <v>0</v>
      </c>
    </row>
    <row r="320" customFormat="false" ht="15" hidden="false" customHeight="true" outlineLevel="0" collapsed="false">
      <c r="A320" s="128" t="n">
        <v>312</v>
      </c>
      <c r="B320" s="129" t="n">
        <f aca="false">$B$6</f>
        <v>-0</v>
      </c>
      <c r="C320" s="129" t="n">
        <f aca="false">B320-D320</f>
        <v>-0</v>
      </c>
      <c r="D320" s="129" t="n">
        <f aca="false">E319*$B$4/12</f>
        <v>0</v>
      </c>
      <c r="E320" s="129" t="n">
        <f aca="false">E319-C320</f>
        <v>0</v>
      </c>
    </row>
    <row r="321" customFormat="false" ht="15" hidden="false" customHeight="true" outlineLevel="0" collapsed="false">
      <c r="A321" s="127" t="n">
        <v>313</v>
      </c>
      <c r="B321" s="36" t="n">
        <f aca="false">$B$6</f>
        <v>-0</v>
      </c>
      <c r="C321" s="36" t="n">
        <f aca="false">B321-D321</f>
        <v>-0</v>
      </c>
      <c r="D321" s="36" t="n">
        <f aca="false">E320*$B$4/12</f>
        <v>0</v>
      </c>
      <c r="E321" s="36" t="n">
        <f aca="false">E320-C321</f>
        <v>0</v>
      </c>
    </row>
    <row r="322" customFormat="false" ht="15" hidden="false" customHeight="true" outlineLevel="0" collapsed="false">
      <c r="A322" s="128" t="n">
        <v>314</v>
      </c>
      <c r="B322" s="129" t="n">
        <f aca="false">$B$6</f>
        <v>-0</v>
      </c>
      <c r="C322" s="129" t="n">
        <f aca="false">B322-D322</f>
        <v>-0</v>
      </c>
      <c r="D322" s="129" t="n">
        <f aca="false">E321*$B$4/12</f>
        <v>0</v>
      </c>
      <c r="E322" s="129" t="n">
        <f aca="false">E321-C322</f>
        <v>0</v>
      </c>
    </row>
    <row r="323" customFormat="false" ht="15" hidden="false" customHeight="true" outlineLevel="0" collapsed="false">
      <c r="A323" s="127" t="n">
        <v>315</v>
      </c>
      <c r="B323" s="36" t="n">
        <f aca="false">$B$6</f>
        <v>-0</v>
      </c>
      <c r="C323" s="36" t="n">
        <f aca="false">B323-D323</f>
        <v>-0</v>
      </c>
      <c r="D323" s="36" t="n">
        <f aca="false">E322*$B$4/12</f>
        <v>0</v>
      </c>
      <c r="E323" s="36" t="n">
        <f aca="false">E322-C323</f>
        <v>0</v>
      </c>
    </row>
    <row r="324" customFormat="false" ht="15" hidden="false" customHeight="true" outlineLevel="0" collapsed="false">
      <c r="A324" s="128" t="n">
        <v>316</v>
      </c>
      <c r="B324" s="129" t="n">
        <f aca="false">$B$6</f>
        <v>-0</v>
      </c>
      <c r="C324" s="129" t="n">
        <f aca="false">B324-D324</f>
        <v>-0</v>
      </c>
      <c r="D324" s="129" t="n">
        <f aca="false">E323*$B$4/12</f>
        <v>0</v>
      </c>
      <c r="E324" s="129" t="n">
        <f aca="false">E323-C324</f>
        <v>0</v>
      </c>
    </row>
    <row r="325" customFormat="false" ht="15" hidden="false" customHeight="true" outlineLevel="0" collapsed="false">
      <c r="A325" s="127" t="n">
        <v>317</v>
      </c>
      <c r="B325" s="36" t="n">
        <f aca="false">$B$6</f>
        <v>-0</v>
      </c>
      <c r="C325" s="36" t="n">
        <f aca="false">B325-D325</f>
        <v>-0</v>
      </c>
      <c r="D325" s="36" t="n">
        <f aca="false">E324*$B$4/12</f>
        <v>0</v>
      </c>
      <c r="E325" s="36" t="n">
        <f aca="false">E324-C325</f>
        <v>0</v>
      </c>
    </row>
    <row r="326" customFormat="false" ht="15" hidden="false" customHeight="true" outlineLevel="0" collapsed="false">
      <c r="A326" s="128" t="n">
        <v>318</v>
      </c>
      <c r="B326" s="129" t="n">
        <f aca="false">$B$6</f>
        <v>-0</v>
      </c>
      <c r="C326" s="129" t="n">
        <f aca="false">B326-D326</f>
        <v>-0</v>
      </c>
      <c r="D326" s="129" t="n">
        <f aca="false">E325*$B$4/12</f>
        <v>0</v>
      </c>
      <c r="E326" s="129" t="n">
        <f aca="false">E325-C326</f>
        <v>0</v>
      </c>
    </row>
    <row r="327" customFormat="false" ht="15" hidden="false" customHeight="true" outlineLevel="0" collapsed="false">
      <c r="A327" s="127" t="n">
        <v>319</v>
      </c>
      <c r="B327" s="36" t="n">
        <f aca="false">$B$6</f>
        <v>-0</v>
      </c>
      <c r="C327" s="36" t="n">
        <f aca="false">B327-D327</f>
        <v>-0</v>
      </c>
      <c r="D327" s="36" t="n">
        <f aca="false">E326*$B$4/12</f>
        <v>0</v>
      </c>
      <c r="E327" s="36" t="n">
        <f aca="false">E326-C327</f>
        <v>0</v>
      </c>
    </row>
    <row r="328" customFormat="false" ht="15" hidden="false" customHeight="true" outlineLevel="0" collapsed="false">
      <c r="A328" s="128" t="n">
        <v>320</v>
      </c>
      <c r="B328" s="129" t="n">
        <f aca="false">$B$6</f>
        <v>-0</v>
      </c>
      <c r="C328" s="129" t="n">
        <f aca="false">B328-D328</f>
        <v>-0</v>
      </c>
      <c r="D328" s="129" t="n">
        <f aca="false">E327*$B$4/12</f>
        <v>0</v>
      </c>
      <c r="E328" s="129" t="n">
        <f aca="false">E327-C328</f>
        <v>0</v>
      </c>
    </row>
    <row r="329" customFormat="false" ht="15" hidden="false" customHeight="true" outlineLevel="0" collapsed="false">
      <c r="A329" s="127" t="n">
        <v>321</v>
      </c>
      <c r="B329" s="36" t="n">
        <f aca="false">$B$6</f>
        <v>-0</v>
      </c>
      <c r="C329" s="36" t="n">
        <f aca="false">B329-D329</f>
        <v>-0</v>
      </c>
      <c r="D329" s="36" t="n">
        <f aca="false">E328*$B$4/12</f>
        <v>0</v>
      </c>
      <c r="E329" s="36" t="n">
        <f aca="false">E328-C329</f>
        <v>0</v>
      </c>
    </row>
    <row r="330" customFormat="false" ht="15" hidden="false" customHeight="true" outlineLevel="0" collapsed="false">
      <c r="A330" s="128" t="n">
        <v>322</v>
      </c>
      <c r="B330" s="129" t="n">
        <f aca="false">$B$6</f>
        <v>-0</v>
      </c>
      <c r="C330" s="129" t="n">
        <f aca="false">B330-D330</f>
        <v>-0</v>
      </c>
      <c r="D330" s="129" t="n">
        <f aca="false">E329*$B$4/12</f>
        <v>0</v>
      </c>
      <c r="E330" s="129" t="n">
        <f aca="false">E329-C330</f>
        <v>0</v>
      </c>
    </row>
    <row r="331" customFormat="false" ht="15" hidden="false" customHeight="true" outlineLevel="0" collapsed="false">
      <c r="A331" s="127" t="n">
        <v>323</v>
      </c>
      <c r="B331" s="36" t="n">
        <f aca="false">$B$6</f>
        <v>-0</v>
      </c>
      <c r="C331" s="36" t="n">
        <f aca="false">B331-D331</f>
        <v>-0</v>
      </c>
      <c r="D331" s="36" t="n">
        <f aca="false">E330*$B$4/12</f>
        <v>0</v>
      </c>
      <c r="E331" s="36" t="n">
        <f aca="false">E330-C331</f>
        <v>0</v>
      </c>
    </row>
    <row r="332" customFormat="false" ht="15" hidden="false" customHeight="true" outlineLevel="0" collapsed="false">
      <c r="A332" s="128" t="n">
        <v>324</v>
      </c>
      <c r="B332" s="129" t="n">
        <f aca="false">$B$6</f>
        <v>-0</v>
      </c>
      <c r="C332" s="129" t="n">
        <f aca="false">B332-D332</f>
        <v>-0</v>
      </c>
      <c r="D332" s="129" t="n">
        <f aca="false">E331*$B$4/12</f>
        <v>0</v>
      </c>
      <c r="E332" s="129" t="n">
        <f aca="false">E331-C332</f>
        <v>0</v>
      </c>
    </row>
    <row r="333" customFormat="false" ht="15" hidden="false" customHeight="true" outlineLevel="0" collapsed="false">
      <c r="A333" s="127" t="n">
        <v>325</v>
      </c>
      <c r="B333" s="36" t="n">
        <f aca="false">$B$6</f>
        <v>-0</v>
      </c>
      <c r="C333" s="36" t="n">
        <f aca="false">B333-D333</f>
        <v>-0</v>
      </c>
      <c r="D333" s="36" t="n">
        <f aca="false">E332*$B$4/12</f>
        <v>0</v>
      </c>
      <c r="E333" s="36" t="n">
        <f aca="false">E332-C333</f>
        <v>0</v>
      </c>
    </row>
    <row r="334" customFormat="false" ht="15" hidden="false" customHeight="true" outlineLevel="0" collapsed="false">
      <c r="A334" s="128" t="n">
        <v>326</v>
      </c>
      <c r="B334" s="129" t="n">
        <f aca="false">$B$6</f>
        <v>-0</v>
      </c>
      <c r="C334" s="129" t="n">
        <f aca="false">B334-D334</f>
        <v>-0</v>
      </c>
      <c r="D334" s="129" t="n">
        <f aca="false">E333*$B$4/12</f>
        <v>0</v>
      </c>
      <c r="E334" s="129" t="n">
        <f aca="false">E333-C334</f>
        <v>0</v>
      </c>
    </row>
    <row r="335" customFormat="false" ht="15" hidden="false" customHeight="true" outlineLevel="0" collapsed="false">
      <c r="A335" s="127" t="n">
        <v>327</v>
      </c>
      <c r="B335" s="36" t="n">
        <f aca="false">$B$6</f>
        <v>-0</v>
      </c>
      <c r="C335" s="36" t="n">
        <f aca="false">B335-D335</f>
        <v>-0</v>
      </c>
      <c r="D335" s="36" t="n">
        <f aca="false">E334*$B$4/12</f>
        <v>0</v>
      </c>
      <c r="E335" s="36" t="n">
        <f aca="false">E334-C335</f>
        <v>0</v>
      </c>
    </row>
    <row r="336" customFormat="false" ht="15" hidden="false" customHeight="true" outlineLevel="0" collapsed="false">
      <c r="A336" s="128" t="n">
        <v>328</v>
      </c>
      <c r="B336" s="129" t="n">
        <f aca="false">$B$6</f>
        <v>-0</v>
      </c>
      <c r="C336" s="129" t="n">
        <f aca="false">B336-D336</f>
        <v>-0</v>
      </c>
      <c r="D336" s="129" t="n">
        <f aca="false">E335*$B$4/12</f>
        <v>0</v>
      </c>
      <c r="E336" s="129" t="n">
        <f aca="false">E335-C336</f>
        <v>0</v>
      </c>
    </row>
    <row r="337" customFormat="false" ht="15" hidden="false" customHeight="true" outlineLevel="0" collapsed="false">
      <c r="A337" s="127" t="n">
        <v>329</v>
      </c>
      <c r="B337" s="36" t="n">
        <f aca="false">$B$6</f>
        <v>-0</v>
      </c>
      <c r="C337" s="36" t="n">
        <f aca="false">B337-D337</f>
        <v>-0</v>
      </c>
      <c r="D337" s="36" t="n">
        <f aca="false">E336*$B$4/12</f>
        <v>0</v>
      </c>
      <c r="E337" s="36" t="n">
        <f aca="false">E336-C337</f>
        <v>0</v>
      </c>
    </row>
    <row r="338" customFormat="false" ht="15" hidden="false" customHeight="true" outlineLevel="0" collapsed="false">
      <c r="A338" s="128" t="n">
        <v>330</v>
      </c>
      <c r="B338" s="129" t="n">
        <f aca="false">$B$6</f>
        <v>-0</v>
      </c>
      <c r="C338" s="129" t="n">
        <f aca="false">B338-D338</f>
        <v>-0</v>
      </c>
      <c r="D338" s="129" t="n">
        <f aca="false">E337*$B$4/12</f>
        <v>0</v>
      </c>
      <c r="E338" s="129" t="n">
        <f aca="false">E337-C338</f>
        <v>0</v>
      </c>
    </row>
    <row r="339" customFormat="false" ht="15" hidden="false" customHeight="true" outlineLevel="0" collapsed="false">
      <c r="A339" s="127" t="n">
        <v>331</v>
      </c>
      <c r="B339" s="36" t="n">
        <f aca="false">$B$6</f>
        <v>-0</v>
      </c>
      <c r="C339" s="36" t="n">
        <f aca="false">B339-D339</f>
        <v>-0</v>
      </c>
      <c r="D339" s="36" t="n">
        <f aca="false">E338*$B$4/12</f>
        <v>0</v>
      </c>
      <c r="E339" s="36" t="n">
        <f aca="false">E338-C339</f>
        <v>0</v>
      </c>
    </row>
    <row r="340" customFormat="false" ht="15" hidden="false" customHeight="true" outlineLevel="0" collapsed="false">
      <c r="A340" s="128" t="n">
        <v>332</v>
      </c>
      <c r="B340" s="129" t="n">
        <f aca="false">$B$6</f>
        <v>-0</v>
      </c>
      <c r="C340" s="129" t="n">
        <f aca="false">B340-D340</f>
        <v>-0</v>
      </c>
      <c r="D340" s="129" t="n">
        <f aca="false">E339*$B$4/12</f>
        <v>0</v>
      </c>
      <c r="E340" s="129" t="n">
        <f aca="false">E339-C340</f>
        <v>0</v>
      </c>
    </row>
    <row r="341" customFormat="false" ht="15" hidden="false" customHeight="true" outlineLevel="0" collapsed="false">
      <c r="A341" s="127" t="n">
        <v>333</v>
      </c>
      <c r="B341" s="36" t="n">
        <f aca="false">$B$6</f>
        <v>-0</v>
      </c>
      <c r="C341" s="36" t="n">
        <f aca="false">B341-D341</f>
        <v>-0</v>
      </c>
      <c r="D341" s="36" t="n">
        <f aca="false">E340*$B$4/12</f>
        <v>0</v>
      </c>
      <c r="E341" s="36" t="n">
        <f aca="false">E340-C341</f>
        <v>0</v>
      </c>
    </row>
    <row r="342" customFormat="false" ht="15" hidden="false" customHeight="true" outlineLevel="0" collapsed="false">
      <c r="A342" s="128" t="n">
        <v>334</v>
      </c>
      <c r="B342" s="129" t="n">
        <f aca="false">$B$6</f>
        <v>-0</v>
      </c>
      <c r="C342" s="129" t="n">
        <f aca="false">B342-D342</f>
        <v>-0</v>
      </c>
      <c r="D342" s="129" t="n">
        <f aca="false">E341*$B$4/12</f>
        <v>0</v>
      </c>
      <c r="E342" s="129" t="n">
        <f aca="false">E341-C342</f>
        <v>0</v>
      </c>
    </row>
    <row r="343" customFormat="false" ht="15" hidden="false" customHeight="true" outlineLevel="0" collapsed="false">
      <c r="A343" s="127" t="n">
        <v>335</v>
      </c>
      <c r="B343" s="36" t="n">
        <f aca="false">$B$6</f>
        <v>-0</v>
      </c>
      <c r="C343" s="36" t="n">
        <f aca="false">B343-D343</f>
        <v>-0</v>
      </c>
      <c r="D343" s="36" t="n">
        <f aca="false">E342*$B$4/12</f>
        <v>0</v>
      </c>
      <c r="E343" s="36" t="n">
        <f aca="false">E342-C343</f>
        <v>0</v>
      </c>
    </row>
    <row r="344" customFormat="false" ht="15" hidden="false" customHeight="true" outlineLevel="0" collapsed="false">
      <c r="A344" s="128" t="n">
        <v>336</v>
      </c>
      <c r="B344" s="129" t="n">
        <f aca="false">$B$6</f>
        <v>-0</v>
      </c>
      <c r="C344" s="129" t="n">
        <f aca="false">B344-D344</f>
        <v>-0</v>
      </c>
      <c r="D344" s="129" t="n">
        <f aca="false">E343*$B$4/12</f>
        <v>0</v>
      </c>
      <c r="E344" s="129" t="n">
        <f aca="false">E343-C344</f>
        <v>0</v>
      </c>
    </row>
    <row r="345" customFormat="false" ht="15" hidden="false" customHeight="true" outlineLevel="0" collapsed="false">
      <c r="A345" s="127" t="n">
        <v>337</v>
      </c>
      <c r="B345" s="36" t="n">
        <f aca="false">$B$6</f>
        <v>-0</v>
      </c>
      <c r="C345" s="36" t="n">
        <f aca="false">B345-D345</f>
        <v>-0</v>
      </c>
      <c r="D345" s="36" t="n">
        <f aca="false">E344*$B$4/12</f>
        <v>0</v>
      </c>
      <c r="E345" s="36" t="n">
        <f aca="false">E344-C345</f>
        <v>0</v>
      </c>
    </row>
    <row r="346" customFormat="false" ht="15" hidden="false" customHeight="true" outlineLevel="0" collapsed="false">
      <c r="A346" s="128" t="n">
        <v>338</v>
      </c>
      <c r="B346" s="129" t="n">
        <f aca="false">$B$6</f>
        <v>-0</v>
      </c>
      <c r="C346" s="129" t="n">
        <f aca="false">B346-D346</f>
        <v>-0</v>
      </c>
      <c r="D346" s="129" t="n">
        <f aca="false">E345*$B$4/12</f>
        <v>0</v>
      </c>
      <c r="E346" s="129" t="n">
        <f aca="false">E345-C346</f>
        <v>0</v>
      </c>
    </row>
    <row r="347" customFormat="false" ht="15" hidden="false" customHeight="true" outlineLevel="0" collapsed="false">
      <c r="A347" s="127" t="n">
        <v>339</v>
      </c>
      <c r="B347" s="36" t="n">
        <f aca="false">$B$6</f>
        <v>-0</v>
      </c>
      <c r="C347" s="36" t="n">
        <f aca="false">B347-D347</f>
        <v>-0</v>
      </c>
      <c r="D347" s="36" t="n">
        <f aca="false">E346*$B$4/12</f>
        <v>0</v>
      </c>
      <c r="E347" s="36" t="n">
        <f aca="false">E346-C347</f>
        <v>0</v>
      </c>
    </row>
    <row r="348" customFormat="false" ht="15" hidden="false" customHeight="true" outlineLevel="0" collapsed="false">
      <c r="A348" s="128" t="n">
        <v>340</v>
      </c>
      <c r="B348" s="129" t="n">
        <f aca="false">$B$6</f>
        <v>-0</v>
      </c>
      <c r="C348" s="129" t="n">
        <f aca="false">B348-D348</f>
        <v>-0</v>
      </c>
      <c r="D348" s="129" t="n">
        <f aca="false">E347*$B$4/12</f>
        <v>0</v>
      </c>
      <c r="E348" s="129" t="n">
        <f aca="false">E347-C348</f>
        <v>0</v>
      </c>
    </row>
    <row r="349" customFormat="false" ht="15" hidden="false" customHeight="true" outlineLevel="0" collapsed="false">
      <c r="A349" s="127" t="n">
        <v>341</v>
      </c>
      <c r="B349" s="36" t="n">
        <f aca="false">$B$6</f>
        <v>-0</v>
      </c>
      <c r="C349" s="36" t="n">
        <f aca="false">B349-D349</f>
        <v>-0</v>
      </c>
      <c r="D349" s="36" t="n">
        <f aca="false">E348*$B$4/12</f>
        <v>0</v>
      </c>
      <c r="E349" s="36" t="n">
        <f aca="false">E348-C349</f>
        <v>0</v>
      </c>
    </row>
    <row r="350" customFormat="false" ht="15" hidden="false" customHeight="true" outlineLevel="0" collapsed="false">
      <c r="A350" s="128" t="n">
        <v>342</v>
      </c>
      <c r="B350" s="129" t="n">
        <f aca="false">$B$6</f>
        <v>-0</v>
      </c>
      <c r="C350" s="129" t="n">
        <f aca="false">B350-D350</f>
        <v>-0</v>
      </c>
      <c r="D350" s="129" t="n">
        <f aca="false">E349*$B$4/12</f>
        <v>0</v>
      </c>
      <c r="E350" s="129" t="n">
        <f aca="false">E349-C350</f>
        <v>0</v>
      </c>
    </row>
    <row r="351" customFormat="false" ht="15" hidden="false" customHeight="true" outlineLevel="0" collapsed="false">
      <c r="A351" s="127" t="n">
        <v>343</v>
      </c>
      <c r="B351" s="36" t="n">
        <f aca="false">$B$6</f>
        <v>-0</v>
      </c>
      <c r="C351" s="36" t="n">
        <f aca="false">B351-D351</f>
        <v>-0</v>
      </c>
      <c r="D351" s="36" t="n">
        <f aca="false">E350*$B$4/12</f>
        <v>0</v>
      </c>
      <c r="E351" s="36" t="n">
        <f aca="false">E350-C351</f>
        <v>0</v>
      </c>
    </row>
    <row r="352" customFormat="false" ht="15" hidden="false" customHeight="true" outlineLevel="0" collapsed="false">
      <c r="A352" s="128" t="n">
        <v>344</v>
      </c>
      <c r="B352" s="129" t="n">
        <f aca="false">$B$6</f>
        <v>-0</v>
      </c>
      <c r="C352" s="129" t="n">
        <f aca="false">B352-D352</f>
        <v>-0</v>
      </c>
      <c r="D352" s="129" t="n">
        <f aca="false">E351*$B$4/12</f>
        <v>0</v>
      </c>
      <c r="E352" s="129" t="n">
        <f aca="false">E351-C352</f>
        <v>0</v>
      </c>
    </row>
    <row r="353" customFormat="false" ht="15" hidden="false" customHeight="true" outlineLevel="0" collapsed="false">
      <c r="A353" s="127" t="n">
        <v>345</v>
      </c>
      <c r="B353" s="36" t="n">
        <f aca="false">$B$6</f>
        <v>-0</v>
      </c>
      <c r="C353" s="36" t="n">
        <f aca="false">B353-D353</f>
        <v>-0</v>
      </c>
      <c r="D353" s="36" t="n">
        <f aca="false">E352*$B$4/12</f>
        <v>0</v>
      </c>
      <c r="E353" s="36" t="n">
        <f aca="false">E352-C353</f>
        <v>0</v>
      </c>
    </row>
    <row r="354" customFormat="false" ht="15" hidden="false" customHeight="true" outlineLevel="0" collapsed="false">
      <c r="A354" s="128" t="n">
        <v>346</v>
      </c>
      <c r="B354" s="129" t="n">
        <f aca="false">$B$6</f>
        <v>-0</v>
      </c>
      <c r="C354" s="129" t="n">
        <f aca="false">B354-D354</f>
        <v>-0</v>
      </c>
      <c r="D354" s="129" t="n">
        <f aca="false">E353*$B$4/12</f>
        <v>0</v>
      </c>
      <c r="E354" s="129" t="n">
        <f aca="false">E353-C354</f>
        <v>0</v>
      </c>
    </row>
    <row r="355" customFormat="false" ht="15" hidden="false" customHeight="true" outlineLevel="0" collapsed="false">
      <c r="A355" s="127" t="n">
        <v>347</v>
      </c>
      <c r="B355" s="36" t="n">
        <f aca="false">$B$6</f>
        <v>-0</v>
      </c>
      <c r="C355" s="36" t="n">
        <f aca="false">B355-D355</f>
        <v>-0</v>
      </c>
      <c r="D355" s="36" t="n">
        <f aca="false">E354*$B$4/12</f>
        <v>0</v>
      </c>
      <c r="E355" s="36" t="n">
        <f aca="false">E354-C355</f>
        <v>0</v>
      </c>
    </row>
    <row r="356" customFormat="false" ht="15" hidden="false" customHeight="true" outlineLevel="0" collapsed="false">
      <c r="A356" s="128" t="n">
        <v>348</v>
      </c>
      <c r="B356" s="129" t="n">
        <f aca="false">$B$6</f>
        <v>-0</v>
      </c>
      <c r="C356" s="129" t="n">
        <f aca="false">B356-D356</f>
        <v>-0</v>
      </c>
      <c r="D356" s="129" t="n">
        <f aca="false">E355*$B$4/12</f>
        <v>0</v>
      </c>
      <c r="E356" s="129" t="n">
        <f aca="false">E355-C356</f>
        <v>0</v>
      </c>
    </row>
    <row r="357" customFormat="false" ht="15" hidden="false" customHeight="true" outlineLevel="0" collapsed="false">
      <c r="A357" s="127" t="n">
        <v>349</v>
      </c>
      <c r="B357" s="36" t="n">
        <f aca="false">$B$6</f>
        <v>-0</v>
      </c>
      <c r="C357" s="36" t="n">
        <f aca="false">B357-D357</f>
        <v>-0</v>
      </c>
      <c r="D357" s="36" t="n">
        <f aca="false">E356*$B$4/12</f>
        <v>0</v>
      </c>
      <c r="E357" s="36" t="n">
        <f aca="false">E356-C357</f>
        <v>0</v>
      </c>
    </row>
    <row r="358" customFormat="false" ht="15" hidden="false" customHeight="true" outlineLevel="0" collapsed="false">
      <c r="A358" s="128" t="n">
        <v>350</v>
      </c>
      <c r="B358" s="129" t="n">
        <f aca="false">$B$6</f>
        <v>-0</v>
      </c>
      <c r="C358" s="129" t="n">
        <f aca="false">B358-D358</f>
        <v>-0</v>
      </c>
      <c r="D358" s="129" t="n">
        <f aca="false">E357*$B$4/12</f>
        <v>0</v>
      </c>
      <c r="E358" s="129" t="n">
        <f aca="false">E357-C358</f>
        <v>0</v>
      </c>
    </row>
    <row r="359" customFormat="false" ht="15" hidden="false" customHeight="true" outlineLevel="0" collapsed="false">
      <c r="A359" s="127" t="n">
        <v>351</v>
      </c>
      <c r="B359" s="36" t="n">
        <f aca="false">$B$6</f>
        <v>-0</v>
      </c>
      <c r="C359" s="36" t="n">
        <f aca="false">B359-D359</f>
        <v>-0</v>
      </c>
      <c r="D359" s="36" t="n">
        <f aca="false">E358*$B$4/12</f>
        <v>0</v>
      </c>
      <c r="E359" s="36" t="n">
        <f aca="false">E358-C359</f>
        <v>0</v>
      </c>
    </row>
    <row r="360" customFormat="false" ht="15" hidden="false" customHeight="true" outlineLevel="0" collapsed="false">
      <c r="A360" s="128" t="n">
        <v>352</v>
      </c>
      <c r="B360" s="129" t="n">
        <f aca="false">$B$6</f>
        <v>-0</v>
      </c>
      <c r="C360" s="129" t="n">
        <f aca="false">B360-D360</f>
        <v>-0</v>
      </c>
      <c r="D360" s="129" t="n">
        <f aca="false">E359*$B$4/12</f>
        <v>0</v>
      </c>
      <c r="E360" s="129" t="n">
        <f aca="false">E359-C360</f>
        <v>0</v>
      </c>
    </row>
    <row r="361" customFormat="false" ht="15" hidden="false" customHeight="true" outlineLevel="0" collapsed="false">
      <c r="A361" s="127" t="n">
        <v>353</v>
      </c>
      <c r="B361" s="36" t="n">
        <f aca="false">$B$6</f>
        <v>-0</v>
      </c>
      <c r="C361" s="36" t="n">
        <f aca="false">B361-D361</f>
        <v>-0</v>
      </c>
      <c r="D361" s="36" t="n">
        <f aca="false">E360*$B$4/12</f>
        <v>0</v>
      </c>
      <c r="E361" s="36" t="n">
        <f aca="false">E360-C361</f>
        <v>0</v>
      </c>
    </row>
    <row r="362" customFormat="false" ht="15" hidden="false" customHeight="true" outlineLevel="0" collapsed="false">
      <c r="A362" s="128" t="n">
        <v>354</v>
      </c>
      <c r="B362" s="129" t="n">
        <f aca="false">$B$6</f>
        <v>-0</v>
      </c>
      <c r="C362" s="129" t="n">
        <f aca="false">B362-D362</f>
        <v>-0</v>
      </c>
      <c r="D362" s="129" t="n">
        <f aca="false">E361*$B$4/12</f>
        <v>0</v>
      </c>
      <c r="E362" s="129" t="n">
        <f aca="false">E361-C362</f>
        <v>0</v>
      </c>
    </row>
    <row r="363" customFormat="false" ht="15" hidden="false" customHeight="true" outlineLevel="0" collapsed="false">
      <c r="A363" s="127" t="n">
        <v>355</v>
      </c>
      <c r="B363" s="36" t="n">
        <f aca="false">$B$6</f>
        <v>-0</v>
      </c>
      <c r="C363" s="36" t="n">
        <f aca="false">B363-D363</f>
        <v>-0</v>
      </c>
      <c r="D363" s="36" t="n">
        <f aca="false">E362*$B$4/12</f>
        <v>0</v>
      </c>
      <c r="E363" s="36" t="n">
        <f aca="false">E362-C363</f>
        <v>0</v>
      </c>
    </row>
    <row r="364" customFormat="false" ht="15" hidden="false" customHeight="true" outlineLevel="0" collapsed="false">
      <c r="A364" s="128" t="n">
        <v>356</v>
      </c>
      <c r="B364" s="129" t="n">
        <f aca="false">$B$6</f>
        <v>-0</v>
      </c>
      <c r="C364" s="129" t="n">
        <f aca="false">B364-D364</f>
        <v>-0</v>
      </c>
      <c r="D364" s="129" t="n">
        <f aca="false">E363*$B$4/12</f>
        <v>0</v>
      </c>
      <c r="E364" s="129" t="n">
        <f aca="false">E363-C364</f>
        <v>0</v>
      </c>
    </row>
    <row r="365" customFormat="false" ht="15" hidden="false" customHeight="true" outlineLevel="0" collapsed="false">
      <c r="A365" s="127" t="n">
        <v>357</v>
      </c>
      <c r="B365" s="36" t="n">
        <f aca="false">$B$6</f>
        <v>-0</v>
      </c>
      <c r="C365" s="36" t="n">
        <f aca="false">B365-D365</f>
        <v>-0</v>
      </c>
      <c r="D365" s="36" t="n">
        <f aca="false">E364*$B$4/12</f>
        <v>0</v>
      </c>
      <c r="E365" s="36" t="n">
        <f aca="false">E364-C365</f>
        <v>0</v>
      </c>
    </row>
    <row r="366" customFormat="false" ht="15" hidden="false" customHeight="true" outlineLevel="0" collapsed="false">
      <c r="A366" s="128" t="n">
        <v>358</v>
      </c>
      <c r="B366" s="129" t="n">
        <f aca="false">$B$6</f>
        <v>-0</v>
      </c>
      <c r="C366" s="129" t="n">
        <f aca="false">B366-D366</f>
        <v>-0</v>
      </c>
      <c r="D366" s="129" t="n">
        <f aca="false">E365*$B$4/12</f>
        <v>0</v>
      </c>
      <c r="E366" s="129" t="n">
        <f aca="false">E365-C366</f>
        <v>0</v>
      </c>
    </row>
    <row r="367" customFormat="false" ht="15" hidden="false" customHeight="true" outlineLevel="0" collapsed="false">
      <c r="A367" s="127" t="n">
        <v>359</v>
      </c>
      <c r="B367" s="36" t="n">
        <f aca="false">$B$6</f>
        <v>-0</v>
      </c>
      <c r="C367" s="36" t="n">
        <f aca="false">B367-D367</f>
        <v>-0</v>
      </c>
      <c r="D367" s="36" t="n">
        <f aca="false">E366*$B$4/12</f>
        <v>0</v>
      </c>
      <c r="E367" s="36" t="n">
        <f aca="false">E366-C367</f>
        <v>0</v>
      </c>
    </row>
    <row r="368" customFormat="false" ht="15" hidden="false" customHeight="true" outlineLevel="0" collapsed="false">
      <c r="A368" s="128" t="n">
        <v>360</v>
      </c>
      <c r="B368" s="129" t="n">
        <f aca="false">$B$6</f>
        <v>-0</v>
      </c>
      <c r="C368" s="129" t="n">
        <f aca="false">B368-D368</f>
        <v>-0</v>
      </c>
      <c r="D368" s="129" t="n">
        <f aca="false">E367*$B$4/12</f>
        <v>0</v>
      </c>
      <c r="E368" s="129" t="n">
        <f aca="false">E367-C368</f>
        <v>0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844"/>
    <pageSetUpPr fitToPage="false"/>
  </sheetPr>
  <dimension ref="A1:B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2"/>
  </cols>
  <sheetData>
    <row r="1" customFormat="false" ht="19.5" hidden="false" customHeight="true" outlineLevel="0" collapsed="false">
      <c r="A1" s="62" t="s">
        <v>401</v>
      </c>
      <c r="B1" s="62"/>
    </row>
    <row r="2" customFormat="false" ht="15" hidden="false" customHeight="true" outlineLevel="0" collapsed="false">
      <c r="A2" s="2"/>
      <c r="B2" s="2"/>
    </row>
    <row r="3" customFormat="false" ht="15" hidden="false" customHeight="true" outlineLevel="0" collapsed="false">
      <c r="A3" s="10" t="s">
        <v>402</v>
      </c>
      <c r="B3" s="10"/>
    </row>
    <row r="4" customFormat="false" ht="15" hidden="false" customHeight="true" outlineLevel="0" collapsed="false">
      <c r="A4" s="7" t="s">
        <v>16</v>
      </c>
      <c r="B4" s="121" t="n">
        <f aca="false">Assumptions!C14</f>
        <v>10</v>
      </c>
    </row>
    <row r="5" customFormat="false" ht="15" hidden="false" customHeight="true" outlineLevel="0" collapsed="false">
      <c r="A5" s="7" t="s">
        <v>403</v>
      </c>
      <c r="B5" s="66" t="n">
        <f aca="false">'Pro Forma'!K49</f>
        <v>136888.588900172</v>
      </c>
    </row>
    <row r="6" customFormat="false" ht="15" hidden="false" customHeight="true" outlineLevel="0" collapsed="false">
      <c r="A6" s="7" t="s">
        <v>193</v>
      </c>
      <c r="B6" s="123" t="n">
        <f aca="false">Assumptions!C193</f>
        <v>0.07</v>
      </c>
    </row>
    <row r="7" customFormat="false" ht="15" hidden="false" customHeight="true" outlineLevel="0" collapsed="false">
      <c r="A7" s="7" t="s">
        <v>404</v>
      </c>
      <c r="B7" s="35" t="n">
        <f aca="false">IF(B6&gt;0,B5/B6,0)</f>
        <v>1955551.27000246</v>
      </c>
    </row>
    <row r="8" customFormat="false" ht="15" hidden="false" customHeight="true" outlineLevel="0" collapsed="false">
      <c r="A8" s="7" t="s">
        <v>405</v>
      </c>
      <c r="B8" s="122" t="n">
        <f aca="false">Assumptions!C194</f>
        <v>0.02</v>
      </c>
    </row>
    <row r="9" customFormat="false" ht="15" hidden="false" customHeight="true" outlineLevel="0" collapsed="false">
      <c r="A9" s="7" t="s">
        <v>406</v>
      </c>
      <c r="B9" s="35" t="n">
        <f aca="false">B7*B8</f>
        <v>39111.0254000492</v>
      </c>
    </row>
    <row r="10" customFormat="false" ht="15" hidden="false" customHeight="true" outlineLevel="0" collapsed="false">
      <c r="A10" s="102" t="s">
        <v>407</v>
      </c>
      <c r="B10" s="114" t="n">
        <f aca="false">B7-B9</f>
        <v>1916440.24460241</v>
      </c>
    </row>
    <row r="11" customFormat="false" ht="15" hidden="false" customHeight="true" outlineLevel="0" collapsed="false">
      <c r="A11" s="2"/>
      <c r="B11" s="2"/>
    </row>
    <row r="12" customFormat="false" ht="15" hidden="false" customHeight="true" outlineLevel="0" collapsed="false">
      <c r="A12" s="10" t="s">
        <v>408</v>
      </c>
      <c r="B12" s="10"/>
    </row>
    <row r="13" customFormat="false" ht="15" hidden="false" customHeight="true" outlineLevel="0" collapsed="false">
      <c r="A13" s="7" t="s">
        <v>409</v>
      </c>
      <c r="B13" s="66" t="n">
        <f aca="false">IF(Assumptions!C121=1,'Amort - Refi 3'!E128,IF(Assumptions!C108=1,'Amort - Refi 2'!E128,IF(Assumptions!C95=1,'Amort - Refi 1'!E128,'Amort - Initial'!E128)))</f>
        <v>1483582.21135274</v>
      </c>
    </row>
    <row r="14" customFormat="false" ht="15" hidden="false" customHeight="true" outlineLevel="0" collapsed="false">
      <c r="A14" s="108" t="s">
        <v>410</v>
      </c>
      <c r="B14" s="45" t="n">
        <f aca="false">B10-B13</f>
        <v>432858.033249669</v>
      </c>
    </row>
    <row r="15" customFormat="false" ht="15" hidden="false" customHeight="true" outlineLevel="0" collapsed="false">
      <c r="A15" s="2"/>
      <c r="B15" s="2"/>
    </row>
    <row r="16" customFormat="false" ht="15" hidden="false" customHeight="true" outlineLevel="0" collapsed="false">
      <c r="A16" s="10" t="s">
        <v>411</v>
      </c>
      <c r="B16" s="10"/>
    </row>
    <row r="17" customFormat="false" ht="15" hidden="false" customHeight="true" outlineLevel="0" collapsed="false">
      <c r="A17" s="7" t="s">
        <v>10</v>
      </c>
      <c r="B17" s="66" t="n">
        <f aca="false">Assumptions!C91</f>
        <v>971950</v>
      </c>
    </row>
    <row r="18" customFormat="false" ht="15" hidden="false" customHeight="true" outlineLevel="0" collapsed="false">
      <c r="A18" s="7" t="s">
        <v>412</v>
      </c>
      <c r="B18" s="66" t="n">
        <f aca="false">SUM('Pro Forma'!B63:K62)</f>
        <v>-204624.797095981</v>
      </c>
    </row>
    <row r="19" customFormat="false" ht="15" hidden="false" customHeight="true" outlineLevel="0" collapsed="false">
      <c r="A19" s="7" t="s">
        <v>413</v>
      </c>
      <c r="B19" s="66" t="n">
        <f aca="false">'Refi Analysis'!B22+'Refi Analysis'!C22+'Refi Analysis'!D22</f>
        <v>0</v>
      </c>
    </row>
    <row r="20" customFormat="false" ht="15" hidden="false" customHeight="true" outlineLevel="0" collapsed="false">
      <c r="A20" s="7" t="s">
        <v>414</v>
      </c>
      <c r="B20" s="66" t="n">
        <f aca="false">B14</f>
        <v>432858.033249669</v>
      </c>
    </row>
    <row r="21" customFormat="false" ht="15" hidden="false" customHeight="true" outlineLevel="0" collapsed="false">
      <c r="A21" s="113" t="s">
        <v>415</v>
      </c>
      <c r="B21" s="34" t="n">
        <f aca="false">B18+B19+B20</f>
        <v>228233.236153688</v>
      </c>
    </row>
    <row r="22" customFormat="false" ht="15" hidden="false" customHeight="true" outlineLevel="0" collapsed="false">
      <c r="A22" s="2"/>
      <c r="B22" s="2"/>
    </row>
    <row r="23" customFormat="false" ht="17.25" hidden="false" customHeight="true" outlineLevel="0" collapsed="false">
      <c r="A23" s="130" t="s">
        <v>416</v>
      </c>
      <c r="B23" s="131" t="n">
        <f aca="false">IF(B17&gt;0,B21/B17,0)</f>
        <v>0.234819935339974</v>
      </c>
    </row>
  </sheetData>
  <mergeCells count="4">
    <mergeCell ref="A1:B1"/>
    <mergeCell ref="A3:B3"/>
    <mergeCell ref="A12:B12"/>
    <mergeCell ref="A16:B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844"/>
    <pageSetUpPr fitToPage="false"/>
  </sheetPr>
  <dimension ref="A1:P1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3" topLeftCell="G4" activePane="bottomRight" state="frozen"/>
      <selection pane="topLeft" activeCell="A1" activeCellId="0" sqref="A1"/>
      <selection pane="topRight" activeCell="G1" activeCellId="0" sqref="G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16" min="6" style="1" width="16"/>
  </cols>
  <sheetData>
    <row r="1" customFormat="false" ht="39.75" hidden="false" customHeight="true" outlineLevel="0" collapsed="false">
      <c r="A1" s="80"/>
      <c r="B1" s="21" t="s">
        <v>417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customFormat="false" ht="15" hidden="false" customHeight="true" outlineLevel="0" collapsed="false">
      <c r="A2" s="80"/>
      <c r="B2" s="85" t="s">
        <v>418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27.75" hidden="false" customHeight="true" outlineLevel="0" collapsed="false">
      <c r="A4" s="80"/>
      <c r="B4" s="132" t="s">
        <v>419</v>
      </c>
      <c r="C4" s="132"/>
      <c r="D4" s="132"/>
      <c r="E4" s="132"/>
      <c r="F4" s="63" t="s">
        <v>420</v>
      </c>
      <c r="G4" s="63" t="n">
        <v>1</v>
      </c>
      <c r="H4" s="63" t="n">
        <v>2</v>
      </c>
      <c r="I4" s="63" t="n">
        <v>3</v>
      </c>
      <c r="J4" s="63" t="n">
        <v>4</v>
      </c>
      <c r="K4" s="63" t="n">
        <v>5</v>
      </c>
      <c r="L4" s="63" t="n">
        <v>6</v>
      </c>
      <c r="M4" s="63" t="n">
        <v>7</v>
      </c>
      <c r="N4" s="63" t="n">
        <v>8</v>
      </c>
      <c r="O4" s="63" t="n">
        <v>9</v>
      </c>
      <c r="P4" s="63" t="n">
        <v>10</v>
      </c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true" outlineLevel="0" collapsed="false">
      <c r="A6" s="2"/>
      <c r="B6" s="102" t="s">
        <v>421</v>
      </c>
      <c r="C6" s="133" t="s">
        <v>422</v>
      </c>
      <c r="D6" s="133" t="s">
        <v>236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true" outlineLevel="0" collapsed="false">
      <c r="A7" s="2"/>
      <c r="B7" s="7" t="s">
        <v>423</v>
      </c>
      <c r="C7" s="134" t="n">
        <f aca="false">Assumptions!$C$197</f>
        <v>0</v>
      </c>
      <c r="D7" s="35" t="n">
        <f aca="false">C7*D9</f>
        <v>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true" outlineLevel="0" collapsed="false">
      <c r="A8" s="2"/>
      <c r="B8" s="7" t="s">
        <v>424</v>
      </c>
      <c r="C8" s="134" t="n">
        <f aca="false">Assumptions!$C$198</f>
        <v>0</v>
      </c>
      <c r="D8" s="35" t="n">
        <f aca="false">C8*D9</f>
        <v>0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true" outlineLevel="0" collapsed="false">
      <c r="A9" s="2"/>
      <c r="B9" s="102" t="s">
        <v>10</v>
      </c>
      <c r="C9" s="2"/>
      <c r="D9" s="32" t="n">
        <f aca="false">Assumptions!$C$91</f>
        <v>971950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tru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true" outlineLevel="0" collapsed="false">
      <c r="A11" s="2"/>
      <c r="B11" s="102" t="s">
        <v>425</v>
      </c>
      <c r="C11" s="134" t="n">
        <f aca="false">Assumptions!$C$204</f>
        <v>0.08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tru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true" outlineLevel="0" collapsed="false">
      <c r="A13" s="2"/>
      <c r="B13" s="102" t="s">
        <v>426</v>
      </c>
      <c r="C13" s="2"/>
      <c r="D13" s="133" t="s">
        <v>427</v>
      </c>
      <c r="E13" s="133" t="s">
        <v>428</v>
      </c>
      <c r="F13" s="133" t="s">
        <v>429</v>
      </c>
      <c r="G13" s="133" t="s">
        <v>430</v>
      </c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true" outlineLevel="0" collapsed="false">
      <c r="A14" s="2"/>
      <c r="B14" s="7" t="s">
        <v>431</v>
      </c>
      <c r="C14" s="2"/>
      <c r="D14" s="134" t="n">
        <f aca="false">Assumptions!$C$204</f>
        <v>0.08</v>
      </c>
      <c r="E14" s="134" t="s">
        <v>432</v>
      </c>
      <c r="F14" s="67" t="s">
        <v>433</v>
      </c>
      <c r="G14" s="67" t="s">
        <v>432</v>
      </c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true" outlineLevel="0" collapsed="false">
      <c r="A15" s="2"/>
      <c r="B15" s="7" t="s">
        <v>434</v>
      </c>
      <c r="C15" s="2"/>
      <c r="D15" s="134" t="n">
        <f aca="false">Assumptions!$C$205</f>
        <v>0.12</v>
      </c>
      <c r="E15" s="134" t="n">
        <f aca="false">1-Assumptions!$C$206</f>
        <v>0.3</v>
      </c>
      <c r="F15" s="67" t="n">
        <f aca="false">Assumptions!$C$206</f>
        <v>0.7</v>
      </c>
      <c r="G15" s="67" t="n">
        <f aca="false">1-Assumptions!$C$206</f>
        <v>0.3</v>
      </c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true" outlineLevel="0" collapsed="false">
      <c r="A16" s="2"/>
      <c r="B16" s="7" t="s">
        <v>435</v>
      </c>
      <c r="C16" s="2"/>
      <c r="D16" s="134" t="n">
        <f aca="false">Assumptions!$C$207</f>
        <v>0.15</v>
      </c>
      <c r="E16" s="134" t="n">
        <f aca="false">1-Assumptions!$C$208</f>
        <v>0.4</v>
      </c>
      <c r="F16" s="67" t="n">
        <f aca="false">Assumptions!$C$208</f>
        <v>0.6</v>
      </c>
      <c r="G16" s="67" t="n">
        <f aca="false">1-Assumptions!$C$208</f>
        <v>0.4</v>
      </c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true" outlineLevel="0" collapsed="false">
      <c r="A17" s="2"/>
      <c r="B17" s="7" t="s">
        <v>436</v>
      </c>
      <c r="C17" s="2"/>
      <c r="D17" s="134" t="n">
        <f aca="false">Assumptions!$C$209</f>
        <v>0.18</v>
      </c>
      <c r="E17" s="134" t="n">
        <f aca="false">1-Assumptions!$C$210</f>
        <v>0.7</v>
      </c>
      <c r="F17" s="67" t="n">
        <f aca="false">Assumptions!$C$210</f>
        <v>0.3</v>
      </c>
      <c r="G17" s="67" t="n">
        <f aca="false">1-Assumptions!$C$210</f>
        <v>0.7</v>
      </c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true" outlineLevel="0" collapsed="false">
      <c r="A18" s="2"/>
      <c r="B18" s="7" t="s">
        <v>437</v>
      </c>
      <c r="C18" s="2"/>
      <c r="D18" s="134" t="n">
        <f aca="false">Assumptions!$C$211</f>
        <v>0.24</v>
      </c>
      <c r="E18" s="134" t="n">
        <f aca="false">1-Assumptions!$C$212</f>
        <v>0.8</v>
      </c>
      <c r="F18" s="67" t="n">
        <f aca="false">Assumptions!$C$212</f>
        <v>0.2</v>
      </c>
      <c r="G18" s="67" t="n">
        <f aca="false">1-Assumptions!$C$212</f>
        <v>0.8</v>
      </c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true" outlineLevel="0" collapsed="false">
      <c r="A19" s="2"/>
      <c r="B19" s="7" t="s">
        <v>438</v>
      </c>
      <c r="C19" s="2"/>
      <c r="D19" s="2"/>
      <c r="E19" s="134" t="n">
        <f aca="false">1-Assumptions!$C$213</f>
        <v>0.9</v>
      </c>
      <c r="F19" s="67" t="n">
        <f aca="false">Assumptions!$C$213</f>
        <v>0.1</v>
      </c>
      <c r="G19" s="67" t="n">
        <f aca="false">1-Assumptions!$C$213</f>
        <v>0.9</v>
      </c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27.75" hidden="false" customHeight="true" outlineLevel="0" collapsed="false">
      <c r="A21" s="80"/>
      <c r="B21" s="132" t="s">
        <v>439</v>
      </c>
      <c r="C21" s="132"/>
      <c r="D21" s="132"/>
      <c r="E21" s="132"/>
      <c r="F21" s="63" t="s">
        <v>420</v>
      </c>
      <c r="G21" s="63" t="n">
        <v>1</v>
      </c>
      <c r="H21" s="63" t="n">
        <v>2</v>
      </c>
      <c r="I21" s="63" t="n">
        <v>3</v>
      </c>
      <c r="J21" s="63" t="n">
        <v>4</v>
      </c>
      <c r="K21" s="63" t="n">
        <v>5</v>
      </c>
      <c r="L21" s="63" t="n">
        <v>6</v>
      </c>
      <c r="M21" s="63" t="n">
        <v>7</v>
      </c>
      <c r="N21" s="63" t="n">
        <v>8</v>
      </c>
      <c r="O21" s="63" t="n">
        <v>9</v>
      </c>
      <c r="P21" s="63" t="n">
        <v>10</v>
      </c>
    </row>
    <row r="22" customFormat="false" ht="1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true" outlineLevel="0" collapsed="false">
      <c r="A23" s="2"/>
      <c r="B23" s="102" t="s">
        <v>440</v>
      </c>
      <c r="C23" s="2"/>
      <c r="D23" s="2"/>
      <c r="E23" s="2"/>
      <c r="F23" s="35" t="n">
        <f aca="false">-D9</f>
        <v>-971950</v>
      </c>
      <c r="G23" s="32" t="n">
        <f aca="false">'Pro Forma'!B63</f>
        <v>-35820.5799335224</v>
      </c>
      <c r="H23" s="32" t="n">
        <f aca="false">'Pro Forma'!C63</f>
        <v>-32673.1687835224</v>
      </c>
      <c r="I23" s="32" t="n">
        <f aca="false">'Pro Forma'!D63</f>
        <v>-29431.3352990224</v>
      </c>
      <c r="J23" s="32" t="n">
        <f aca="false">'Pro Forma'!E63</f>
        <v>-26092.2468099874</v>
      </c>
      <c r="K23" s="32" t="n">
        <f aca="false">'Pro Forma'!F63</f>
        <v>-22652.9856662814</v>
      </c>
      <c r="L23" s="32" t="n">
        <f aca="false">'Pro Forma'!G63</f>
        <v>-19110.5466882641</v>
      </c>
      <c r="M23" s="32" t="n">
        <f aca="false">'Pro Forma'!H63</f>
        <v>-15461.8345409064</v>
      </c>
      <c r="N23" s="32" t="n">
        <f aca="false">'Pro Forma'!I63</f>
        <v>-11703.6610291279</v>
      </c>
      <c r="O23" s="32" t="n">
        <f aca="false">'Pro Forma'!J63</f>
        <v>-7832.74231199603</v>
      </c>
      <c r="P23" s="32" t="n">
        <f aca="false">'Pro Forma'!K63+Exit!B14</f>
        <v>429012.337216318</v>
      </c>
    </row>
    <row r="24" customFormat="false" ht="15" hidden="false" customHeight="true" outlineLevel="0" collapsed="false">
      <c r="A24" s="2"/>
      <c r="B24" s="7" t="s">
        <v>441</v>
      </c>
      <c r="C24" s="2"/>
      <c r="D24" s="2"/>
      <c r="E24" s="2"/>
      <c r="F24" s="35" t="n">
        <f aca="false">IF(AND(Assumptions!$C$95=1,0=Assumptions!$C$96),'Refi Analysis'!B22,0)</f>
        <v>0</v>
      </c>
      <c r="G24" s="35" t="n">
        <f aca="false">IF(AND(Assumptions!$C$95=1,1=Assumptions!$C$96),'Refi Analysis'!B22,0)</f>
        <v>0</v>
      </c>
      <c r="H24" s="35" t="n">
        <f aca="false">IF(AND(Assumptions!$C$95=1,2=Assumptions!$C$96),'Refi Analysis'!B22,0)</f>
        <v>0</v>
      </c>
      <c r="I24" s="35" t="n">
        <f aca="false">IF(AND(Assumptions!$C$95=1,3=Assumptions!$C$96),'Refi Analysis'!B22,0)</f>
        <v>0</v>
      </c>
      <c r="J24" s="35" t="n">
        <f aca="false">IF(AND(Assumptions!$C$95=1,4=Assumptions!$C$96),'Refi Analysis'!B22,0)</f>
        <v>0</v>
      </c>
      <c r="K24" s="35" t="n">
        <f aca="false">IF(AND(Assumptions!$C$95=1,5=Assumptions!$C$96),'Refi Analysis'!B22,0)</f>
        <v>0</v>
      </c>
      <c r="L24" s="35" t="n">
        <f aca="false">IF(AND(Assumptions!$C$95=1,6=Assumptions!$C$96),'Refi Analysis'!B22,0)</f>
        <v>0</v>
      </c>
      <c r="M24" s="35" t="n">
        <f aca="false">IF(AND(Assumptions!$C$95=1,7=Assumptions!$C$96),'Refi Analysis'!B22,0)</f>
        <v>0</v>
      </c>
      <c r="N24" s="35" t="n">
        <f aca="false">IF(AND(Assumptions!$C$95=1,8=Assumptions!$C$96),'Refi Analysis'!B22,0)</f>
        <v>0</v>
      </c>
      <c r="O24" s="35" t="n">
        <f aca="false">IF(AND(Assumptions!$C$95=1,9=Assumptions!$C$96),'Refi Analysis'!B22,0)</f>
        <v>0</v>
      </c>
      <c r="P24" s="35" t="n">
        <f aca="false">IF(AND(Assumptions!$C$95=1,10=Assumptions!$C$96),'Refi Analysis'!B22,0)</f>
        <v>0</v>
      </c>
    </row>
    <row r="25" customFormat="false" ht="15" hidden="false" customHeight="true" outlineLevel="0" collapsed="false">
      <c r="A25" s="2"/>
      <c r="B25" s="7" t="s">
        <v>442</v>
      </c>
      <c r="C25" s="2"/>
      <c r="D25" s="2"/>
      <c r="E25" s="2"/>
      <c r="F25" s="35" t="n">
        <f aca="false">IF(AND(Assumptions!$C$108=1,0=Assumptions!$C$109),'Refi Analysis'!C22,0)</f>
        <v>0</v>
      </c>
      <c r="G25" s="35" t="n">
        <f aca="false">IF(AND(Assumptions!$C$108=1,1=Assumptions!$C$109),'Refi Analysis'!C22,0)</f>
        <v>0</v>
      </c>
      <c r="H25" s="35" t="n">
        <f aca="false">IF(AND(Assumptions!$C$108=1,2=Assumptions!$C$109),'Refi Analysis'!C22,0)</f>
        <v>0</v>
      </c>
      <c r="I25" s="35" t="n">
        <f aca="false">IF(AND(Assumptions!$C$108=1,3=Assumptions!$C$109),'Refi Analysis'!C22,0)</f>
        <v>0</v>
      </c>
      <c r="J25" s="35" t="n">
        <f aca="false">IF(AND(Assumptions!$C$108=1,4=Assumptions!$C$109),'Refi Analysis'!C22,0)</f>
        <v>0</v>
      </c>
      <c r="K25" s="35" t="n">
        <f aca="false">IF(AND(Assumptions!$C$108=1,5=Assumptions!$C$109),'Refi Analysis'!C22,0)</f>
        <v>0</v>
      </c>
      <c r="L25" s="35" t="n">
        <f aca="false">IF(AND(Assumptions!$C$108=1,6=Assumptions!$C$109),'Refi Analysis'!C22,0)</f>
        <v>0</v>
      </c>
      <c r="M25" s="35" t="n">
        <f aca="false">IF(AND(Assumptions!$C$108=1,7=Assumptions!$C$109),'Refi Analysis'!C22,0)</f>
        <v>0</v>
      </c>
      <c r="N25" s="35" t="n">
        <f aca="false">IF(AND(Assumptions!$C$108=1,8=Assumptions!$C$109),'Refi Analysis'!C22,0)</f>
        <v>0</v>
      </c>
      <c r="O25" s="35" t="n">
        <f aca="false">IF(AND(Assumptions!$C$108=1,9=Assumptions!$C$109),'Refi Analysis'!C22,0)</f>
        <v>0</v>
      </c>
      <c r="P25" s="35" t="n">
        <f aca="false">IF(AND(Assumptions!$C$108=1,10=Assumptions!$C$109),'Refi Analysis'!C22,0)</f>
        <v>0</v>
      </c>
    </row>
    <row r="26" customFormat="false" ht="15" hidden="false" customHeight="true" outlineLevel="0" collapsed="false">
      <c r="A26" s="2"/>
      <c r="B26" s="7" t="s">
        <v>443</v>
      </c>
      <c r="C26" s="2"/>
      <c r="D26" s="2"/>
      <c r="E26" s="2"/>
      <c r="F26" s="35" t="n">
        <f aca="false">IF(AND(Assumptions!$C$121=1,0=Assumptions!$C$122),'Refi Analysis'!D22,0)</f>
        <v>0</v>
      </c>
      <c r="G26" s="35" t="n">
        <f aca="false">IF(AND(Assumptions!$C$121=1,1=Assumptions!$C$122),'Refi Analysis'!D22,0)</f>
        <v>0</v>
      </c>
      <c r="H26" s="35" t="n">
        <f aca="false">IF(AND(Assumptions!$C$121=1,2=Assumptions!$C$122),'Refi Analysis'!D22,0)</f>
        <v>0</v>
      </c>
      <c r="I26" s="35" t="n">
        <f aca="false">IF(AND(Assumptions!$C$121=1,3=Assumptions!$C$122),'Refi Analysis'!D22,0)</f>
        <v>0</v>
      </c>
      <c r="J26" s="35" t="n">
        <f aca="false">IF(AND(Assumptions!$C$121=1,4=Assumptions!$C$122),'Refi Analysis'!D22,0)</f>
        <v>0</v>
      </c>
      <c r="K26" s="35" t="n">
        <f aca="false">IF(AND(Assumptions!$C$121=1,5=Assumptions!$C$122),'Refi Analysis'!D22,0)</f>
        <v>0</v>
      </c>
      <c r="L26" s="35" t="n">
        <f aca="false">IF(AND(Assumptions!$C$121=1,6=Assumptions!$C$122),'Refi Analysis'!D22,0)</f>
        <v>0</v>
      </c>
      <c r="M26" s="35" t="n">
        <f aca="false">IF(AND(Assumptions!$C$121=1,7=Assumptions!$C$122),'Refi Analysis'!D22,0)</f>
        <v>0</v>
      </c>
      <c r="N26" s="35" t="n">
        <f aca="false">IF(AND(Assumptions!$C$121=1,8=Assumptions!$C$122),'Refi Analysis'!D22,0)</f>
        <v>0</v>
      </c>
      <c r="O26" s="35" t="n">
        <f aca="false">IF(AND(Assumptions!$C$121=1,9=Assumptions!$C$122),'Refi Analysis'!D22,0)</f>
        <v>0</v>
      </c>
      <c r="P26" s="35" t="n">
        <f aca="false">IF(AND(Assumptions!$C$121=1,10=Assumptions!$C$122),'Refi Analysis'!D22,0)</f>
        <v>0</v>
      </c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true" outlineLevel="0" collapsed="false">
      <c r="A28" s="135"/>
      <c r="B28" s="113" t="s">
        <v>444</v>
      </c>
      <c r="C28" s="135"/>
      <c r="D28" s="135"/>
      <c r="E28" s="135"/>
      <c r="F28" s="34" t="n">
        <f aca="false">F23+F24+F25+F26</f>
        <v>-971950</v>
      </c>
      <c r="G28" s="34" t="n">
        <f aca="false">G23+G24+G25+G26</f>
        <v>-35820.5799335224</v>
      </c>
      <c r="H28" s="34" t="n">
        <f aca="false">H23+H24+H25+H26</f>
        <v>-32673.1687835224</v>
      </c>
      <c r="I28" s="34" t="n">
        <f aca="false">I23+I24+I25+I26</f>
        <v>-29431.3352990224</v>
      </c>
      <c r="J28" s="34" t="n">
        <f aca="false">J23+J24+J25+J26</f>
        <v>-26092.2468099874</v>
      </c>
      <c r="K28" s="34" t="n">
        <f aca="false">K23+K24+K25+K26</f>
        <v>-22652.9856662814</v>
      </c>
      <c r="L28" s="34" t="n">
        <f aca="false">L23+L24+L25+L26</f>
        <v>-19110.5466882641</v>
      </c>
      <c r="M28" s="34" t="n">
        <f aca="false">M23+M24+M25+M26</f>
        <v>-15461.8345409064</v>
      </c>
      <c r="N28" s="34" t="n">
        <f aca="false">N23+N24+N25+N26</f>
        <v>-11703.6610291279</v>
      </c>
      <c r="O28" s="34" t="n">
        <f aca="false">O23+O24+O25+O26</f>
        <v>-7832.74231199603</v>
      </c>
      <c r="P28" s="34" t="n">
        <f aca="false">P23+P24+P25+P26</f>
        <v>429012.337216318</v>
      </c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7.25" hidden="false" customHeight="true" outlineLevel="0" collapsed="false">
      <c r="A30" s="107"/>
      <c r="B30" s="108" t="s">
        <v>445</v>
      </c>
      <c r="C30" s="107"/>
      <c r="D30" s="136" t="str">
        <f aca="false">IFERROR(IRR(F28:P28),"N/A")</f>
        <v>N/A</v>
      </c>
      <c r="E30" s="107"/>
      <c r="F30" s="107"/>
      <c r="G30" s="107"/>
      <c r="H30" s="107"/>
      <c r="I30" s="107"/>
      <c r="J30" s="107"/>
      <c r="K30" s="107"/>
      <c r="L30" s="107"/>
      <c r="M30" s="107"/>
      <c r="N30" s="107"/>
      <c r="O30" s="107"/>
      <c r="P30" s="107"/>
    </row>
    <row r="31" customFormat="false" ht="17.25" hidden="false" customHeight="true" outlineLevel="0" collapsed="false">
      <c r="A31" s="107"/>
      <c r="B31" s="108" t="s">
        <v>446</v>
      </c>
      <c r="C31" s="107"/>
      <c r="D31" s="131" t="n">
        <f aca="false">IFERROR(SUMIF(F28:P28,"&gt;0")/-SUMIF(F28:P28,"&lt;0"),"N/A")</f>
        <v>0.365823903259144</v>
      </c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27.75" hidden="false" customHeight="true" outlineLevel="0" collapsed="false">
      <c r="A33" s="80"/>
      <c r="B33" s="132" t="s">
        <v>447</v>
      </c>
      <c r="C33" s="132"/>
      <c r="D33" s="132"/>
      <c r="E33" s="132"/>
      <c r="F33" s="63" t="s">
        <v>420</v>
      </c>
      <c r="G33" s="63" t="n">
        <v>1</v>
      </c>
      <c r="H33" s="63" t="n">
        <v>2</v>
      </c>
      <c r="I33" s="63" t="n">
        <v>3</v>
      </c>
      <c r="J33" s="63" t="n">
        <v>4</v>
      </c>
      <c r="K33" s="63" t="n">
        <v>5</v>
      </c>
      <c r="L33" s="63" t="n">
        <v>6</v>
      </c>
      <c r="M33" s="63" t="n">
        <v>7</v>
      </c>
      <c r="N33" s="63" t="n">
        <v>8</v>
      </c>
      <c r="O33" s="63" t="n">
        <v>9</v>
      </c>
      <c r="P33" s="63" t="n">
        <v>10</v>
      </c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true" outlineLevel="0" collapsed="false">
      <c r="A35" s="51"/>
      <c r="B35" s="137" t="s">
        <v>448</v>
      </c>
      <c r="C35" s="138" t="s">
        <v>449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</row>
    <row r="36" customFormat="false" ht="15" hidden="false" customHeight="true" outlineLevel="0" collapsed="false">
      <c r="A36" s="2"/>
      <c r="B36" s="7" t="s">
        <v>450</v>
      </c>
      <c r="C36" s="2"/>
      <c r="D36" s="35" t="n">
        <f aca="false">D8</f>
        <v>0</v>
      </c>
      <c r="E36" s="2"/>
      <c r="F36" s="35" t="n">
        <f aca="false">D8</f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5" t="n">
        <v>0</v>
      </c>
      <c r="O36" s="35" t="n">
        <v>0</v>
      </c>
      <c r="P36" s="35" t="n">
        <v>0</v>
      </c>
    </row>
    <row r="37" customFormat="false" ht="15" hidden="false" customHeight="true" outlineLevel="0" collapsed="false">
      <c r="A37" s="2"/>
      <c r="B37" s="7" t="s">
        <v>451</v>
      </c>
      <c r="C37" s="2"/>
      <c r="D37" s="2"/>
      <c r="E37" s="2"/>
      <c r="F37" s="35" t="n">
        <f aca="false">F28*$C$8</f>
        <v>-0</v>
      </c>
      <c r="G37" s="35" t="n">
        <f aca="false">G28*$C$8</f>
        <v>-0</v>
      </c>
      <c r="H37" s="35" t="n">
        <f aca="false">H28*$C$8</f>
        <v>-0</v>
      </c>
      <c r="I37" s="35" t="n">
        <f aca="false">I28*$C$8</f>
        <v>-0</v>
      </c>
      <c r="J37" s="35" t="n">
        <f aca="false">J28*$C$8</f>
        <v>-0</v>
      </c>
      <c r="K37" s="35" t="n">
        <f aca="false">K28*$C$8</f>
        <v>-0</v>
      </c>
      <c r="L37" s="35" t="n">
        <f aca="false">L28*$C$8</f>
        <v>-0</v>
      </c>
      <c r="M37" s="35" t="n">
        <f aca="false">M28*$C$8</f>
        <v>-0</v>
      </c>
      <c r="N37" s="35" t="n">
        <f aca="false">N28*$C$8</f>
        <v>-0</v>
      </c>
      <c r="O37" s="35" t="n">
        <f aca="false">O28*$C$8</f>
        <v>-0</v>
      </c>
      <c r="P37" s="35" t="n">
        <f aca="false">P28*$C$8</f>
        <v>0</v>
      </c>
    </row>
    <row r="38" customFormat="false" ht="15" hidden="false" customHeight="true" outlineLevel="0" collapsed="false">
      <c r="A38" s="135"/>
      <c r="B38" s="113" t="s">
        <v>452</v>
      </c>
      <c r="C38" s="68" t="str">
        <f aca="false">IF(ROUND(D38,0)=ROUND(SUM(F37:P37),0),"OK","ERROR")</f>
        <v>ERROR</v>
      </c>
      <c r="D38" s="34" t="n">
        <f aca="false">SUM(F38:P38)</f>
        <v>85802.4674432637</v>
      </c>
      <c r="E38" s="135"/>
      <c r="F38" s="34" t="n">
        <f aca="false">F74+F87+F101+F115+F122</f>
        <v>0</v>
      </c>
      <c r="G38" s="34" t="n">
        <f aca="false">G74+G87+G101+G115+G122</f>
        <v>0</v>
      </c>
      <c r="H38" s="34" t="n">
        <f aca="false">H74+H87+H101+H115+H122</f>
        <v>0</v>
      </c>
      <c r="I38" s="34" t="n">
        <f aca="false">I74+I87+I101+I115+I122</f>
        <v>0</v>
      </c>
      <c r="J38" s="34" t="n">
        <f aca="false">J74+J87+J101+J115+J122</f>
        <v>0</v>
      </c>
      <c r="K38" s="34" t="n">
        <f aca="false">K74+K87+K101+K115+K122</f>
        <v>0</v>
      </c>
      <c r="L38" s="34" t="n">
        <f aca="false">L74+L87+L101+L115+L122</f>
        <v>0</v>
      </c>
      <c r="M38" s="34" t="n">
        <f aca="false">M74+M87+M101+M115+M122</f>
        <v>0</v>
      </c>
      <c r="N38" s="34" t="n">
        <f aca="false">N74+N87+N101+N115+N122</f>
        <v>0</v>
      </c>
      <c r="O38" s="34" t="n">
        <f aca="false">O74+O87+O101+O115+O122</f>
        <v>0</v>
      </c>
      <c r="P38" s="34" t="n">
        <f aca="false">P74+P87+P101+P115+P122</f>
        <v>85802.4674432637</v>
      </c>
    </row>
    <row r="39" customFormat="false" ht="15" hidden="false" customHeight="true" outlineLevel="0" collapsed="false">
      <c r="A39" s="2"/>
      <c r="B39" s="7" t="s">
        <v>453</v>
      </c>
      <c r="C39" s="2"/>
      <c r="D39" s="35" t="n">
        <f aca="false">D38-D36</f>
        <v>85802.4674432637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7.25" hidden="false" customHeight="true" outlineLevel="0" collapsed="false">
      <c r="A41" s="107"/>
      <c r="B41" s="130" t="s">
        <v>17</v>
      </c>
      <c r="C41" s="107"/>
      <c r="D41" s="136" t="str">
        <f aca="false">IFERROR(IRR(F41:P41),"N/A")</f>
        <v>N/A</v>
      </c>
      <c r="E41" s="107"/>
      <c r="F41" s="139" t="n">
        <f aca="false">-F36+F38</f>
        <v>0</v>
      </c>
      <c r="G41" s="139" t="n">
        <f aca="false">-G36+G38</f>
        <v>0</v>
      </c>
      <c r="H41" s="139" t="n">
        <f aca="false">-H36+H38</f>
        <v>0</v>
      </c>
      <c r="I41" s="139" t="n">
        <f aca="false">-I36+I38</f>
        <v>0</v>
      </c>
      <c r="J41" s="139" t="n">
        <f aca="false">-J36+J38</f>
        <v>0</v>
      </c>
      <c r="K41" s="139" t="n">
        <f aca="false">-K36+K38</f>
        <v>0</v>
      </c>
      <c r="L41" s="139" t="n">
        <f aca="false">-L36+L38</f>
        <v>0</v>
      </c>
      <c r="M41" s="139" t="n">
        <f aca="false">-M36+M38</f>
        <v>0</v>
      </c>
      <c r="N41" s="139" t="n">
        <f aca="false">-N36+N38</f>
        <v>0</v>
      </c>
      <c r="O41" s="139" t="n">
        <f aca="false">-O36+O38</f>
        <v>0</v>
      </c>
      <c r="P41" s="139" t="n">
        <f aca="false">-P36+P38</f>
        <v>85802.4674432637</v>
      </c>
    </row>
    <row r="42" customFormat="false" ht="17.25" hidden="false" customHeight="true" outlineLevel="0" collapsed="false">
      <c r="A42" s="107"/>
      <c r="B42" s="130" t="s">
        <v>454</v>
      </c>
      <c r="C42" s="107"/>
      <c r="D42" s="131" t="str">
        <f aca="false">IFERROR(D38/D36,"N/A")</f>
        <v>N/A</v>
      </c>
      <c r="E42" s="107"/>
      <c r="F42" s="107"/>
      <c r="G42" s="107"/>
      <c r="H42" s="107"/>
      <c r="I42" s="107"/>
      <c r="J42" s="107"/>
      <c r="K42" s="107"/>
      <c r="L42" s="107"/>
      <c r="M42" s="107"/>
      <c r="N42" s="107"/>
      <c r="O42" s="107"/>
      <c r="P42" s="107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true" outlineLevel="0" collapsed="false">
      <c r="A44" s="51"/>
      <c r="B44" s="137" t="s">
        <v>455</v>
      </c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</row>
    <row r="45" customFormat="false" ht="15" hidden="false" customHeight="true" outlineLevel="0" collapsed="false">
      <c r="A45" s="2"/>
      <c r="B45" s="7" t="s">
        <v>456</v>
      </c>
      <c r="C45" s="2"/>
      <c r="D45" s="35" t="n">
        <f aca="false">D7</f>
        <v>0</v>
      </c>
      <c r="E45" s="2"/>
      <c r="F45" s="35" t="n">
        <f aca="false">D7</f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5" t="n">
        <v>0</v>
      </c>
      <c r="O45" s="35" t="n">
        <v>0</v>
      </c>
      <c r="P45" s="35" t="n">
        <v>0</v>
      </c>
    </row>
    <row r="46" customFormat="false" ht="15" hidden="false" customHeight="true" outlineLevel="0" collapsed="false">
      <c r="A46" s="135"/>
      <c r="B46" s="113" t="s">
        <v>457</v>
      </c>
      <c r="C46" s="135"/>
      <c r="D46" s="34" t="n">
        <f aca="false">SUM(F46:P46)</f>
        <v>343209.869773055</v>
      </c>
      <c r="E46" s="135"/>
      <c r="F46" s="34" t="n">
        <f aca="false">F75+F88+F102+F116+F123</f>
        <v>0</v>
      </c>
      <c r="G46" s="34" t="n">
        <f aca="false">G75+G88+G102+G116+G123</f>
        <v>0</v>
      </c>
      <c r="H46" s="34" t="n">
        <f aca="false">H75+H88+H102+H116+H123</f>
        <v>0</v>
      </c>
      <c r="I46" s="34" t="n">
        <f aca="false">I75+I88+I102+I116+I123</f>
        <v>0</v>
      </c>
      <c r="J46" s="34" t="n">
        <f aca="false">J75+J88+J102+J116+J123</f>
        <v>0</v>
      </c>
      <c r="K46" s="34" t="n">
        <f aca="false">K75+K88+K102+K116+K123</f>
        <v>0</v>
      </c>
      <c r="L46" s="34" t="n">
        <f aca="false">L75+L88+L102+L116+L123</f>
        <v>0</v>
      </c>
      <c r="M46" s="34" t="n">
        <f aca="false">M75+M88+M102+M116+M123</f>
        <v>0</v>
      </c>
      <c r="N46" s="34" t="n">
        <f aca="false">N75+N88+N102+N116+N123</f>
        <v>0</v>
      </c>
      <c r="O46" s="34" t="n">
        <f aca="false">O75+O88+O102+O116+O123</f>
        <v>0</v>
      </c>
      <c r="P46" s="34" t="n">
        <f aca="false">P75+P88+P102+P116+P123</f>
        <v>343209.869773055</v>
      </c>
    </row>
    <row r="47" customFormat="false" ht="15" hidden="false" customHeight="true" outlineLevel="0" collapsed="false">
      <c r="A47" s="2"/>
      <c r="B47" s="7" t="s">
        <v>458</v>
      </c>
      <c r="C47" s="2"/>
      <c r="D47" s="35" t="n">
        <f aca="false">D46-D45</f>
        <v>343209.869773055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7.25" hidden="false" customHeight="true" outlineLevel="0" collapsed="false">
      <c r="A49" s="107"/>
      <c r="B49" s="130" t="s">
        <v>459</v>
      </c>
      <c r="C49" s="107"/>
      <c r="D49" s="136" t="str">
        <f aca="false">IFERROR(IRR(F49:P49),"N/A")</f>
        <v>N/A</v>
      </c>
      <c r="E49" s="107"/>
      <c r="F49" s="139" t="n">
        <f aca="false">-F45+F46</f>
        <v>0</v>
      </c>
      <c r="G49" s="139" t="n">
        <f aca="false">-G45+G46</f>
        <v>0</v>
      </c>
      <c r="H49" s="139" t="n">
        <f aca="false">-H45+H46</f>
        <v>0</v>
      </c>
      <c r="I49" s="139" t="n">
        <f aca="false">-I45+I46</f>
        <v>0</v>
      </c>
      <c r="J49" s="139" t="n">
        <f aca="false">-J45+J46</f>
        <v>0</v>
      </c>
      <c r="K49" s="139" t="n">
        <f aca="false">-K45+K46</f>
        <v>0</v>
      </c>
      <c r="L49" s="139" t="n">
        <f aca="false">-L45+L46</f>
        <v>0</v>
      </c>
      <c r="M49" s="139" t="n">
        <f aca="false">-M45+M46</f>
        <v>0</v>
      </c>
      <c r="N49" s="139" t="n">
        <f aca="false">-N45+N46</f>
        <v>0</v>
      </c>
      <c r="O49" s="139" t="n">
        <f aca="false">-O45+O46</f>
        <v>0</v>
      </c>
      <c r="P49" s="139" t="n">
        <f aca="false">-P45+P46</f>
        <v>343209.869773055</v>
      </c>
    </row>
    <row r="50" customFormat="false" ht="17.25" hidden="false" customHeight="true" outlineLevel="0" collapsed="false">
      <c r="A50" s="107"/>
      <c r="B50" s="130" t="s">
        <v>460</v>
      </c>
      <c r="C50" s="107"/>
      <c r="D50" s="131" t="str">
        <f aca="false">IFERROR(D46/D45,"N/A")</f>
        <v>N/A</v>
      </c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27.75" hidden="false" customHeight="true" outlineLevel="0" collapsed="false">
      <c r="A53" s="80"/>
      <c r="B53" s="132" t="s">
        <v>461</v>
      </c>
      <c r="C53" s="132"/>
      <c r="D53" s="132"/>
      <c r="E53" s="132"/>
      <c r="F53" s="63" t="s">
        <v>420</v>
      </c>
      <c r="G53" s="63" t="n">
        <v>1</v>
      </c>
      <c r="H53" s="63" t="n">
        <v>2</v>
      </c>
      <c r="I53" s="63" t="n">
        <v>3</v>
      </c>
      <c r="J53" s="63" t="n">
        <v>4</v>
      </c>
      <c r="K53" s="63" t="n">
        <v>5</v>
      </c>
      <c r="L53" s="63" t="n">
        <v>6</v>
      </c>
      <c r="M53" s="63" t="n">
        <v>7</v>
      </c>
      <c r="N53" s="63" t="n">
        <v>8</v>
      </c>
      <c r="O53" s="63" t="n">
        <v>9</v>
      </c>
      <c r="P53" s="63" t="n">
        <v>10</v>
      </c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24" hidden="false" customHeight="true" outlineLevel="0" collapsed="false">
      <c r="A55" s="140"/>
      <c r="B55" s="141" t="s">
        <v>462</v>
      </c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</row>
    <row r="56" customFormat="false" ht="15" hidden="false" customHeight="true" outlineLevel="0" collapsed="false">
      <c r="A56" s="2"/>
      <c r="B56" s="102" t="s">
        <v>463</v>
      </c>
      <c r="C56" s="134" t="n">
        <f aca="false">Assumptions!$C$204</f>
        <v>0.08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true" outlineLevel="0" collapsed="false">
      <c r="A58" s="2"/>
      <c r="B58" s="7" t="s">
        <v>464</v>
      </c>
      <c r="C58" s="2"/>
      <c r="D58" s="2"/>
      <c r="E58" s="2"/>
      <c r="F58" s="35" t="n">
        <v>0</v>
      </c>
      <c r="G58" s="35" t="n">
        <f aca="false">F63</f>
        <v>0</v>
      </c>
      <c r="H58" s="35" t="n">
        <f aca="false">G63</f>
        <v>0</v>
      </c>
      <c r="I58" s="35" t="n">
        <f aca="false">H63</f>
        <v>0</v>
      </c>
      <c r="J58" s="35" t="n">
        <f aca="false">I63</f>
        <v>0</v>
      </c>
      <c r="K58" s="35" t="n">
        <f aca="false">J63</f>
        <v>0</v>
      </c>
      <c r="L58" s="35" t="n">
        <f aca="false">K63</f>
        <v>0</v>
      </c>
      <c r="M58" s="35" t="n">
        <f aca="false">L63</f>
        <v>0</v>
      </c>
      <c r="N58" s="35" t="n">
        <f aca="false">M63</f>
        <v>0</v>
      </c>
      <c r="O58" s="35" t="n">
        <f aca="false">N63</f>
        <v>0</v>
      </c>
      <c r="P58" s="35" t="n">
        <f aca="false">O63</f>
        <v>0</v>
      </c>
    </row>
    <row r="59" customFormat="false" ht="15" hidden="false" customHeight="true" outlineLevel="0" collapsed="false">
      <c r="A59" s="2"/>
      <c r="B59" s="7" t="s">
        <v>465</v>
      </c>
      <c r="C59" s="2"/>
      <c r="D59" s="2"/>
      <c r="E59" s="2"/>
      <c r="F59" s="35" t="n">
        <f aca="false">F58*$C$56</f>
        <v>0</v>
      </c>
      <c r="G59" s="35" t="n">
        <f aca="false">G58*$C$56</f>
        <v>0</v>
      </c>
      <c r="H59" s="35" t="n">
        <f aca="false">H58*$C$56</f>
        <v>0</v>
      </c>
      <c r="I59" s="35" t="n">
        <f aca="false">I58*$C$56</f>
        <v>0</v>
      </c>
      <c r="J59" s="35" t="n">
        <f aca="false">J58*$C$56</f>
        <v>0</v>
      </c>
      <c r="K59" s="35" t="n">
        <f aca="false">K58*$C$56</f>
        <v>0</v>
      </c>
      <c r="L59" s="35" t="n">
        <f aca="false">L58*$C$56</f>
        <v>0</v>
      </c>
      <c r="M59" s="35" t="n">
        <f aca="false">M58*$C$56</f>
        <v>0</v>
      </c>
      <c r="N59" s="35" t="n">
        <f aca="false">N58*$C$56</f>
        <v>0</v>
      </c>
      <c r="O59" s="35" t="n">
        <f aca="false">O58*$C$56</f>
        <v>0</v>
      </c>
      <c r="P59" s="35" t="n">
        <f aca="false">P58*$C$56</f>
        <v>0</v>
      </c>
    </row>
    <row r="60" customFormat="false" ht="15" hidden="false" customHeight="true" outlineLevel="0" collapsed="false">
      <c r="A60" s="2"/>
      <c r="B60" s="7" t="s">
        <v>466</v>
      </c>
      <c r="C60" s="2"/>
      <c r="D60" s="2"/>
      <c r="E60" s="2"/>
      <c r="F60" s="55" t="n">
        <f aca="false">$D$8</f>
        <v>0</v>
      </c>
      <c r="G60" s="35" t="n">
        <v>0</v>
      </c>
      <c r="H60" s="35" t="n">
        <v>0</v>
      </c>
      <c r="I60" s="35" t="n">
        <v>0</v>
      </c>
      <c r="J60" s="35" t="n">
        <v>0</v>
      </c>
      <c r="K60" s="35" t="n">
        <v>0</v>
      </c>
      <c r="L60" s="35" t="n">
        <v>0</v>
      </c>
      <c r="M60" s="35" t="n">
        <v>0</v>
      </c>
      <c r="N60" s="35" t="n">
        <v>0</v>
      </c>
      <c r="O60" s="35" t="n">
        <v>0</v>
      </c>
      <c r="P60" s="35" t="n">
        <v>0</v>
      </c>
    </row>
    <row r="61" customFormat="false" ht="15" hidden="false" customHeight="true" outlineLevel="0" collapsed="false">
      <c r="A61" s="2"/>
      <c r="B61" s="7" t="s">
        <v>467</v>
      </c>
      <c r="C61" s="2"/>
      <c r="D61" s="2"/>
      <c r="E61" s="2"/>
      <c r="F61" s="35" t="n">
        <f aca="false">MAX(F28,0)*$C$8</f>
        <v>0</v>
      </c>
      <c r="G61" s="35" t="n">
        <f aca="false">MAX(G28,0)*$C$8</f>
        <v>0</v>
      </c>
      <c r="H61" s="35" t="n">
        <f aca="false">MAX(H28,0)*$C$8</f>
        <v>0</v>
      </c>
      <c r="I61" s="35" t="n">
        <f aca="false">MAX(I28,0)*$C$8</f>
        <v>0</v>
      </c>
      <c r="J61" s="35" t="n">
        <f aca="false">MAX(J28,0)*$C$8</f>
        <v>0</v>
      </c>
      <c r="K61" s="35" t="n">
        <f aca="false">MAX(K28,0)*$C$8</f>
        <v>0</v>
      </c>
      <c r="L61" s="35" t="n">
        <f aca="false">MAX(L28,0)*$C$8</f>
        <v>0</v>
      </c>
      <c r="M61" s="35" t="n">
        <f aca="false">MAX(M28,0)*$C$8</f>
        <v>0</v>
      </c>
      <c r="N61" s="35" t="n">
        <f aca="false">MAX(N28,0)*$C$8</f>
        <v>0</v>
      </c>
      <c r="O61" s="35" t="n">
        <f aca="false">MAX(O28,0)*$C$8</f>
        <v>0</v>
      </c>
      <c r="P61" s="35" t="n">
        <f aca="false">MAX(P28,0)*$C$8</f>
        <v>0</v>
      </c>
    </row>
    <row r="62" customFormat="false" ht="15" hidden="false" customHeight="true" outlineLevel="0" collapsed="false">
      <c r="A62" s="2"/>
      <c r="B62" s="7" t="s">
        <v>468</v>
      </c>
      <c r="C62" s="2"/>
      <c r="D62" s="2"/>
      <c r="E62" s="2"/>
      <c r="F62" s="35" t="n">
        <v>0</v>
      </c>
      <c r="G62" s="35" t="n">
        <f aca="false">MIN(G58+G59,G61)</f>
        <v>0</v>
      </c>
      <c r="H62" s="35" t="n">
        <f aca="false">MIN(H58+H59,H61)</f>
        <v>0</v>
      </c>
      <c r="I62" s="35" t="n">
        <f aca="false">MIN(I58+I59,I61)</f>
        <v>0</v>
      </c>
      <c r="J62" s="35" t="n">
        <f aca="false">MIN(J58+J59,J61)</f>
        <v>0</v>
      </c>
      <c r="K62" s="35" t="n">
        <f aca="false">MIN(K58+K59,K61)</f>
        <v>0</v>
      </c>
      <c r="L62" s="35" t="n">
        <f aca="false">MIN(L58+L59,L61)</f>
        <v>0</v>
      </c>
      <c r="M62" s="35" t="n">
        <f aca="false">MIN(M58+M59,M61)</f>
        <v>0</v>
      </c>
      <c r="N62" s="35" t="n">
        <f aca="false">MIN(N58+N59,N61)</f>
        <v>0</v>
      </c>
      <c r="O62" s="35" t="n">
        <f aca="false">MIN(O58+O59,O61)</f>
        <v>0</v>
      </c>
      <c r="P62" s="35" t="n">
        <f aca="false">MIN(P58+P59,P61)</f>
        <v>0</v>
      </c>
    </row>
    <row r="63" customFormat="false" ht="15" hidden="false" customHeight="true" outlineLevel="0" collapsed="false">
      <c r="A63" s="2"/>
      <c r="B63" s="7" t="s">
        <v>469</v>
      </c>
      <c r="C63" s="2"/>
      <c r="D63" s="2"/>
      <c r="E63" s="2"/>
      <c r="F63" s="35" t="n">
        <f aca="false">F58+F59+F60-F62</f>
        <v>0</v>
      </c>
      <c r="G63" s="35" t="n">
        <f aca="false">G58+G59+G60-G62</f>
        <v>0</v>
      </c>
      <c r="H63" s="35" t="n">
        <f aca="false">H58+H59+H60-H62</f>
        <v>0</v>
      </c>
      <c r="I63" s="35" t="n">
        <f aca="false">I58+I59+I60-I62</f>
        <v>0</v>
      </c>
      <c r="J63" s="35" t="n">
        <f aca="false">J58+J59+J60-J62</f>
        <v>0</v>
      </c>
      <c r="K63" s="35" t="n">
        <f aca="false">K58+K59+K60-K62</f>
        <v>0</v>
      </c>
      <c r="L63" s="35" t="n">
        <f aca="false">L58+L59+L60-L62</f>
        <v>0</v>
      </c>
      <c r="M63" s="35" t="n">
        <f aca="false">M58+M59+M60-M62</f>
        <v>0</v>
      </c>
      <c r="N63" s="35" t="n">
        <f aca="false">N58+N59+N60-N62</f>
        <v>0</v>
      </c>
      <c r="O63" s="35" t="n">
        <f aca="false">O58+O59+O60-O62</f>
        <v>0</v>
      </c>
      <c r="P63" s="35" t="n">
        <f aca="false">P58+P59+P60-P62</f>
        <v>0</v>
      </c>
    </row>
    <row r="64" customFormat="false" ht="15" hidden="false" customHeight="true" outlineLevel="0" collapsed="false">
      <c r="A64" s="2"/>
      <c r="B64" s="37" t="s">
        <v>470</v>
      </c>
      <c r="C64" s="2"/>
      <c r="D64" s="2"/>
      <c r="E64" s="142" t="str">
        <f aca="false">IFERROR(IRR(F64:P64),"N/A")</f>
        <v>N/A</v>
      </c>
      <c r="F64" s="143" t="n">
        <f aca="false">-F60+F62</f>
        <v>0</v>
      </c>
      <c r="G64" s="143" t="n">
        <f aca="false">-G60+G62</f>
        <v>0</v>
      </c>
      <c r="H64" s="143" t="n">
        <f aca="false">-H60+H62</f>
        <v>0</v>
      </c>
      <c r="I64" s="143" t="n">
        <f aca="false">-I60+I62</f>
        <v>0</v>
      </c>
      <c r="J64" s="143" t="n">
        <f aca="false">-J60+J62</f>
        <v>0</v>
      </c>
      <c r="K64" s="143" t="n">
        <f aca="false">-K60+K62</f>
        <v>0</v>
      </c>
      <c r="L64" s="143" t="n">
        <f aca="false">-L60+L62</f>
        <v>0</v>
      </c>
      <c r="M64" s="143" t="n">
        <f aca="false">-M60+M62</f>
        <v>0</v>
      </c>
      <c r="N64" s="143" t="n">
        <f aca="false">-N60+N62</f>
        <v>0</v>
      </c>
      <c r="O64" s="143" t="n">
        <f aca="false">-O60+O62</f>
        <v>0</v>
      </c>
      <c r="P64" s="143" t="n">
        <f aca="false">-P60+P62</f>
        <v>0</v>
      </c>
    </row>
    <row r="65" customFormat="false" ht="1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customFormat="false" ht="15" hidden="false" customHeight="true" outlineLevel="0" collapsed="false">
      <c r="A66" s="2"/>
      <c r="B66" s="7" t="s">
        <v>471</v>
      </c>
      <c r="C66" s="2"/>
      <c r="D66" s="2"/>
      <c r="E66" s="2"/>
      <c r="F66" s="35" t="n">
        <v>0</v>
      </c>
      <c r="G66" s="35" t="n">
        <f aca="false">F71</f>
        <v>0</v>
      </c>
      <c r="H66" s="35" t="n">
        <f aca="false">G71</f>
        <v>0</v>
      </c>
      <c r="I66" s="35" t="n">
        <f aca="false">H71</f>
        <v>0</v>
      </c>
      <c r="J66" s="35" t="n">
        <f aca="false">I71</f>
        <v>0</v>
      </c>
      <c r="K66" s="35" t="n">
        <f aca="false">J71</f>
        <v>0</v>
      </c>
      <c r="L66" s="35" t="n">
        <f aca="false">K71</f>
        <v>0</v>
      </c>
      <c r="M66" s="35" t="n">
        <f aca="false">L71</f>
        <v>0</v>
      </c>
      <c r="N66" s="35" t="n">
        <f aca="false">M71</f>
        <v>0</v>
      </c>
      <c r="O66" s="35" t="n">
        <f aca="false">N71</f>
        <v>0</v>
      </c>
      <c r="P66" s="35" t="n">
        <f aca="false">O71</f>
        <v>0</v>
      </c>
    </row>
    <row r="67" customFormat="false" ht="15" hidden="false" customHeight="true" outlineLevel="0" collapsed="false">
      <c r="A67" s="2"/>
      <c r="B67" s="7" t="s">
        <v>472</v>
      </c>
      <c r="C67" s="2"/>
      <c r="D67" s="2"/>
      <c r="E67" s="2"/>
      <c r="F67" s="35" t="n">
        <f aca="false">F66*$C$56</f>
        <v>0</v>
      </c>
      <c r="G67" s="35" t="n">
        <f aca="false">G66*$C$56</f>
        <v>0</v>
      </c>
      <c r="H67" s="35" t="n">
        <f aca="false">H66*$C$56</f>
        <v>0</v>
      </c>
      <c r="I67" s="35" t="n">
        <f aca="false">I66*$C$56</f>
        <v>0</v>
      </c>
      <c r="J67" s="35" t="n">
        <f aca="false">J66*$C$56</f>
        <v>0</v>
      </c>
      <c r="K67" s="35" t="n">
        <f aca="false">K66*$C$56</f>
        <v>0</v>
      </c>
      <c r="L67" s="35" t="n">
        <f aca="false">L66*$C$56</f>
        <v>0</v>
      </c>
      <c r="M67" s="35" t="n">
        <f aca="false">M66*$C$56</f>
        <v>0</v>
      </c>
      <c r="N67" s="35" t="n">
        <f aca="false">N66*$C$56</f>
        <v>0</v>
      </c>
      <c r="O67" s="35" t="n">
        <f aca="false">O66*$C$56</f>
        <v>0</v>
      </c>
      <c r="P67" s="35" t="n">
        <f aca="false">P66*$C$56</f>
        <v>0</v>
      </c>
    </row>
    <row r="68" customFormat="false" ht="15" hidden="false" customHeight="true" outlineLevel="0" collapsed="false">
      <c r="A68" s="2"/>
      <c r="B68" s="7" t="s">
        <v>473</v>
      </c>
      <c r="C68" s="2"/>
      <c r="D68" s="2"/>
      <c r="E68" s="2"/>
      <c r="F68" s="55" t="n">
        <f aca="false">$D$7</f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5" t="n">
        <v>0</v>
      </c>
      <c r="O68" s="35" t="n">
        <v>0</v>
      </c>
      <c r="P68" s="35" t="n">
        <v>0</v>
      </c>
    </row>
    <row r="69" customFormat="false" ht="15" hidden="false" customHeight="true" outlineLevel="0" collapsed="false">
      <c r="A69" s="2"/>
      <c r="B69" s="7" t="s">
        <v>474</v>
      </c>
      <c r="C69" s="2"/>
      <c r="D69" s="2"/>
      <c r="E69" s="2"/>
      <c r="F69" s="35" t="n">
        <f aca="false">MAX(F28,0)*$C$7</f>
        <v>0</v>
      </c>
      <c r="G69" s="35" t="n">
        <f aca="false">MAX(G28,0)*$C$7</f>
        <v>0</v>
      </c>
      <c r="H69" s="35" t="n">
        <f aca="false">MAX(H28,0)*$C$7</f>
        <v>0</v>
      </c>
      <c r="I69" s="35" t="n">
        <f aca="false">MAX(I28,0)*$C$7</f>
        <v>0</v>
      </c>
      <c r="J69" s="35" t="n">
        <f aca="false">MAX(J28,0)*$C$7</f>
        <v>0</v>
      </c>
      <c r="K69" s="35" t="n">
        <f aca="false">MAX(K28,0)*$C$7</f>
        <v>0</v>
      </c>
      <c r="L69" s="35" t="n">
        <f aca="false">MAX(L28,0)*$C$7</f>
        <v>0</v>
      </c>
      <c r="M69" s="35" t="n">
        <f aca="false">MAX(M28,0)*$C$7</f>
        <v>0</v>
      </c>
      <c r="N69" s="35" t="n">
        <f aca="false">MAX(N28,0)*$C$7</f>
        <v>0</v>
      </c>
      <c r="O69" s="35" t="n">
        <f aca="false">MAX(O28,0)*$C$7</f>
        <v>0</v>
      </c>
      <c r="P69" s="35" t="n">
        <f aca="false">MAX(P28,0)*$C$7</f>
        <v>0</v>
      </c>
    </row>
    <row r="70" customFormat="false" ht="15" hidden="false" customHeight="true" outlineLevel="0" collapsed="false">
      <c r="A70" s="2"/>
      <c r="B70" s="7" t="s">
        <v>475</v>
      </c>
      <c r="C70" s="2"/>
      <c r="D70" s="2"/>
      <c r="E70" s="2"/>
      <c r="F70" s="35" t="n">
        <v>0</v>
      </c>
      <c r="G70" s="35" t="n">
        <f aca="false">MIN(G66+G67,G69)</f>
        <v>0</v>
      </c>
      <c r="H70" s="35" t="n">
        <f aca="false">MIN(H66+H67,H69)</f>
        <v>0</v>
      </c>
      <c r="I70" s="35" t="n">
        <f aca="false">MIN(I66+I67,I69)</f>
        <v>0</v>
      </c>
      <c r="J70" s="35" t="n">
        <f aca="false">MIN(J66+J67,J69)</f>
        <v>0</v>
      </c>
      <c r="K70" s="35" t="n">
        <f aca="false">MIN(K66+K67,K69)</f>
        <v>0</v>
      </c>
      <c r="L70" s="35" t="n">
        <f aca="false">MIN(L66+L67,L69)</f>
        <v>0</v>
      </c>
      <c r="M70" s="35" t="n">
        <f aca="false">MIN(M66+M67,M69)</f>
        <v>0</v>
      </c>
      <c r="N70" s="35" t="n">
        <f aca="false">MIN(N66+N67,N69)</f>
        <v>0</v>
      </c>
      <c r="O70" s="35" t="n">
        <f aca="false">MIN(O66+O67,O69)</f>
        <v>0</v>
      </c>
      <c r="P70" s="35" t="n">
        <f aca="false">MIN(P66+P67,P69)</f>
        <v>0</v>
      </c>
    </row>
    <row r="71" customFormat="false" ht="15" hidden="false" customHeight="true" outlineLevel="0" collapsed="false">
      <c r="A71" s="2"/>
      <c r="B71" s="7" t="s">
        <v>476</v>
      </c>
      <c r="C71" s="2"/>
      <c r="D71" s="2"/>
      <c r="E71" s="2"/>
      <c r="F71" s="35" t="n">
        <f aca="false">F66+F67+F68-F70</f>
        <v>0</v>
      </c>
      <c r="G71" s="35" t="n">
        <f aca="false">G66+G67+G68-G70</f>
        <v>0</v>
      </c>
      <c r="H71" s="35" t="n">
        <f aca="false">H66+H67+H68-H70</f>
        <v>0</v>
      </c>
      <c r="I71" s="35" t="n">
        <f aca="false">I66+I67+I68-I70</f>
        <v>0</v>
      </c>
      <c r="J71" s="35" t="n">
        <f aca="false">J66+J67+J68-J70</f>
        <v>0</v>
      </c>
      <c r="K71" s="35" t="n">
        <f aca="false">K66+K67+K68-K70</f>
        <v>0</v>
      </c>
      <c r="L71" s="35" t="n">
        <f aca="false">L66+L67+L68-L70</f>
        <v>0</v>
      </c>
      <c r="M71" s="35" t="n">
        <f aca="false">M66+M67+M68-M70</f>
        <v>0</v>
      </c>
      <c r="N71" s="35" t="n">
        <f aca="false">N66+N67+N68-N70</f>
        <v>0</v>
      </c>
      <c r="O71" s="35" t="n">
        <f aca="false">O66+O67+O68-O70</f>
        <v>0</v>
      </c>
      <c r="P71" s="35" t="n">
        <f aca="false">P66+P67+P68-P70</f>
        <v>0</v>
      </c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customFormat="false" ht="15" hidden="false" customHeight="true" outlineLevel="0" collapsed="false">
      <c r="A73" s="135"/>
      <c r="B73" s="113" t="s">
        <v>477</v>
      </c>
      <c r="C73" s="135"/>
      <c r="D73" s="135"/>
      <c r="E73" s="135"/>
      <c r="F73" s="34" t="n">
        <f aca="false">F62+F70</f>
        <v>0</v>
      </c>
      <c r="G73" s="34" t="n">
        <f aca="false">G62+G70</f>
        <v>0</v>
      </c>
      <c r="H73" s="34" t="n">
        <f aca="false">H62+H70</f>
        <v>0</v>
      </c>
      <c r="I73" s="34" t="n">
        <f aca="false">I62+I70</f>
        <v>0</v>
      </c>
      <c r="J73" s="34" t="n">
        <f aca="false">J62+J70</f>
        <v>0</v>
      </c>
      <c r="K73" s="34" t="n">
        <f aca="false">K62+K70</f>
        <v>0</v>
      </c>
      <c r="L73" s="34" t="n">
        <f aca="false">L62+L70</f>
        <v>0</v>
      </c>
      <c r="M73" s="34" t="n">
        <f aca="false">M62+M70</f>
        <v>0</v>
      </c>
      <c r="N73" s="34" t="n">
        <f aca="false">N62+N70</f>
        <v>0</v>
      </c>
      <c r="O73" s="34" t="n">
        <f aca="false">O62+O70</f>
        <v>0</v>
      </c>
      <c r="P73" s="34" t="n">
        <f aca="false">P62+P70</f>
        <v>0</v>
      </c>
    </row>
    <row r="74" customFormat="false" ht="15" hidden="false" customHeight="true" outlineLevel="0" collapsed="false">
      <c r="A74" s="2"/>
      <c r="B74" s="144" t="s">
        <v>468</v>
      </c>
      <c r="C74" s="2"/>
      <c r="D74" s="2"/>
      <c r="E74" s="2"/>
      <c r="F74" s="103" t="n">
        <f aca="false">F62</f>
        <v>0</v>
      </c>
      <c r="G74" s="103" t="n">
        <f aca="false">G62</f>
        <v>0</v>
      </c>
      <c r="H74" s="103" t="n">
        <f aca="false">H62</f>
        <v>0</v>
      </c>
      <c r="I74" s="103" t="n">
        <f aca="false">I62</f>
        <v>0</v>
      </c>
      <c r="J74" s="103" t="n">
        <f aca="false">J62</f>
        <v>0</v>
      </c>
      <c r="K74" s="103" t="n">
        <f aca="false">K62</f>
        <v>0</v>
      </c>
      <c r="L74" s="103" t="n">
        <f aca="false">L62</f>
        <v>0</v>
      </c>
      <c r="M74" s="103" t="n">
        <f aca="false">M62</f>
        <v>0</v>
      </c>
      <c r="N74" s="103" t="n">
        <f aca="false">N62</f>
        <v>0</v>
      </c>
      <c r="O74" s="103" t="n">
        <f aca="false">O62</f>
        <v>0</v>
      </c>
      <c r="P74" s="103" t="n">
        <f aca="false">P62</f>
        <v>0</v>
      </c>
    </row>
    <row r="75" customFormat="false" ht="15" hidden="false" customHeight="true" outlineLevel="0" collapsed="false">
      <c r="A75" s="2"/>
      <c r="B75" s="144" t="s">
        <v>475</v>
      </c>
      <c r="C75" s="2"/>
      <c r="D75" s="2"/>
      <c r="E75" s="2"/>
      <c r="F75" s="103" t="n">
        <f aca="false">F70</f>
        <v>0</v>
      </c>
      <c r="G75" s="103" t="n">
        <f aca="false">G70</f>
        <v>0</v>
      </c>
      <c r="H75" s="103" t="n">
        <f aca="false">H70</f>
        <v>0</v>
      </c>
      <c r="I75" s="103" t="n">
        <f aca="false">I70</f>
        <v>0</v>
      </c>
      <c r="J75" s="103" t="n">
        <f aca="false">J70</f>
        <v>0</v>
      </c>
      <c r="K75" s="103" t="n">
        <f aca="false">K70</f>
        <v>0</v>
      </c>
      <c r="L75" s="103" t="n">
        <f aca="false">L70</f>
        <v>0</v>
      </c>
      <c r="M75" s="103" t="n">
        <f aca="false">M70</f>
        <v>0</v>
      </c>
      <c r="N75" s="103" t="n">
        <f aca="false">N70</f>
        <v>0</v>
      </c>
      <c r="O75" s="103" t="n">
        <f aca="false">O70</f>
        <v>0</v>
      </c>
      <c r="P75" s="103" t="n">
        <f aca="false">P70</f>
        <v>0</v>
      </c>
    </row>
    <row r="76" customFormat="false" ht="15" hidden="false" customHeight="true" outlineLevel="0" collapsed="false">
      <c r="A76" s="2"/>
      <c r="B76" s="7" t="s">
        <v>478</v>
      </c>
      <c r="C76" s="2"/>
      <c r="D76" s="2"/>
      <c r="E76" s="2"/>
      <c r="F76" s="35" t="n">
        <f aca="false">MAX(F28-F73,0)</f>
        <v>0</v>
      </c>
      <c r="G76" s="35" t="n">
        <f aca="false">MAX(G28-G73,0)</f>
        <v>0</v>
      </c>
      <c r="H76" s="35" t="n">
        <f aca="false">MAX(H28-H73,0)</f>
        <v>0</v>
      </c>
      <c r="I76" s="35" t="n">
        <f aca="false">MAX(I28-I73,0)</f>
        <v>0</v>
      </c>
      <c r="J76" s="35" t="n">
        <f aca="false">MAX(J28-J73,0)</f>
        <v>0</v>
      </c>
      <c r="K76" s="35" t="n">
        <f aca="false">MAX(K28-K73,0)</f>
        <v>0</v>
      </c>
      <c r="L76" s="35" t="n">
        <f aca="false">MAX(L28-L73,0)</f>
        <v>0</v>
      </c>
      <c r="M76" s="35" t="n">
        <f aca="false">MAX(M28-M73,0)</f>
        <v>0</v>
      </c>
      <c r="N76" s="35" t="n">
        <f aca="false">MAX(N28-N73,0)</f>
        <v>0</v>
      </c>
      <c r="O76" s="35" t="n">
        <f aca="false">MAX(O28-O73,0)</f>
        <v>0</v>
      </c>
      <c r="P76" s="35" t="n">
        <f aca="false">MAX(P28-P73,0)</f>
        <v>429012.337216318</v>
      </c>
    </row>
    <row r="77" customFormat="false" ht="1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customFormat="false" ht="24" hidden="false" customHeight="true" outlineLevel="0" collapsed="false">
      <c r="A78" s="140"/>
      <c r="B78" s="141" t="s">
        <v>479</v>
      </c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</row>
    <row r="79" customFormat="false" ht="15" hidden="false" customHeight="true" outlineLevel="0" collapsed="false">
      <c r="A79" s="2"/>
      <c r="B79" s="102" t="s">
        <v>463</v>
      </c>
      <c r="C79" s="134" t="n">
        <f aca="false">Assumptions!$C$205</f>
        <v>0.12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customFormat="false" ht="15" hidden="false" customHeight="true" outlineLevel="0" collapsed="false">
      <c r="A80" s="2"/>
      <c r="B80" s="102" t="s">
        <v>480</v>
      </c>
      <c r="C80" s="134" t="n">
        <f aca="false">Assumptions!$C$206</f>
        <v>0.7</v>
      </c>
      <c r="D80" s="67" t="n">
        <f aca="false">1-C80</f>
        <v>0.3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customFormat="false" ht="1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customFormat="false" ht="15" hidden="false" customHeight="true" outlineLevel="0" collapsed="false">
      <c r="A82" s="2"/>
      <c r="B82" s="7" t="s">
        <v>464</v>
      </c>
      <c r="C82" s="2"/>
      <c r="D82" s="2"/>
      <c r="E82" s="2"/>
      <c r="F82" s="35" t="n">
        <v>0</v>
      </c>
      <c r="G82" s="35" t="n">
        <f aca="false">F86</f>
        <v>0</v>
      </c>
      <c r="H82" s="35" t="n">
        <f aca="false">G86</f>
        <v>0</v>
      </c>
      <c r="I82" s="35" t="n">
        <f aca="false">H86</f>
        <v>0</v>
      </c>
      <c r="J82" s="35" t="n">
        <f aca="false">I86</f>
        <v>0</v>
      </c>
      <c r="K82" s="35" t="n">
        <f aca="false">J86</f>
        <v>0</v>
      </c>
      <c r="L82" s="35" t="n">
        <f aca="false">K86</f>
        <v>0</v>
      </c>
      <c r="M82" s="35" t="n">
        <f aca="false">L86</f>
        <v>0</v>
      </c>
      <c r="N82" s="35" t="n">
        <f aca="false">M86</f>
        <v>0</v>
      </c>
      <c r="O82" s="35" t="n">
        <f aca="false">N86</f>
        <v>0</v>
      </c>
      <c r="P82" s="35" t="n">
        <f aca="false">O86</f>
        <v>0</v>
      </c>
    </row>
    <row r="83" customFormat="false" ht="15" hidden="false" customHeight="true" outlineLevel="0" collapsed="false">
      <c r="A83" s="2"/>
      <c r="B83" s="7" t="s">
        <v>481</v>
      </c>
      <c r="C83" s="2"/>
      <c r="D83" s="2"/>
      <c r="E83" s="2"/>
      <c r="F83" s="35" t="n">
        <f aca="false">F82*$C$79</f>
        <v>0</v>
      </c>
      <c r="G83" s="35" t="n">
        <f aca="false">G82*$C$79</f>
        <v>0</v>
      </c>
      <c r="H83" s="35" t="n">
        <f aca="false">H82*$C$79</f>
        <v>0</v>
      </c>
      <c r="I83" s="35" t="n">
        <f aca="false">I82*$C$79</f>
        <v>0</v>
      </c>
      <c r="J83" s="35" t="n">
        <f aca="false">J82*$C$79</f>
        <v>0</v>
      </c>
      <c r="K83" s="35" t="n">
        <f aca="false">K82*$C$79</f>
        <v>0</v>
      </c>
      <c r="L83" s="35" t="n">
        <f aca="false">L82*$C$79</f>
        <v>0</v>
      </c>
      <c r="M83" s="35" t="n">
        <f aca="false">M82*$C$79</f>
        <v>0</v>
      </c>
      <c r="N83" s="35" t="n">
        <f aca="false">N82*$C$79</f>
        <v>0</v>
      </c>
      <c r="O83" s="35" t="n">
        <f aca="false">O82*$C$79</f>
        <v>0</v>
      </c>
      <c r="P83" s="35" t="n">
        <f aca="false">P82*$C$79</f>
        <v>0</v>
      </c>
    </row>
    <row r="84" customFormat="false" ht="15" hidden="false" customHeight="true" outlineLevel="0" collapsed="false">
      <c r="A84" s="2"/>
      <c r="B84" s="7" t="s">
        <v>482</v>
      </c>
      <c r="C84" s="2"/>
      <c r="D84" s="2"/>
      <c r="E84" s="2"/>
      <c r="F84" s="35" t="n">
        <f aca="false">F74</f>
        <v>0</v>
      </c>
      <c r="G84" s="35" t="n">
        <f aca="false">G74</f>
        <v>0</v>
      </c>
      <c r="H84" s="35" t="n">
        <f aca="false">H74</f>
        <v>0</v>
      </c>
      <c r="I84" s="35" t="n">
        <f aca="false">I74</f>
        <v>0</v>
      </c>
      <c r="J84" s="35" t="n">
        <f aca="false">J74</f>
        <v>0</v>
      </c>
      <c r="K84" s="35" t="n">
        <f aca="false">K74</f>
        <v>0</v>
      </c>
      <c r="L84" s="35" t="n">
        <f aca="false">L74</f>
        <v>0</v>
      </c>
      <c r="M84" s="35" t="n">
        <f aca="false">M74</f>
        <v>0</v>
      </c>
      <c r="N84" s="35" t="n">
        <f aca="false">N74</f>
        <v>0</v>
      </c>
      <c r="O84" s="35" t="n">
        <f aca="false">O74</f>
        <v>0</v>
      </c>
      <c r="P84" s="35" t="n">
        <f aca="false">P74</f>
        <v>0</v>
      </c>
    </row>
    <row r="85" customFormat="false" ht="15" hidden="false" customHeight="true" outlineLevel="0" collapsed="false">
      <c r="A85" s="2"/>
      <c r="B85" s="7" t="s">
        <v>483</v>
      </c>
      <c r="C85" s="2"/>
      <c r="D85" s="2"/>
      <c r="E85" s="2"/>
      <c r="F85" s="35" t="n">
        <v>0</v>
      </c>
      <c r="G85" s="35" t="n">
        <f aca="false">MAX(MIN(G82+G83-G84,G76*$C$80),0)</f>
        <v>0</v>
      </c>
      <c r="H85" s="35" t="n">
        <f aca="false">MAX(MIN(H82+H83-H84,H76*$C$80),0)</f>
        <v>0</v>
      </c>
      <c r="I85" s="35" t="n">
        <f aca="false">MAX(MIN(I82+I83-I84,I76*$C$80),0)</f>
        <v>0</v>
      </c>
      <c r="J85" s="35" t="n">
        <f aca="false">MAX(MIN(J82+J83-J84,J76*$C$80),0)</f>
        <v>0</v>
      </c>
      <c r="K85" s="35" t="n">
        <f aca="false">MAX(MIN(K82+K83-K84,K76*$C$80),0)</f>
        <v>0</v>
      </c>
      <c r="L85" s="35" t="n">
        <f aca="false">MAX(MIN(L82+L83-L84,L76*$C$80),0)</f>
        <v>0</v>
      </c>
      <c r="M85" s="35" t="n">
        <f aca="false">MAX(MIN(M82+M83-M84,M76*$C$80),0)</f>
        <v>0</v>
      </c>
      <c r="N85" s="35" t="n">
        <f aca="false">MAX(MIN(N82+N83-N84,N76*$C$80),0)</f>
        <v>0</v>
      </c>
      <c r="O85" s="35" t="n">
        <f aca="false">MAX(MIN(O82+O83-O84,O76*$C$80),0)</f>
        <v>0</v>
      </c>
      <c r="P85" s="35" t="n">
        <f aca="false">MAX(MIN(P82+P83-P84,P76*$C$80),0)</f>
        <v>0</v>
      </c>
    </row>
    <row r="86" customFormat="false" ht="15" hidden="false" customHeight="true" outlineLevel="0" collapsed="false">
      <c r="A86" s="2"/>
      <c r="B86" s="7" t="s">
        <v>469</v>
      </c>
      <c r="C86" s="2"/>
      <c r="D86" s="2"/>
      <c r="E86" s="2"/>
      <c r="F86" s="35" t="n">
        <f aca="false">$D$8</f>
        <v>0</v>
      </c>
      <c r="G86" s="35" t="n">
        <f aca="false">G82+G83+0-G84-G85</f>
        <v>0</v>
      </c>
      <c r="H86" s="35" t="n">
        <f aca="false">H82+H83+0-H84-H85</f>
        <v>0</v>
      </c>
      <c r="I86" s="35" t="n">
        <f aca="false">I82+I83+0-I84-I85</f>
        <v>0</v>
      </c>
      <c r="J86" s="35" t="n">
        <f aca="false">J82+J83+0-J84-J85</f>
        <v>0</v>
      </c>
      <c r="K86" s="35" t="n">
        <f aca="false">K82+K83+0-K84-K85</f>
        <v>0</v>
      </c>
      <c r="L86" s="35" t="n">
        <f aca="false">L82+L83+0-L84-L85</f>
        <v>0</v>
      </c>
      <c r="M86" s="35" t="n">
        <f aca="false">M82+M83+0-M84-M85</f>
        <v>0</v>
      </c>
      <c r="N86" s="35" t="n">
        <f aca="false">N82+N83+0-N84-N85</f>
        <v>0</v>
      </c>
      <c r="O86" s="35" t="n">
        <f aca="false">O82+O83+0-O84-O85</f>
        <v>0</v>
      </c>
      <c r="P86" s="35" t="n">
        <f aca="false">P82+P83+0-P84-P85</f>
        <v>0</v>
      </c>
    </row>
    <row r="87" customFormat="false" ht="15" hidden="false" customHeight="true" outlineLevel="0" collapsed="false">
      <c r="A87" s="2"/>
      <c r="B87" s="144" t="s">
        <v>483</v>
      </c>
      <c r="C87" s="2"/>
      <c r="D87" s="2"/>
      <c r="E87" s="2"/>
      <c r="F87" s="103" t="n">
        <f aca="false">F85</f>
        <v>0</v>
      </c>
      <c r="G87" s="103" t="n">
        <f aca="false">G85</f>
        <v>0</v>
      </c>
      <c r="H87" s="103" t="n">
        <f aca="false">H85</f>
        <v>0</v>
      </c>
      <c r="I87" s="103" t="n">
        <f aca="false">I85</f>
        <v>0</v>
      </c>
      <c r="J87" s="103" t="n">
        <f aca="false">J85</f>
        <v>0</v>
      </c>
      <c r="K87" s="103" t="n">
        <f aca="false">K85</f>
        <v>0</v>
      </c>
      <c r="L87" s="103" t="n">
        <f aca="false">L85</f>
        <v>0</v>
      </c>
      <c r="M87" s="103" t="n">
        <f aca="false">M85</f>
        <v>0</v>
      </c>
      <c r="N87" s="103" t="n">
        <f aca="false">N85</f>
        <v>0</v>
      </c>
      <c r="O87" s="103" t="n">
        <f aca="false">O85</f>
        <v>0</v>
      </c>
      <c r="P87" s="103" t="n">
        <f aca="false">P85</f>
        <v>0</v>
      </c>
    </row>
    <row r="88" customFormat="false" ht="15" hidden="false" customHeight="true" outlineLevel="0" collapsed="false">
      <c r="A88" s="2"/>
      <c r="B88" s="7" t="s">
        <v>484</v>
      </c>
      <c r="C88" s="2"/>
      <c r="D88" s="2"/>
      <c r="E88" s="2"/>
      <c r="F88" s="35" t="n">
        <f aca="false">IF($C$80&gt;0,F87/$C$80*$D$80,0)</f>
        <v>0</v>
      </c>
      <c r="G88" s="35" t="n">
        <f aca="false">IF($C$80&gt;0,G87/$C$80*$D$80,0)</f>
        <v>0</v>
      </c>
      <c r="H88" s="35" t="n">
        <f aca="false">IF($C$80&gt;0,H87/$C$80*$D$80,0)</f>
        <v>0</v>
      </c>
      <c r="I88" s="35" t="n">
        <f aca="false">IF($C$80&gt;0,I87/$C$80*$D$80,0)</f>
        <v>0</v>
      </c>
      <c r="J88" s="35" t="n">
        <f aca="false">IF($C$80&gt;0,J87/$C$80*$D$80,0)</f>
        <v>0</v>
      </c>
      <c r="K88" s="35" t="n">
        <f aca="false">IF($C$80&gt;0,K87/$C$80*$D$80,0)</f>
        <v>0</v>
      </c>
      <c r="L88" s="35" t="n">
        <f aca="false">IF($C$80&gt;0,L87/$C$80*$D$80,0)</f>
        <v>0</v>
      </c>
      <c r="M88" s="35" t="n">
        <f aca="false">IF($C$80&gt;0,M87/$C$80*$D$80,0)</f>
        <v>0</v>
      </c>
      <c r="N88" s="35" t="n">
        <f aca="false">IF($C$80&gt;0,N87/$C$80*$D$80,0)</f>
        <v>0</v>
      </c>
      <c r="O88" s="35" t="n">
        <f aca="false">IF($C$80&gt;0,O87/$C$80*$D$80,0)</f>
        <v>0</v>
      </c>
      <c r="P88" s="35" t="n">
        <f aca="false">IF($C$80&gt;0,P87/$C$80*$D$80,0)</f>
        <v>0</v>
      </c>
    </row>
    <row r="89" customFormat="false" ht="15" hidden="false" customHeight="true" outlineLevel="0" collapsed="false">
      <c r="A89" s="135"/>
      <c r="B89" s="113" t="s">
        <v>485</v>
      </c>
      <c r="C89" s="135"/>
      <c r="D89" s="135"/>
      <c r="E89" s="135"/>
      <c r="F89" s="34" t="n">
        <f aca="false">F87+F88</f>
        <v>0</v>
      </c>
      <c r="G89" s="34" t="n">
        <f aca="false">G87+G88</f>
        <v>0</v>
      </c>
      <c r="H89" s="34" t="n">
        <f aca="false">H87+H88</f>
        <v>0</v>
      </c>
      <c r="I89" s="34" t="n">
        <f aca="false">I87+I88</f>
        <v>0</v>
      </c>
      <c r="J89" s="34" t="n">
        <f aca="false">J87+J88</f>
        <v>0</v>
      </c>
      <c r="K89" s="34" t="n">
        <f aca="false">K87+K88</f>
        <v>0</v>
      </c>
      <c r="L89" s="34" t="n">
        <f aca="false">L87+L88</f>
        <v>0</v>
      </c>
      <c r="M89" s="34" t="n">
        <f aca="false">M87+M88</f>
        <v>0</v>
      </c>
      <c r="N89" s="34" t="n">
        <f aca="false">N87+N88</f>
        <v>0</v>
      </c>
      <c r="O89" s="34" t="n">
        <f aca="false">O87+O88</f>
        <v>0</v>
      </c>
      <c r="P89" s="34" t="n">
        <f aca="false">P87+P88</f>
        <v>0</v>
      </c>
    </row>
    <row r="90" customFormat="false" ht="15" hidden="false" customHeight="true" outlineLevel="0" collapsed="false">
      <c r="A90" s="2"/>
      <c r="B90" s="7" t="s">
        <v>486</v>
      </c>
      <c r="C90" s="2"/>
      <c r="D90" s="2"/>
      <c r="E90" s="2"/>
      <c r="F90" s="35" t="n">
        <f aca="false">MAX(F76-F89,0)</f>
        <v>0</v>
      </c>
      <c r="G90" s="35" t="n">
        <f aca="false">MAX(G76-G89,0)</f>
        <v>0</v>
      </c>
      <c r="H90" s="35" t="n">
        <f aca="false">MAX(H76-H89,0)</f>
        <v>0</v>
      </c>
      <c r="I90" s="35" t="n">
        <f aca="false">MAX(I76-I89,0)</f>
        <v>0</v>
      </c>
      <c r="J90" s="35" t="n">
        <f aca="false">MAX(J76-J89,0)</f>
        <v>0</v>
      </c>
      <c r="K90" s="35" t="n">
        <f aca="false">MAX(K76-K89,0)</f>
        <v>0</v>
      </c>
      <c r="L90" s="35" t="n">
        <f aca="false">MAX(L76-L89,0)</f>
        <v>0</v>
      </c>
      <c r="M90" s="35" t="n">
        <f aca="false">MAX(M76-M89,0)</f>
        <v>0</v>
      </c>
      <c r="N90" s="35" t="n">
        <f aca="false">MAX(N76-N89,0)</f>
        <v>0</v>
      </c>
      <c r="O90" s="35" t="n">
        <f aca="false">MAX(O76-O89,0)</f>
        <v>0</v>
      </c>
      <c r="P90" s="35" t="n">
        <f aca="false">MAX(P76-P89,0)</f>
        <v>429012.337216318</v>
      </c>
    </row>
    <row r="91" customFormat="false" ht="1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customFormat="false" ht="24" hidden="false" customHeight="true" outlineLevel="0" collapsed="false">
      <c r="A92" s="140"/>
      <c r="B92" s="141" t="s">
        <v>487</v>
      </c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</row>
    <row r="93" customFormat="false" ht="15" hidden="false" customHeight="true" outlineLevel="0" collapsed="false">
      <c r="A93" s="2"/>
      <c r="B93" s="102" t="s">
        <v>463</v>
      </c>
      <c r="C93" s="134" t="n">
        <f aca="false">Assumptions!$C$207</f>
        <v>0.15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customFormat="false" ht="15" hidden="false" customHeight="true" outlineLevel="0" collapsed="false">
      <c r="A94" s="2"/>
      <c r="B94" s="102" t="s">
        <v>480</v>
      </c>
      <c r="C94" s="134" t="n">
        <f aca="false">Assumptions!$C$208</f>
        <v>0.6</v>
      </c>
      <c r="D94" s="67" t="n">
        <f aca="false">1-C94</f>
        <v>0.4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customFormat="false" ht="1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customFormat="false" ht="15" hidden="false" customHeight="true" outlineLevel="0" collapsed="false">
      <c r="A96" s="2"/>
      <c r="B96" s="7" t="s">
        <v>464</v>
      </c>
      <c r="C96" s="2"/>
      <c r="D96" s="2"/>
      <c r="E96" s="2"/>
      <c r="F96" s="35" t="n">
        <v>0</v>
      </c>
      <c r="G96" s="35" t="n">
        <f aca="false">F100</f>
        <v>0</v>
      </c>
      <c r="H96" s="35" t="n">
        <f aca="false">G100</f>
        <v>0</v>
      </c>
      <c r="I96" s="35" t="n">
        <f aca="false">H100</f>
        <v>0</v>
      </c>
      <c r="J96" s="35" t="n">
        <f aca="false">I100</f>
        <v>0</v>
      </c>
      <c r="K96" s="35" t="n">
        <f aca="false">J100</f>
        <v>0</v>
      </c>
      <c r="L96" s="35" t="n">
        <f aca="false">K100</f>
        <v>0</v>
      </c>
      <c r="M96" s="35" t="n">
        <f aca="false">L100</f>
        <v>0</v>
      </c>
      <c r="N96" s="35" t="n">
        <f aca="false">M100</f>
        <v>0</v>
      </c>
      <c r="O96" s="35" t="n">
        <f aca="false">N100</f>
        <v>0</v>
      </c>
      <c r="P96" s="35" t="n">
        <f aca="false">O100</f>
        <v>0</v>
      </c>
    </row>
    <row r="97" customFormat="false" ht="15" hidden="false" customHeight="true" outlineLevel="0" collapsed="false">
      <c r="A97" s="2"/>
      <c r="B97" s="7" t="s">
        <v>488</v>
      </c>
      <c r="C97" s="2"/>
      <c r="D97" s="2"/>
      <c r="E97" s="2"/>
      <c r="F97" s="35" t="n">
        <f aca="false">F96*$C$93</f>
        <v>0</v>
      </c>
      <c r="G97" s="35" t="n">
        <f aca="false">G96*$C$93</f>
        <v>0</v>
      </c>
      <c r="H97" s="35" t="n">
        <f aca="false">H96*$C$93</f>
        <v>0</v>
      </c>
      <c r="I97" s="35" t="n">
        <f aca="false">I96*$C$93</f>
        <v>0</v>
      </c>
      <c r="J97" s="35" t="n">
        <f aca="false">J96*$C$93</f>
        <v>0</v>
      </c>
      <c r="K97" s="35" t="n">
        <f aca="false">K96*$C$93</f>
        <v>0</v>
      </c>
      <c r="L97" s="35" t="n">
        <f aca="false">L96*$C$93</f>
        <v>0</v>
      </c>
      <c r="M97" s="35" t="n">
        <f aca="false">M96*$C$93</f>
        <v>0</v>
      </c>
      <c r="N97" s="35" t="n">
        <f aca="false">N96*$C$93</f>
        <v>0</v>
      </c>
      <c r="O97" s="35" t="n">
        <f aca="false">O96*$C$93</f>
        <v>0</v>
      </c>
      <c r="P97" s="35" t="n">
        <f aca="false">P96*$C$93</f>
        <v>0</v>
      </c>
    </row>
    <row r="98" customFormat="false" ht="15" hidden="false" customHeight="true" outlineLevel="0" collapsed="false">
      <c r="A98" s="2"/>
      <c r="B98" s="7" t="s">
        <v>482</v>
      </c>
      <c r="C98" s="2"/>
      <c r="D98" s="2"/>
      <c r="E98" s="2"/>
      <c r="F98" s="35" t="n">
        <f aca="false">F74+F87</f>
        <v>0</v>
      </c>
      <c r="G98" s="35" t="n">
        <f aca="false">G74+G87</f>
        <v>0</v>
      </c>
      <c r="H98" s="35" t="n">
        <f aca="false">H74+H87</f>
        <v>0</v>
      </c>
      <c r="I98" s="35" t="n">
        <f aca="false">I74+I87</f>
        <v>0</v>
      </c>
      <c r="J98" s="35" t="n">
        <f aca="false">J74+J87</f>
        <v>0</v>
      </c>
      <c r="K98" s="35" t="n">
        <f aca="false">K74+K87</f>
        <v>0</v>
      </c>
      <c r="L98" s="35" t="n">
        <f aca="false">L74+L87</f>
        <v>0</v>
      </c>
      <c r="M98" s="35" t="n">
        <f aca="false">M74+M87</f>
        <v>0</v>
      </c>
      <c r="N98" s="35" t="n">
        <f aca="false">N74+N87</f>
        <v>0</v>
      </c>
      <c r="O98" s="35" t="n">
        <f aca="false">O74+O87</f>
        <v>0</v>
      </c>
      <c r="P98" s="35" t="n">
        <f aca="false">P74+P87</f>
        <v>0</v>
      </c>
    </row>
    <row r="99" customFormat="false" ht="15" hidden="false" customHeight="true" outlineLevel="0" collapsed="false">
      <c r="A99" s="2"/>
      <c r="B99" s="7" t="s">
        <v>489</v>
      </c>
      <c r="C99" s="2"/>
      <c r="D99" s="2"/>
      <c r="E99" s="2"/>
      <c r="F99" s="35" t="n">
        <v>0</v>
      </c>
      <c r="G99" s="35" t="n">
        <f aca="false">MAX(MIN(G96+G97-G98,G90*$C$94),0)</f>
        <v>0</v>
      </c>
      <c r="H99" s="35" t="n">
        <f aca="false">MAX(MIN(H96+H97-H98,H90*$C$94),0)</f>
        <v>0</v>
      </c>
      <c r="I99" s="35" t="n">
        <f aca="false">MAX(MIN(I96+I97-I98,I90*$C$94),0)</f>
        <v>0</v>
      </c>
      <c r="J99" s="35" t="n">
        <f aca="false">MAX(MIN(J96+J97-J98,J90*$C$94),0)</f>
        <v>0</v>
      </c>
      <c r="K99" s="35" t="n">
        <f aca="false">MAX(MIN(K96+K97-K98,K90*$C$94),0)</f>
        <v>0</v>
      </c>
      <c r="L99" s="35" t="n">
        <f aca="false">MAX(MIN(L96+L97-L98,L90*$C$94),0)</f>
        <v>0</v>
      </c>
      <c r="M99" s="35" t="n">
        <f aca="false">MAX(MIN(M96+M97-M98,M90*$C$94),0)</f>
        <v>0</v>
      </c>
      <c r="N99" s="35" t="n">
        <f aca="false">MAX(MIN(N96+N97-N98,N90*$C$94),0)</f>
        <v>0</v>
      </c>
      <c r="O99" s="35" t="n">
        <f aca="false">MAX(MIN(O96+O97-O98,O90*$C$94),0)</f>
        <v>0</v>
      </c>
      <c r="P99" s="35" t="n">
        <f aca="false">MAX(MIN(P96+P97-P98,P90*$C$94),0)</f>
        <v>0</v>
      </c>
    </row>
    <row r="100" customFormat="false" ht="15" hidden="false" customHeight="true" outlineLevel="0" collapsed="false">
      <c r="A100" s="2"/>
      <c r="B100" s="7" t="s">
        <v>469</v>
      </c>
      <c r="C100" s="2"/>
      <c r="D100" s="2"/>
      <c r="E100" s="2"/>
      <c r="F100" s="35" t="n">
        <f aca="false">$D$8</f>
        <v>0</v>
      </c>
      <c r="G100" s="35" t="n">
        <f aca="false">G96+G97-G98-G99</f>
        <v>0</v>
      </c>
      <c r="H100" s="35" t="n">
        <f aca="false">H96+H97-H98-H99</f>
        <v>0</v>
      </c>
      <c r="I100" s="35" t="n">
        <f aca="false">I96+I97-I98-I99</f>
        <v>0</v>
      </c>
      <c r="J100" s="35" t="n">
        <f aca="false">J96+J97-J98-J99</f>
        <v>0</v>
      </c>
      <c r="K100" s="35" t="n">
        <f aca="false">K96+K97-K98-K99</f>
        <v>0</v>
      </c>
      <c r="L100" s="35" t="n">
        <f aca="false">L96+L97-L98-L99</f>
        <v>0</v>
      </c>
      <c r="M100" s="35" t="n">
        <f aca="false">M96+M97-M98-M99</f>
        <v>0</v>
      </c>
      <c r="N100" s="35" t="n">
        <f aca="false">N96+N97-N98-N99</f>
        <v>0</v>
      </c>
      <c r="O100" s="35" t="n">
        <f aca="false">O96+O97-O98-O99</f>
        <v>0</v>
      </c>
      <c r="P100" s="35" t="n">
        <f aca="false">P96+P97-P98-P99</f>
        <v>0</v>
      </c>
    </row>
    <row r="101" customFormat="false" ht="15" hidden="false" customHeight="true" outlineLevel="0" collapsed="false">
      <c r="A101" s="2"/>
      <c r="B101" s="144" t="s">
        <v>489</v>
      </c>
      <c r="C101" s="2"/>
      <c r="D101" s="2"/>
      <c r="E101" s="2"/>
      <c r="F101" s="103" t="n">
        <f aca="false">F99</f>
        <v>0</v>
      </c>
      <c r="G101" s="103" t="n">
        <f aca="false">G99</f>
        <v>0</v>
      </c>
      <c r="H101" s="103" t="n">
        <f aca="false">H99</f>
        <v>0</v>
      </c>
      <c r="I101" s="103" t="n">
        <f aca="false">I99</f>
        <v>0</v>
      </c>
      <c r="J101" s="103" t="n">
        <f aca="false">J99</f>
        <v>0</v>
      </c>
      <c r="K101" s="103" t="n">
        <f aca="false">K99</f>
        <v>0</v>
      </c>
      <c r="L101" s="103" t="n">
        <f aca="false">L99</f>
        <v>0</v>
      </c>
      <c r="M101" s="103" t="n">
        <f aca="false">M99</f>
        <v>0</v>
      </c>
      <c r="N101" s="103" t="n">
        <f aca="false">N99</f>
        <v>0</v>
      </c>
      <c r="O101" s="103" t="n">
        <f aca="false">O99</f>
        <v>0</v>
      </c>
      <c r="P101" s="103" t="n">
        <f aca="false">P99</f>
        <v>0</v>
      </c>
    </row>
    <row r="102" customFormat="false" ht="15" hidden="false" customHeight="true" outlineLevel="0" collapsed="false">
      <c r="A102" s="2"/>
      <c r="B102" s="7" t="s">
        <v>490</v>
      </c>
      <c r="C102" s="2"/>
      <c r="D102" s="2"/>
      <c r="E102" s="2"/>
      <c r="F102" s="35" t="n">
        <f aca="false">IF($C$94&gt;0,F101/$C$94*$D$94,0)</f>
        <v>0</v>
      </c>
      <c r="G102" s="35" t="n">
        <f aca="false">IF($C$94&gt;0,G101/$C$94*$D$94,0)</f>
        <v>0</v>
      </c>
      <c r="H102" s="35" t="n">
        <f aca="false">IF($C$94&gt;0,H101/$C$94*$D$94,0)</f>
        <v>0</v>
      </c>
      <c r="I102" s="35" t="n">
        <f aca="false">IF($C$94&gt;0,I101/$C$94*$D$94,0)</f>
        <v>0</v>
      </c>
      <c r="J102" s="35" t="n">
        <f aca="false">IF($C$94&gt;0,J101/$C$94*$D$94,0)</f>
        <v>0</v>
      </c>
      <c r="K102" s="35" t="n">
        <f aca="false">IF($C$94&gt;0,K101/$C$94*$D$94,0)</f>
        <v>0</v>
      </c>
      <c r="L102" s="35" t="n">
        <f aca="false">IF($C$94&gt;0,L101/$C$94*$D$94,0)</f>
        <v>0</v>
      </c>
      <c r="M102" s="35" t="n">
        <f aca="false">IF($C$94&gt;0,M101/$C$94*$D$94,0)</f>
        <v>0</v>
      </c>
      <c r="N102" s="35" t="n">
        <f aca="false">IF($C$94&gt;0,N101/$C$94*$D$94,0)</f>
        <v>0</v>
      </c>
      <c r="O102" s="35" t="n">
        <f aca="false">IF($C$94&gt;0,O101/$C$94*$D$94,0)</f>
        <v>0</v>
      </c>
      <c r="P102" s="35" t="n">
        <f aca="false">IF($C$94&gt;0,P101/$C$94*$D$94,0)</f>
        <v>0</v>
      </c>
    </row>
    <row r="103" customFormat="false" ht="15" hidden="false" customHeight="true" outlineLevel="0" collapsed="false">
      <c r="A103" s="135"/>
      <c r="B103" s="113" t="s">
        <v>491</v>
      </c>
      <c r="C103" s="135"/>
      <c r="D103" s="135"/>
      <c r="E103" s="135"/>
      <c r="F103" s="34" t="n">
        <f aca="false">F101+F102</f>
        <v>0</v>
      </c>
      <c r="G103" s="34" t="n">
        <f aca="false">G101+G102</f>
        <v>0</v>
      </c>
      <c r="H103" s="34" t="n">
        <f aca="false">H101+H102</f>
        <v>0</v>
      </c>
      <c r="I103" s="34" t="n">
        <f aca="false">I101+I102</f>
        <v>0</v>
      </c>
      <c r="J103" s="34" t="n">
        <f aca="false">J101+J102</f>
        <v>0</v>
      </c>
      <c r="K103" s="34" t="n">
        <f aca="false">K101+K102</f>
        <v>0</v>
      </c>
      <c r="L103" s="34" t="n">
        <f aca="false">L101+L102</f>
        <v>0</v>
      </c>
      <c r="M103" s="34" t="n">
        <f aca="false">M101+M102</f>
        <v>0</v>
      </c>
      <c r="N103" s="34" t="n">
        <f aca="false">N101+N102</f>
        <v>0</v>
      </c>
      <c r="O103" s="34" t="n">
        <f aca="false">O101+O102</f>
        <v>0</v>
      </c>
      <c r="P103" s="34" t="n">
        <f aca="false">P101+P102</f>
        <v>0</v>
      </c>
    </row>
    <row r="104" customFormat="false" ht="15" hidden="false" customHeight="true" outlineLevel="0" collapsed="false">
      <c r="A104" s="2"/>
      <c r="B104" s="7" t="s">
        <v>492</v>
      </c>
      <c r="C104" s="2"/>
      <c r="D104" s="2"/>
      <c r="E104" s="2"/>
      <c r="F104" s="35" t="n">
        <f aca="false">MAX(F90-F103,0)</f>
        <v>0</v>
      </c>
      <c r="G104" s="35" t="n">
        <f aca="false">MAX(G90-G103,0)</f>
        <v>0</v>
      </c>
      <c r="H104" s="35" t="n">
        <f aca="false">MAX(H90-H103,0)</f>
        <v>0</v>
      </c>
      <c r="I104" s="35" t="n">
        <f aca="false">MAX(I90-I103,0)</f>
        <v>0</v>
      </c>
      <c r="J104" s="35" t="n">
        <f aca="false">MAX(J90-J103,0)</f>
        <v>0</v>
      </c>
      <c r="K104" s="35" t="n">
        <f aca="false">MAX(K90-K103,0)</f>
        <v>0</v>
      </c>
      <c r="L104" s="35" t="n">
        <f aca="false">MAX(L90-L103,0)</f>
        <v>0</v>
      </c>
      <c r="M104" s="35" t="n">
        <f aca="false">MAX(M90-M103,0)</f>
        <v>0</v>
      </c>
      <c r="N104" s="35" t="n">
        <f aca="false">MAX(N90-N103,0)</f>
        <v>0</v>
      </c>
      <c r="O104" s="35" t="n">
        <f aca="false">MAX(O90-O103,0)</f>
        <v>0</v>
      </c>
      <c r="P104" s="35" t="n">
        <f aca="false">MAX(P90-P103,0)</f>
        <v>429012.337216318</v>
      </c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customFormat="false" ht="24" hidden="false" customHeight="true" outlineLevel="0" collapsed="false">
      <c r="A106" s="140"/>
      <c r="B106" s="141" t="s">
        <v>493</v>
      </c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</row>
    <row r="107" customFormat="false" ht="15" hidden="false" customHeight="true" outlineLevel="0" collapsed="false">
      <c r="A107" s="2"/>
      <c r="B107" s="102" t="s">
        <v>463</v>
      </c>
      <c r="C107" s="134" t="n">
        <f aca="false">Assumptions!$C$209</f>
        <v>0.18</v>
      </c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customFormat="false" ht="15" hidden="false" customHeight="true" outlineLevel="0" collapsed="false">
      <c r="A108" s="2"/>
      <c r="B108" s="102" t="s">
        <v>480</v>
      </c>
      <c r="C108" s="134" t="n">
        <f aca="false">Assumptions!$C$210</f>
        <v>0.3</v>
      </c>
      <c r="D108" s="67" t="n">
        <f aca="false">1-C108</f>
        <v>0.7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customFormat="false" ht="15" hidden="false" customHeight="true" outlineLevel="0" collapsed="false">
      <c r="A110" s="2"/>
      <c r="B110" s="7" t="s">
        <v>464</v>
      </c>
      <c r="C110" s="2"/>
      <c r="D110" s="2"/>
      <c r="E110" s="2"/>
      <c r="F110" s="35" t="n">
        <v>0</v>
      </c>
      <c r="G110" s="35" t="n">
        <f aca="false">F114</f>
        <v>0</v>
      </c>
      <c r="H110" s="35" t="n">
        <f aca="false">G114</f>
        <v>0</v>
      </c>
      <c r="I110" s="35" t="n">
        <f aca="false">H114</f>
        <v>0</v>
      </c>
      <c r="J110" s="35" t="n">
        <f aca="false">I114</f>
        <v>0</v>
      </c>
      <c r="K110" s="35" t="n">
        <f aca="false">J114</f>
        <v>0</v>
      </c>
      <c r="L110" s="35" t="n">
        <f aca="false">K114</f>
        <v>0</v>
      </c>
      <c r="M110" s="35" t="n">
        <f aca="false">L114</f>
        <v>0</v>
      </c>
      <c r="N110" s="35" t="n">
        <f aca="false">M114</f>
        <v>0</v>
      </c>
      <c r="O110" s="35" t="n">
        <f aca="false">N114</f>
        <v>0</v>
      </c>
      <c r="P110" s="35" t="n">
        <f aca="false">O114</f>
        <v>0</v>
      </c>
    </row>
    <row r="111" customFormat="false" ht="15" hidden="false" customHeight="true" outlineLevel="0" collapsed="false">
      <c r="A111" s="2"/>
      <c r="B111" s="7" t="s">
        <v>494</v>
      </c>
      <c r="C111" s="2"/>
      <c r="D111" s="2"/>
      <c r="E111" s="2"/>
      <c r="F111" s="35" t="n">
        <f aca="false">F110*$C$107</f>
        <v>0</v>
      </c>
      <c r="G111" s="35" t="n">
        <f aca="false">G110*$C$107</f>
        <v>0</v>
      </c>
      <c r="H111" s="35" t="n">
        <f aca="false">H110*$C$107</f>
        <v>0</v>
      </c>
      <c r="I111" s="35" t="n">
        <f aca="false">I110*$C$107</f>
        <v>0</v>
      </c>
      <c r="J111" s="35" t="n">
        <f aca="false">J110*$C$107</f>
        <v>0</v>
      </c>
      <c r="K111" s="35" t="n">
        <f aca="false">K110*$C$107</f>
        <v>0</v>
      </c>
      <c r="L111" s="35" t="n">
        <f aca="false">L110*$C$107</f>
        <v>0</v>
      </c>
      <c r="M111" s="35" t="n">
        <f aca="false">M110*$C$107</f>
        <v>0</v>
      </c>
      <c r="N111" s="35" t="n">
        <f aca="false">N110*$C$107</f>
        <v>0</v>
      </c>
      <c r="O111" s="35" t="n">
        <f aca="false">O110*$C$107</f>
        <v>0</v>
      </c>
      <c r="P111" s="35" t="n">
        <f aca="false">P110*$C$107</f>
        <v>0</v>
      </c>
    </row>
    <row r="112" customFormat="false" ht="15" hidden="false" customHeight="true" outlineLevel="0" collapsed="false">
      <c r="A112" s="2"/>
      <c r="B112" s="7" t="s">
        <v>482</v>
      </c>
      <c r="C112" s="2"/>
      <c r="D112" s="2"/>
      <c r="E112" s="2"/>
      <c r="F112" s="35" t="n">
        <f aca="false">F74+F87+F101</f>
        <v>0</v>
      </c>
      <c r="G112" s="35" t="n">
        <f aca="false">G74+G87+G101</f>
        <v>0</v>
      </c>
      <c r="H112" s="35" t="n">
        <f aca="false">H74+H87+H101</f>
        <v>0</v>
      </c>
      <c r="I112" s="35" t="n">
        <f aca="false">I74+I87+I101</f>
        <v>0</v>
      </c>
      <c r="J112" s="35" t="n">
        <f aca="false">J74+J87+J101</f>
        <v>0</v>
      </c>
      <c r="K112" s="35" t="n">
        <f aca="false">K74+K87+K101</f>
        <v>0</v>
      </c>
      <c r="L112" s="35" t="n">
        <f aca="false">L74+L87+L101</f>
        <v>0</v>
      </c>
      <c r="M112" s="35" t="n">
        <f aca="false">M74+M87+M101</f>
        <v>0</v>
      </c>
      <c r="N112" s="35" t="n">
        <f aca="false">N74+N87+N101</f>
        <v>0</v>
      </c>
      <c r="O112" s="35" t="n">
        <f aca="false">O74+O87+O101</f>
        <v>0</v>
      </c>
      <c r="P112" s="35" t="n">
        <f aca="false">P74+P87+P101</f>
        <v>0</v>
      </c>
    </row>
    <row r="113" customFormat="false" ht="15" hidden="false" customHeight="true" outlineLevel="0" collapsed="false">
      <c r="A113" s="2"/>
      <c r="B113" s="7" t="s">
        <v>495</v>
      </c>
      <c r="C113" s="2"/>
      <c r="D113" s="2"/>
      <c r="E113" s="2"/>
      <c r="F113" s="35" t="n">
        <v>0</v>
      </c>
      <c r="G113" s="35" t="n">
        <f aca="false">MAX(MIN(G110+G111-G112,G104*$C$108),0)</f>
        <v>0</v>
      </c>
      <c r="H113" s="35" t="n">
        <f aca="false">MAX(MIN(H110+H111-H112,H104*$C$108),0)</f>
        <v>0</v>
      </c>
      <c r="I113" s="35" t="n">
        <f aca="false">MAX(MIN(I110+I111-I112,I104*$C$108),0)</f>
        <v>0</v>
      </c>
      <c r="J113" s="35" t="n">
        <f aca="false">MAX(MIN(J110+J111-J112,J104*$C$108),0)</f>
        <v>0</v>
      </c>
      <c r="K113" s="35" t="n">
        <f aca="false">MAX(MIN(K110+K111-K112,K104*$C$108),0)</f>
        <v>0</v>
      </c>
      <c r="L113" s="35" t="n">
        <f aca="false">MAX(MIN(L110+L111-L112,L104*$C$108),0)</f>
        <v>0</v>
      </c>
      <c r="M113" s="35" t="n">
        <f aca="false">MAX(MIN(M110+M111-M112,M104*$C$108),0)</f>
        <v>0</v>
      </c>
      <c r="N113" s="35" t="n">
        <f aca="false">MAX(MIN(N110+N111-N112,N104*$C$108),0)</f>
        <v>0</v>
      </c>
      <c r="O113" s="35" t="n">
        <f aca="false">MAX(MIN(O110+O111-O112,O104*$C$108),0)</f>
        <v>0</v>
      </c>
      <c r="P113" s="35" t="n">
        <f aca="false">MAX(MIN(P110+P111-P112,P104*$C$108),0)</f>
        <v>0</v>
      </c>
    </row>
    <row r="114" customFormat="false" ht="15" hidden="false" customHeight="true" outlineLevel="0" collapsed="false">
      <c r="A114" s="2"/>
      <c r="B114" s="7" t="s">
        <v>469</v>
      </c>
      <c r="C114" s="2"/>
      <c r="D114" s="2"/>
      <c r="E114" s="2"/>
      <c r="F114" s="35" t="n">
        <f aca="false">$D$8</f>
        <v>0</v>
      </c>
      <c r="G114" s="35" t="n">
        <f aca="false">G110+G111-G112-G113</f>
        <v>0</v>
      </c>
      <c r="H114" s="35" t="n">
        <f aca="false">H110+H111-H112-H113</f>
        <v>0</v>
      </c>
      <c r="I114" s="35" t="n">
        <f aca="false">I110+I111-I112-I113</f>
        <v>0</v>
      </c>
      <c r="J114" s="35" t="n">
        <f aca="false">J110+J111-J112-J113</f>
        <v>0</v>
      </c>
      <c r="K114" s="35" t="n">
        <f aca="false">K110+K111-K112-K113</f>
        <v>0</v>
      </c>
      <c r="L114" s="35" t="n">
        <f aca="false">L110+L111-L112-L113</f>
        <v>0</v>
      </c>
      <c r="M114" s="35" t="n">
        <f aca="false">M110+M111-M112-M113</f>
        <v>0</v>
      </c>
      <c r="N114" s="35" t="n">
        <f aca="false">N110+N111-N112-N113</f>
        <v>0</v>
      </c>
      <c r="O114" s="35" t="n">
        <f aca="false">O110+O111-O112-O113</f>
        <v>0</v>
      </c>
      <c r="P114" s="35" t="n">
        <f aca="false">P110+P111-P112-P113</f>
        <v>0</v>
      </c>
    </row>
    <row r="115" customFormat="false" ht="15" hidden="false" customHeight="true" outlineLevel="0" collapsed="false">
      <c r="A115" s="2"/>
      <c r="B115" s="144" t="s">
        <v>495</v>
      </c>
      <c r="C115" s="2"/>
      <c r="D115" s="2"/>
      <c r="E115" s="2"/>
      <c r="F115" s="103" t="n">
        <f aca="false">F113</f>
        <v>0</v>
      </c>
      <c r="G115" s="103" t="n">
        <f aca="false">G113</f>
        <v>0</v>
      </c>
      <c r="H115" s="103" t="n">
        <f aca="false">H113</f>
        <v>0</v>
      </c>
      <c r="I115" s="103" t="n">
        <f aca="false">I113</f>
        <v>0</v>
      </c>
      <c r="J115" s="103" t="n">
        <f aca="false">J113</f>
        <v>0</v>
      </c>
      <c r="K115" s="103" t="n">
        <f aca="false">K113</f>
        <v>0</v>
      </c>
      <c r="L115" s="103" t="n">
        <f aca="false">L113</f>
        <v>0</v>
      </c>
      <c r="M115" s="103" t="n">
        <f aca="false">M113</f>
        <v>0</v>
      </c>
      <c r="N115" s="103" t="n">
        <f aca="false">N113</f>
        <v>0</v>
      </c>
      <c r="O115" s="103" t="n">
        <f aca="false">O113</f>
        <v>0</v>
      </c>
      <c r="P115" s="103" t="n">
        <f aca="false">P113</f>
        <v>0</v>
      </c>
    </row>
    <row r="116" customFormat="false" ht="15" hidden="false" customHeight="true" outlineLevel="0" collapsed="false">
      <c r="A116" s="2"/>
      <c r="B116" s="7" t="s">
        <v>496</v>
      </c>
      <c r="C116" s="2"/>
      <c r="D116" s="2"/>
      <c r="E116" s="2"/>
      <c r="F116" s="35" t="n">
        <f aca="false">IF($C$108&gt;0,F115/$C$108*$D$108,0)</f>
        <v>0</v>
      </c>
      <c r="G116" s="35" t="n">
        <f aca="false">IF($C$108&gt;0,G115/$C$108*$D$108,0)</f>
        <v>0</v>
      </c>
      <c r="H116" s="35" t="n">
        <f aca="false">IF($C$108&gt;0,H115/$C$108*$D$108,0)</f>
        <v>0</v>
      </c>
      <c r="I116" s="35" t="n">
        <f aca="false">IF($C$108&gt;0,I115/$C$108*$D$108,0)</f>
        <v>0</v>
      </c>
      <c r="J116" s="35" t="n">
        <f aca="false">IF($C$108&gt;0,J115/$C$108*$D$108,0)</f>
        <v>0</v>
      </c>
      <c r="K116" s="35" t="n">
        <f aca="false">IF($C$108&gt;0,K115/$C$108*$D$108,0)</f>
        <v>0</v>
      </c>
      <c r="L116" s="35" t="n">
        <f aca="false">IF($C$108&gt;0,L115/$C$108*$D$108,0)</f>
        <v>0</v>
      </c>
      <c r="M116" s="35" t="n">
        <f aca="false">IF($C$108&gt;0,M115/$C$108*$D$108,0)</f>
        <v>0</v>
      </c>
      <c r="N116" s="35" t="n">
        <f aca="false">IF($C$108&gt;0,N115/$C$108*$D$108,0)</f>
        <v>0</v>
      </c>
      <c r="O116" s="35" t="n">
        <f aca="false">IF($C$108&gt;0,O115/$C$108*$D$108,0)</f>
        <v>0</v>
      </c>
      <c r="P116" s="35" t="n">
        <f aca="false">IF($C$108&gt;0,P115/$C$108*$D$108,0)</f>
        <v>0</v>
      </c>
    </row>
    <row r="117" customFormat="false" ht="15" hidden="false" customHeight="true" outlineLevel="0" collapsed="false">
      <c r="A117" s="135"/>
      <c r="B117" s="113" t="s">
        <v>497</v>
      </c>
      <c r="C117" s="135"/>
      <c r="D117" s="135"/>
      <c r="E117" s="135"/>
      <c r="F117" s="34" t="n">
        <f aca="false">F115+F116</f>
        <v>0</v>
      </c>
      <c r="G117" s="34" t="n">
        <f aca="false">G115+G116</f>
        <v>0</v>
      </c>
      <c r="H117" s="34" t="n">
        <f aca="false">H115+H116</f>
        <v>0</v>
      </c>
      <c r="I117" s="34" t="n">
        <f aca="false">I115+I116</f>
        <v>0</v>
      </c>
      <c r="J117" s="34" t="n">
        <f aca="false">J115+J116</f>
        <v>0</v>
      </c>
      <c r="K117" s="34" t="n">
        <f aca="false">K115+K116</f>
        <v>0</v>
      </c>
      <c r="L117" s="34" t="n">
        <f aca="false">L115+L116</f>
        <v>0</v>
      </c>
      <c r="M117" s="34" t="n">
        <f aca="false">M115+M116</f>
        <v>0</v>
      </c>
      <c r="N117" s="34" t="n">
        <f aca="false">N115+N116</f>
        <v>0</v>
      </c>
      <c r="O117" s="34" t="n">
        <f aca="false">O115+O116</f>
        <v>0</v>
      </c>
      <c r="P117" s="34" t="n">
        <f aca="false">P115+P116</f>
        <v>0</v>
      </c>
    </row>
    <row r="118" customFormat="false" ht="15" hidden="false" customHeight="true" outlineLevel="0" collapsed="false">
      <c r="A118" s="2"/>
      <c r="B118" s="7" t="s">
        <v>498</v>
      </c>
      <c r="C118" s="2"/>
      <c r="D118" s="2"/>
      <c r="E118" s="2"/>
      <c r="F118" s="35" t="n">
        <f aca="false">MAX(F104-F117,0)</f>
        <v>0</v>
      </c>
      <c r="G118" s="35" t="n">
        <f aca="false">MAX(G104-G117,0)</f>
        <v>0</v>
      </c>
      <c r="H118" s="35" t="n">
        <f aca="false">MAX(H104-H117,0)</f>
        <v>0</v>
      </c>
      <c r="I118" s="35" t="n">
        <f aca="false">MAX(I104-I117,0)</f>
        <v>0</v>
      </c>
      <c r="J118" s="35" t="n">
        <f aca="false">MAX(J104-J117,0)</f>
        <v>0</v>
      </c>
      <c r="K118" s="35" t="n">
        <f aca="false">MAX(K104-K117,0)</f>
        <v>0</v>
      </c>
      <c r="L118" s="35" t="n">
        <f aca="false">MAX(L104-L117,0)</f>
        <v>0</v>
      </c>
      <c r="M118" s="35" t="n">
        <f aca="false">MAX(M104-M117,0)</f>
        <v>0</v>
      </c>
      <c r="N118" s="35" t="n">
        <f aca="false">MAX(N104-N117,0)</f>
        <v>0</v>
      </c>
      <c r="O118" s="35" t="n">
        <f aca="false">MAX(O104-O117,0)</f>
        <v>0</v>
      </c>
      <c r="P118" s="35" t="n">
        <f aca="false">MAX(P104-P117,0)</f>
        <v>429012.337216318</v>
      </c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customFormat="false" ht="24" hidden="false" customHeight="true" outlineLevel="0" collapsed="false">
      <c r="A120" s="140"/>
      <c r="B120" s="141" t="s">
        <v>499</v>
      </c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</row>
    <row r="121" customFormat="false" ht="15" hidden="false" customHeight="true" outlineLevel="0" collapsed="false">
      <c r="A121" s="2"/>
      <c r="B121" s="102" t="s">
        <v>480</v>
      </c>
      <c r="C121" s="134" t="n">
        <f aca="false">Assumptions!$C$212</f>
        <v>0.2</v>
      </c>
      <c r="D121" s="67" t="n">
        <f aca="false">1-C121</f>
        <v>0.8</v>
      </c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customFormat="false" ht="15" hidden="false" customHeight="true" outlineLevel="0" collapsed="false">
      <c r="A122" s="2"/>
      <c r="B122" s="144" t="s">
        <v>500</v>
      </c>
      <c r="C122" s="2"/>
      <c r="D122" s="2"/>
      <c r="E122" s="2"/>
      <c r="F122" s="103" t="n">
        <f aca="false">F118*$C$121</f>
        <v>0</v>
      </c>
      <c r="G122" s="103" t="n">
        <f aca="false">G118*$C$121</f>
        <v>0</v>
      </c>
      <c r="H122" s="103" t="n">
        <f aca="false">H118*$C$121</f>
        <v>0</v>
      </c>
      <c r="I122" s="103" t="n">
        <f aca="false">I118*$C$121</f>
        <v>0</v>
      </c>
      <c r="J122" s="103" t="n">
        <f aca="false">J118*$C$121</f>
        <v>0</v>
      </c>
      <c r="K122" s="103" t="n">
        <f aca="false">K118*$C$121</f>
        <v>0</v>
      </c>
      <c r="L122" s="103" t="n">
        <f aca="false">L118*$C$121</f>
        <v>0</v>
      </c>
      <c r="M122" s="103" t="n">
        <f aca="false">M118*$C$121</f>
        <v>0</v>
      </c>
      <c r="N122" s="103" t="n">
        <f aca="false">N118*$C$121</f>
        <v>0</v>
      </c>
      <c r="O122" s="103" t="n">
        <f aca="false">O118*$C$121</f>
        <v>0</v>
      </c>
      <c r="P122" s="103" t="n">
        <f aca="false">P118*$C$121</f>
        <v>85802.4674432637</v>
      </c>
    </row>
    <row r="123" customFormat="false" ht="15" hidden="false" customHeight="true" outlineLevel="0" collapsed="false">
      <c r="A123" s="2"/>
      <c r="B123" s="7" t="s">
        <v>501</v>
      </c>
      <c r="C123" s="2"/>
      <c r="D123" s="2"/>
      <c r="E123" s="2"/>
      <c r="F123" s="35" t="n">
        <f aca="false">F118-F122</f>
        <v>0</v>
      </c>
      <c r="G123" s="35" t="n">
        <f aca="false">G118-G122</f>
        <v>0</v>
      </c>
      <c r="H123" s="35" t="n">
        <f aca="false">H118-H122</f>
        <v>0</v>
      </c>
      <c r="I123" s="35" t="n">
        <f aca="false">I118-I122</f>
        <v>0</v>
      </c>
      <c r="J123" s="35" t="n">
        <f aca="false">J118-J122</f>
        <v>0</v>
      </c>
      <c r="K123" s="35" t="n">
        <f aca="false">K118-K122</f>
        <v>0</v>
      </c>
      <c r="L123" s="35" t="n">
        <f aca="false">L118-L122</f>
        <v>0</v>
      </c>
      <c r="M123" s="35" t="n">
        <f aca="false">M118-M122</f>
        <v>0</v>
      </c>
      <c r="N123" s="35" t="n">
        <f aca="false">N118-N122</f>
        <v>0</v>
      </c>
      <c r="O123" s="35" t="n">
        <f aca="false">O118-O122</f>
        <v>0</v>
      </c>
      <c r="P123" s="35" t="n">
        <f aca="false">P118-P122</f>
        <v>343209.869773055</v>
      </c>
    </row>
    <row r="124" customFormat="false" ht="15" hidden="false" customHeight="true" outlineLevel="0" collapsed="false">
      <c r="A124" s="135"/>
      <c r="B124" s="113" t="s">
        <v>502</v>
      </c>
      <c r="C124" s="135"/>
      <c r="D124" s="135"/>
      <c r="E124" s="135"/>
      <c r="F124" s="34" t="n">
        <f aca="false">F122+F123</f>
        <v>0</v>
      </c>
      <c r="G124" s="34" t="n">
        <f aca="false">G122+G123</f>
        <v>0</v>
      </c>
      <c r="H124" s="34" t="n">
        <f aca="false">H122+H123</f>
        <v>0</v>
      </c>
      <c r="I124" s="34" t="n">
        <f aca="false">I122+I123</f>
        <v>0</v>
      </c>
      <c r="J124" s="34" t="n">
        <f aca="false">J122+J123</f>
        <v>0</v>
      </c>
      <c r="K124" s="34" t="n">
        <f aca="false">K122+K123</f>
        <v>0</v>
      </c>
      <c r="L124" s="34" t="n">
        <f aca="false">L122+L123</f>
        <v>0</v>
      </c>
      <c r="M124" s="34" t="n">
        <f aca="false">M122+M123</f>
        <v>0</v>
      </c>
      <c r="N124" s="34" t="n">
        <f aca="false">N122+N123</f>
        <v>0</v>
      </c>
      <c r="O124" s="34" t="n">
        <f aca="false">O122+O123</f>
        <v>0</v>
      </c>
      <c r="P124" s="34" t="n">
        <f aca="false">P122+P123</f>
        <v>429012.337216318</v>
      </c>
    </row>
    <row r="125" customFormat="false" ht="15" hidden="false" customHeight="true" outlineLevel="0" collapsed="false">
      <c r="A125" s="2"/>
      <c r="B125" s="7" t="s">
        <v>503</v>
      </c>
      <c r="C125" s="2"/>
      <c r="D125" s="2"/>
      <c r="E125" s="2"/>
      <c r="F125" s="143" t="n">
        <f aca="false">F118-F124</f>
        <v>0</v>
      </c>
      <c r="G125" s="143" t="n">
        <f aca="false">G118-G124</f>
        <v>0</v>
      </c>
      <c r="H125" s="143" t="n">
        <f aca="false">H118-H124</f>
        <v>0</v>
      </c>
      <c r="I125" s="143" t="n">
        <f aca="false">I118-I124</f>
        <v>0</v>
      </c>
      <c r="J125" s="143" t="n">
        <f aca="false">J118-J124</f>
        <v>0</v>
      </c>
      <c r="K125" s="143" t="n">
        <f aca="false">K118-K124</f>
        <v>0</v>
      </c>
      <c r="L125" s="143" t="n">
        <f aca="false">L118-L124</f>
        <v>0</v>
      </c>
      <c r="M125" s="143" t="n">
        <f aca="false">M118-M124</f>
        <v>0</v>
      </c>
      <c r="N125" s="143" t="n">
        <f aca="false">N118-N124</f>
        <v>0</v>
      </c>
      <c r="O125" s="143" t="n">
        <f aca="false">O118-O124</f>
        <v>0</v>
      </c>
      <c r="P125" s="143" t="n">
        <f aca="false">P118-P124</f>
        <v>0</v>
      </c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customFormat="false" ht="27.75" hidden="false" customHeight="true" outlineLevel="0" collapsed="false">
      <c r="A127" s="80"/>
      <c r="B127" s="132" t="s">
        <v>504</v>
      </c>
      <c r="C127" s="132"/>
      <c r="D127" s="132"/>
      <c r="E127" s="132"/>
      <c r="F127" s="63" t="s">
        <v>420</v>
      </c>
      <c r="G127" s="63" t="n">
        <v>1</v>
      </c>
      <c r="H127" s="63" t="n">
        <v>2</v>
      </c>
      <c r="I127" s="63" t="n">
        <v>3</v>
      </c>
      <c r="J127" s="63" t="n">
        <v>4</v>
      </c>
      <c r="K127" s="63" t="n">
        <v>5</v>
      </c>
      <c r="L127" s="63" t="n">
        <v>6</v>
      </c>
      <c r="M127" s="63" t="n">
        <v>7</v>
      </c>
      <c r="N127" s="63" t="n">
        <v>8</v>
      </c>
      <c r="O127" s="63" t="n">
        <v>9</v>
      </c>
      <c r="P127" s="63" t="n">
        <v>10</v>
      </c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customFormat="false" ht="15" hidden="false" customHeight="true" outlineLevel="0" collapsed="false">
      <c r="A129" s="2"/>
      <c r="B129" s="102" t="s">
        <v>505</v>
      </c>
      <c r="C129" s="2"/>
      <c r="D129" s="2"/>
      <c r="E129" s="2"/>
      <c r="F129" s="114" t="n">
        <f aca="false">F38+F46</f>
        <v>0</v>
      </c>
      <c r="G129" s="114" t="n">
        <f aca="false">G38+G46</f>
        <v>0</v>
      </c>
      <c r="H129" s="114" t="n">
        <f aca="false">H38+H46</f>
        <v>0</v>
      </c>
      <c r="I129" s="114" t="n">
        <f aca="false">I38+I46</f>
        <v>0</v>
      </c>
      <c r="J129" s="114" t="n">
        <f aca="false">J38+J46</f>
        <v>0</v>
      </c>
      <c r="K129" s="114" t="n">
        <f aca="false">K38+K46</f>
        <v>0</v>
      </c>
      <c r="L129" s="114" t="n">
        <f aca="false">L38+L46</f>
        <v>0</v>
      </c>
      <c r="M129" s="114" t="n">
        <f aca="false">M38+M46</f>
        <v>0</v>
      </c>
      <c r="N129" s="114" t="n">
        <f aca="false">N38+N46</f>
        <v>0</v>
      </c>
      <c r="O129" s="114" t="n">
        <f aca="false">O38+O46</f>
        <v>0</v>
      </c>
      <c r="P129" s="114" t="n">
        <f aca="false">P38+P46</f>
        <v>429012.337216318</v>
      </c>
    </row>
    <row r="130" customFormat="false" ht="15" hidden="false" customHeight="true" outlineLevel="0" collapsed="false">
      <c r="A130" s="2"/>
      <c r="B130" s="102" t="s">
        <v>444</v>
      </c>
      <c r="C130" s="2"/>
      <c r="D130" s="2"/>
      <c r="E130" s="2"/>
      <c r="F130" s="114" t="n">
        <f aca="false">MAX(F28,0)</f>
        <v>0</v>
      </c>
      <c r="G130" s="114" t="n">
        <f aca="false">MAX(G28,0)</f>
        <v>0</v>
      </c>
      <c r="H130" s="114" t="n">
        <f aca="false">MAX(H28,0)</f>
        <v>0</v>
      </c>
      <c r="I130" s="114" t="n">
        <f aca="false">MAX(I28,0)</f>
        <v>0</v>
      </c>
      <c r="J130" s="114" t="n">
        <f aca="false">MAX(J28,0)</f>
        <v>0</v>
      </c>
      <c r="K130" s="114" t="n">
        <f aca="false">MAX(K28,0)</f>
        <v>0</v>
      </c>
      <c r="L130" s="114" t="n">
        <f aca="false">MAX(L28,0)</f>
        <v>0</v>
      </c>
      <c r="M130" s="114" t="n">
        <f aca="false">MAX(M28,0)</f>
        <v>0</v>
      </c>
      <c r="N130" s="114" t="n">
        <f aca="false">MAX(N28,0)</f>
        <v>0</v>
      </c>
      <c r="O130" s="114" t="n">
        <f aca="false">MAX(O28,0)</f>
        <v>0</v>
      </c>
      <c r="P130" s="114" t="n">
        <f aca="false">MAX(P28,0)</f>
        <v>429012.337216318</v>
      </c>
    </row>
    <row r="131" customFormat="false" ht="15" hidden="false" customHeight="true" outlineLevel="0" collapsed="false">
      <c r="A131" s="145"/>
      <c r="B131" s="83" t="s">
        <v>506</v>
      </c>
      <c r="C131" s="145"/>
      <c r="D131" s="145"/>
      <c r="E131" s="145"/>
      <c r="F131" s="47" t="n">
        <f aca="false">F129-F130</f>
        <v>0</v>
      </c>
      <c r="G131" s="47" t="n">
        <f aca="false">G129-G130</f>
        <v>0</v>
      </c>
      <c r="H131" s="47" t="n">
        <f aca="false">H129-H130</f>
        <v>0</v>
      </c>
      <c r="I131" s="47" t="n">
        <f aca="false">I129-I130</f>
        <v>0</v>
      </c>
      <c r="J131" s="47" t="n">
        <f aca="false">J129-J130</f>
        <v>0</v>
      </c>
      <c r="K131" s="47" t="n">
        <f aca="false">K129-K130</f>
        <v>0</v>
      </c>
      <c r="L131" s="47" t="n">
        <f aca="false">L129-L130</f>
        <v>0</v>
      </c>
      <c r="M131" s="47" t="n">
        <f aca="false">M129-M130</f>
        <v>0</v>
      </c>
      <c r="N131" s="47" t="n">
        <f aca="false">N129-N130</f>
        <v>0</v>
      </c>
      <c r="O131" s="47" t="n">
        <f aca="false">O129-O130</f>
        <v>0</v>
      </c>
      <c r="P131" s="47" t="n">
        <f aca="false">P129-P130</f>
        <v>0</v>
      </c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customFormat="false" ht="15" hidden="false" customHeight="true" outlineLevel="0" collapsed="false">
      <c r="A133" s="2"/>
      <c r="B133" s="7" t="s">
        <v>507</v>
      </c>
      <c r="C133" s="2"/>
      <c r="D133" s="2"/>
      <c r="E133" s="2"/>
      <c r="F133" s="67" t="n">
        <f aca="false">IF(F130&gt;0,F129/F130,0)</f>
        <v>0</v>
      </c>
      <c r="G133" s="67" t="n">
        <f aca="false">IF(G130&gt;0,G129/G130,0)</f>
        <v>0</v>
      </c>
      <c r="H133" s="67" t="n">
        <f aca="false">IF(H130&gt;0,H129/H130,0)</f>
        <v>0</v>
      </c>
      <c r="I133" s="67" t="n">
        <f aca="false">IF(I130&gt;0,I129/I130,0)</f>
        <v>0</v>
      </c>
      <c r="J133" s="67" t="n">
        <f aca="false">IF(J130&gt;0,J129/J130,0)</f>
        <v>0</v>
      </c>
      <c r="K133" s="67" t="n">
        <f aca="false">IF(K130&gt;0,K129/K130,0)</f>
        <v>0</v>
      </c>
      <c r="L133" s="67" t="n">
        <f aca="false">IF(L130&gt;0,L129/L130,0)</f>
        <v>0</v>
      </c>
      <c r="M133" s="67" t="n">
        <f aca="false">IF(M130&gt;0,M129/M130,0)</f>
        <v>0</v>
      </c>
      <c r="N133" s="67" t="n">
        <f aca="false">IF(N130&gt;0,N129/N130,0)</f>
        <v>0</v>
      </c>
      <c r="O133" s="67" t="n">
        <f aca="false">IF(O130&gt;0,O129/O130,0)</f>
        <v>0</v>
      </c>
      <c r="P133" s="67" t="n">
        <f aca="false">IF(P130&gt;0,P129/P130,0)</f>
        <v>1</v>
      </c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</sheetData>
  <mergeCells count="12">
    <mergeCell ref="B1:P1"/>
    <mergeCell ref="B2:P2"/>
    <mergeCell ref="B4:E4"/>
    <mergeCell ref="B21:E21"/>
    <mergeCell ref="B33:E33"/>
    <mergeCell ref="B53:E53"/>
    <mergeCell ref="B55:P55"/>
    <mergeCell ref="B78:P78"/>
    <mergeCell ref="B92:P92"/>
    <mergeCell ref="B106:P106"/>
    <mergeCell ref="B120:P120"/>
    <mergeCell ref="B127:E1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844"/>
    <pageSetUpPr fitToPage="false"/>
  </sheetPr>
  <dimension ref="A1:B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2"/>
  </cols>
  <sheetData>
    <row r="1" customFormat="false" ht="19.5" hidden="false" customHeight="true" outlineLevel="0" collapsed="false">
      <c r="A1" s="62" t="s">
        <v>508</v>
      </c>
      <c r="B1" s="62"/>
    </row>
    <row r="2" customFormat="false" ht="15" hidden="false" customHeight="true" outlineLevel="0" collapsed="false">
      <c r="A2" s="20" t="s">
        <v>509</v>
      </c>
      <c r="B2" s="20"/>
    </row>
    <row r="3" customFormat="false" ht="15" hidden="false" customHeight="true" outlineLevel="0" collapsed="false">
      <c r="A3" s="2"/>
      <c r="B3" s="2"/>
    </row>
    <row r="4" customFormat="false" ht="15" hidden="false" customHeight="true" outlineLevel="0" collapsed="false">
      <c r="A4" s="10" t="s">
        <v>510</v>
      </c>
      <c r="B4" s="10"/>
    </row>
    <row r="5" customFormat="false" ht="15" hidden="false" customHeight="true" outlineLevel="0" collapsed="false">
      <c r="A5" s="7" t="s">
        <v>511</v>
      </c>
      <c r="B5" s="146" t="str">
        <f aca="false">Assumptions!C5</f>
        <v>Sample Property</v>
      </c>
    </row>
    <row r="6" customFormat="false" ht="15" hidden="false" customHeight="true" outlineLevel="0" collapsed="false">
      <c r="A6" s="7" t="s">
        <v>7</v>
      </c>
      <c r="B6" s="66" t="n">
        <f aca="false">Assumptions!C17</f>
        <v>2500000</v>
      </c>
    </row>
    <row r="7" customFormat="false" ht="15" hidden="false" customHeight="true" outlineLevel="0" collapsed="false">
      <c r="A7" s="7" t="s">
        <v>9</v>
      </c>
      <c r="B7" s="66" t="n">
        <f aca="false">Assumptions!C89</f>
        <v>2721950</v>
      </c>
    </row>
    <row r="8" customFormat="false" ht="15" hidden="false" customHeight="true" outlineLevel="0" collapsed="false">
      <c r="A8" s="7" t="s">
        <v>10</v>
      </c>
      <c r="B8" s="66" t="n">
        <f aca="false">Assumptions!C91</f>
        <v>971950</v>
      </c>
    </row>
    <row r="9" customFormat="false" ht="15" hidden="false" customHeight="true" outlineLevel="0" collapsed="false">
      <c r="A9" s="7" t="s">
        <v>16</v>
      </c>
      <c r="B9" s="121" t="n">
        <f aca="false">Assumptions!C14</f>
        <v>10</v>
      </c>
    </row>
    <row r="10" customFormat="false" ht="15" hidden="false" customHeight="true" outlineLevel="0" collapsed="false">
      <c r="A10" s="2"/>
      <c r="B10" s="2"/>
    </row>
    <row r="11" customFormat="false" ht="15" hidden="false" customHeight="true" outlineLevel="0" collapsed="false">
      <c r="A11" s="10" t="s">
        <v>512</v>
      </c>
      <c r="B11" s="10"/>
    </row>
    <row r="12" customFormat="false" ht="15" hidden="false" customHeight="true" outlineLevel="0" collapsed="false">
      <c r="A12" s="7" t="s">
        <v>11</v>
      </c>
      <c r="B12" s="66" t="n">
        <f aca="false">'Pro Forma'!B49</f>
        <v>104913.705</v>
      </c>
    </row>
    <row r="13" customFormat="false" ht="15" hidden="false" customHeight="true" outlineLevel="0" collapsed="false">
      <c r="A13" s="7" t="s">
        <v>12</v>
      </c>
      <c r="B13" s="119" t="n">
        <f aca="false">IF(Assumptions!C17&gt;0,B12/Assumptions!C17,0)</f>
        <v>0.041965482</v>
      </c>
    </row>
    <row r="14" customFormat="false" ht="15" hidden="false" customHeight="true" outlineLevel="0" collapsed="false">
      <c r="A14" s="7" t="s">
        <v>13</v>
      </c>
      <c r="B14" s="147" t="n">
        <f aca="false">IF(Assumptions!C91&gt;0,'Pro Forma'!B63/Assumptions!C91,0)</f>
        <v>-0.0368543442908816</v>
      </c>
    </row>
    <row r="15" customFormat="false" ht="15" hidden="false" customHeight="true" outlineLevel="0" collapsed="false">
      <c r="A15" s="7" t="s">
        <v>14</v>
      </c>
      <c r="B15" s="16" t="n">
        <f aca="false">'Pro Forma'!B61</f>
        <v>0.790403964224798</v>
      </c>
    </row>
    <row r="16" customFormat="false" ht="15" hidden="false" customHeight="true" outlineLevel="0" collapsed="false">
      <c r="A16" s="7" t="s">
        <v>193</v>
      </c>
      <c r="B16" s="123" t="n">
        <f aca="false">Assumptions!C193</f>
        <v>0.07</v>
      </c>
    </row>
    <row r="17" customFormat="false" ht="15" hidden="false" customHeight="true" outlineLevel="0" collapsed="false">
      <c r="A17" s="7" t="s">
        <v>404</v>
      </c>
      <c r="B17" s="66" t="n">
        <f aca="false">Exit!B7</f>
        <v>1955551.27000246</v>
      </c>
    </row>
    <row r="18" customFormat="false" ht="15" hidden="false" customHeight="true" outlineLevel="0" collapsed="false">
      <c r="A18" s="2"/>
      <c r="B18" s="2"/>
    </row>
    <row r="19" customFormat="false" ht="15" hidden="false" customHeight="true" outlineLevel="0" collapsed="false">
      <c r="A19" s="10" t="s">
        <v>513</v>
      </c>
      <c r="B19" s="10"/>
    </row>
    <row r="20" customFormat="false" ht="15" hidden="false" customHeight="true" outlineLevel="0" collapsed="false">
      <c r="A20" s="7" t="s">
        <v>412</v>
      </c>
      <c r="B20" s="66" t="n">
        <f aca="false">SUM('Pro Forma'!B63:K63)</f>
        <v>-204624.797095981</v>
      </c>
    </row>
    <row r="21" customFormat="false" ht="15" hidden="false" customHeight="true" outlineLevel="0" collapsed="false">
      <c r="A21" s="7" t="s">
        <v>413</v>
      </c>
      <c r="B21" s="66" t="n">
        <f aca="false">'Refi Analysis'!B22+'Refi Analysis'!C22+'Refi Analysis'!D22</f>
        <v>0</v>
      </c>
    </row>
    <row r="22" customFormat="false" ht="15" hidden="false" customHeight="true" outlineLevel="0" collapsed="false">
      <c r="A22" s="7" t="s">
        <v>414</v>
      </c>
      <c r="B22" s="66" t="n">
        <f aca="false">Exit!B14</f>
        <v>432858.033249669</v>
      </c>
    </row>
    <row r="23" customFormat="false" ht="15" hidden="false" customHeight="true" outlineLevel="0" collapsed="false">
      <c r="A23" s="113" t="s">
        <v>514</v>
      </c>
      <c r="B23" s="34" t="n">
        <f aca="false">B20+B21+B22</f>
        <v>228233.236153688</v>
      </c>
    </row>
    <row r="24" customFormat="false" ht="15" hidden="false" customHeight="true" outlineLevel="0" collapsed="false">
      <c r="A24" s="2"/>
      <c r="B24" s="2"/>
    </row>
    <row r="25" customFormat="false" ht="17.25" hidden="false" customHeight="true" outlineLevel="0" collapsed="false">
      <c r="A25" s="130" t="s">
        <v>416</v>
      </c>
      <c r="B25" s="131" t="n">
        <f aca="false">IF(Assumptions!C91&gt;0,B23/Assumptions!C91,0)</f>
        <v>0.234819935339974</v>
      </c>
    </row>
    <row r="26" customFormat="false" ht="15" hidden="false" customHeight="true" outlineLevel="0" collapsed="false">
      <c r="A26" s="2"/>
      <c r="B26" s="2"/>
    </row>
    <row r="27" customFormat="false" ht="15" hidden="false" customHeight="true" outlineLevel="0" collapsed="false">
      <c r="A27" s="108" t="s">
        <v>515</v>
      </c>
      <c r="B27" s="148" t="str">
        <f aca="false">'Cash Waterfall'!D41</f>
        <v>N/A</v>
      </c>
    </row>
    <row r="28" customFormat="false" ht="15" hidden="false" customHeight="true" outlineLevel="0" collapsed="false">
      <c r="A28" s="108" t="s">
        <v>516</v>
      </c>
      <c r="B28" s="149" t="str">
        <f aca="false">'Cash Waterfall'!D42</f>
        <v>N/A</v>
      </c>
    </row>
    <row r="29" customFormat="false" ht="15" hidden="false" customHeight="true" outlineLevel="0" collapsed="false">
      <c r="A29" s="108" t="s">
        <v>459</v>
      </c>
      <c r="B29" s="148" t="str">
        <f aca="false">'Cash Waterfall'!D49</f>
        <v>N/A</v>
      </c>
    </row>
    <row r="30" customFormat="false" ht="15" hidden="false" customHeight="true" outlineLevel="0" collapsed="false">
      <c r="A30" s="108" t="s">
        <v>517</v>
      </c>
      <c r="B30" s="149" t="str">
        <f aca="false">'Cash Waterfall'!D50</f>
        <v>N/A</v>
      </c>
    </row>
    <row r="31" customFormat="false" ht="15" hidden="false" customHeight="true" outlineLevel="0" collapsed="false">
      <c r="A31" s="108" t="s">
        <v>518</v>
      </c>
      <c r="B31" s="148" t="str">
        <f aca="false">'Cash Waterfall'!D30</f>
        <v>N/A</v>
      </c>
    </row>
  </sheetData>
  <mergeCells count="5">
    <mergeCell ref="A1:B1"/>
    <mergeCell ref="A2:B2"/>
    <mergeCell ref="A4:B4"/>
    <mergeCell ref="A11:B11"/>
    <mergeCell ref="A19:B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844"/>
    <pageSetUpPr fitToPage="false"/>
  </sheetPr>
  <dimension ref="A1: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6"/>
    <col collapsed="false" customWidth="true" hidden="false" outlineLevel="0" max="9" min="3" style="1" width="14"/>
    <col collapsed="false" customWidth="true" hidden="false" outlineLevel="0" max="10" min="10" style="1" width="3"/>
    <col collapsed="false" customWidth="true" hidden="false" outlineLevel="0" max="11" min="11" style="1" width="16"/>
    <col collapsed="false" customWidth="true" hidden="false" outlineLevel="0" max="18" min="12" style="1" width="14"/>
  </cols>
  <sheetData>
    <row r="1" customFormat="false" ht="36" hidden="false" customHeight="true" outlineLevel="0" collapsed="false">
      <c r="A1" s="84" t="s">
        <v>519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</row>
    <row r="2" customFormat="false" ht="15" hidden="false" customHeight="true" outlineLevel="0" collapsed="false">
      <c r="A2" s="85" t="s">
        <v>520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15" hidden="false" customHeight="true" outlineLevel="0" collapsed="false">
      <c r="A4" s="2"/>
      <c r="B4" s="150" t="s">
        <v>521</v>
      </c>
      <c r="C4" s="150"/>
      <c r="D4" s="150"/>
      <c r="E4" s="150"/>
      <c r="F4" s="150"/>
      <c r="G4" s="150"/>
      <c r="H4" s="150"/>
      <c r="I4" s="2"/>
      <c r="J4" s="2"/>
      <c r="K4" s="150" t="s">
        <v>416</v>
      </c>
      <c r="L4" s="150"/>
      <c r="M4" s="150"/>
      <c r="N4" s="150"/>
      <c r="O4" s="150"/>
      <c r="P4" s="150"/>
      <c r="Q4" s="150"/>
      <c r="R4" s="2"/>
    </row>
    <row r="5" customFormat="false" ht="15" hidden="false" customHeight="true" outlineLevel="0" collapsed="false">
      <c r="A5" s="2"/>
      <c r="B5" s="37" t="s">
        <v>522</v>
      </c>
      <c r="C5" s="2"/>
      <c r="D5" s="2"/>
      <c r="E5" s="2"/>
      <c r="F5" s="2"/>
      <c r="G5" s="2"/>
      <c r="H5" s="2"/>
      <c r="I5" s="2"/>
      <c r="J5" s="2"/>
      <c r="K5" s="37" t="s">
        <v>523</v>
      </c>
      <c r="L5" s="2"/>
      <c r="M5" s="2"/>
      <c r="N5" s="2"/>
      <c r="O5" s="2"/>
      <c r="P5" s="2"/>
      <c r="Q5" s="2"/>
      <c r="R5" s="2"/>
    </row>
    <row r="6" customFormat="false" ht="15" hidden="false" customHeight="true" outlineLevel="0" collapsed="false">
      <c r="A6" s="2"/>
      <c r="B6" s="63" t="s">
        <v>524</v>
      </c>
      <c r="C6" s="151" t="n">
        <f aca="false">Assumptions!$C$222+0*Assumptions!$C$224</f>
        <v>0</v>
      </c>
      <c r="D6" s="151" t="n">
        <f aca="false">Assumptions!$C$222+1*Assumptions!$C$224</f>
        <v>0.01</v>
      </c>
      <c r="E6" s="151" t="n">
        <f aca="false">Assumptions!$C$222+2*Assumptions!$C$224</f>
        <v>0.02</v>
      </c>
      <c r="F6" s="151" t="n">
        <f aca="false">Assumptions!$C$222+3*Assumptions!$C$224</f>
        <v>0.03</v>
      </c>
      <c r="G6" s="151" t="n">
        <f aca="false">Assumptions!$C$222+4*Assumptions!$C$224</f>
        <v>0.04</v>
      </c>
      <c r="H6" s="151" t="n">
        <f aca="false">Assumptions!$C$222+5*Assumptions!$C$224</f>
        <v>0.05</v>
      </c>
      <c r="I6" s="2"/>
      <c r="J6" s="2"/>
      <c r="K6" s="63" t="s">
        <v>524</v>
      </c>
      <c r="L6" s="151" t="n">
        <f aca="false">Assumptions!$C$222+0*Assumptions!$C$224</f>
        <v>0</v>
      </c>
      <c r="M6" s="151" t="n">
        <f aca="false">Assumptions!$C$222+1*Assumptions!$C$224</f>
        <v>0.01</v>
      </c>
      <c r="N6" s="151" t="n">
        <f aca="false">Assumptions!$C$222+2*Assumptions!$C$224</f>
        <v>0.02</v>
      </c>
      <c r="O6" s="151" t="n">
        <f aca="false">Assumptions!$C$222+3*Assumptions!$C$224</f>
        <v>0.03</v>
      </c>
      <c r="P6" s="151" t="n">
        <f aca="false">Assumptions!$C$222+4*Assumptions!$C$224</f>
        <v>0.04</v>
      </c>
      <c r="Q6" s="151" t="n">
        <f aca="false">Assumptions!$C$222+5*Assumptions!$C$224</f>
        <v>0.05</v>
      </c>
      <c r="R6" s="2"/>
    </row>
    <row r="7" customFormat="false" ht="15" hidden="false" customHeight="true" outlineLevel="0" collapsed="false">
      <c r="A7" s="2"/>
      <c r="B7" s="152" t="n">
        <f aca="false">Assumptions!$C$225+0*Assumptions!$C$227</f>
        <v>0.055</v>
      </c>
      <c r="C7" s="153" t="s">
        <v>525</v>
      </c>
      <c r="D7" s="153" t="s">
        <v>525</v>
      </c>
      <c r="E7" s="153" t="s">
        <v>525</v>
      </c>
      <c r="F7" s="153" t="s">
        <v>525</v>
      </c>
      <c r="G7" s="153" t="s">
        <v>525</v>
      </c>
      <c r="H7" s="153" t="s">
        <v>525</v>
      </c>
      <c r="I7" s="2"/>
      <c r="J7" s="2"/>
      <c r="K7" s="152" t="n">
        <f aca="false">Assumptions!$C$225+0*Assumptions!$C$227</f>
        <v>0.055</v>
      </c>
      <c r="L7" s="154" t="s">
        <v>525</v>
      </c>
      <c r="M7" s="154" t="s">
        <v>525</v>
      </c>
      <c r="N7" s="154" t="s">
        <v>525</v>
      </c>
      <c r="O7" s="154" t="s">
        <v>525</v>
      </c>
      <c r="P7" s="154" t="s">
        <v>525</v>
      </c>
      <c r="Q7" s="154" t="s">
        <v>525</v>
      </c>
      <c r="R7" s="2"/>
    </row>
    <row r="8" customFormat="false" ht="15" hidden="false" customHeight="true" outlineLevel="0" collapsed="false">
      <c r="A8" s="2"/>
      <c r="B8" s="152" t="n">
        <f aca="false">Assumptions!$C$225+1*Assumptions!$C$227</f>
        <v>0.06</v>
      </c>
      <c r="C8" s="153" t="s">
        <v>525</v>
      </c>
      <c r="D8" s="153" t="s">
        <v>525</v>
      </c>
      <c r="E8" s="153" t="s">
        <v>525</v>
      </c>
      <c r="F8" s="153" t="s">
        <v>525</v>
      </c>
      <c r="G8" s="153" t="s">
        <v>525</v>
      </c>
      <c r="H8" s="153" t="s">
        <v>525</v>
      </c>
      <c r="I8" s="2"/>
      <c r="J8" s="2"/>
      <c r="K8" s="152" t="n">
        <f aca="false">Assumptions!$C$225+1*Assumptions!$C$227</f>
        <v>0.06</v>
      </c>
      <c r="L8" s="154" t="s">
        <v>525</v>
      </c>
      <c r="M8" s="154" t="s">
        <v>525</v>
      </c>
      <c r="N8" s="154" t="s">
        <v>525</v>
      </c>
      <c r="O8" s="154" t="s">
        <v>525</v>
      </c>
      <c r="P8" s="154" t="s">
        <v>525</v>
      </c>
      <c r="Q8" s="154" t="s">
        <v>525</v>
      </c>
      <c r="R8" s="2"/>
    </row>
    <row r="9" customFormat="false" ht="15" hidden="false" customHeight="true" outlineLevel="0" collapsed="false">
      <c r="A9" s="2"/>
      <c r="B9" s="152" t="n">
        <f aca="false">Assumptions!$C$225+2*Assumptions!$C$227</f>
        <v>0.065</v>
      </c>
      <c r="C9" s="153" t="s">
        <v>525</v>
      </c>
      <c r="D9" s="153" t="s">
        <v>525</v>
      </c>
      <c r="E9" s="153" t="s">
        <v>525</v>
      </c>
      <c r="F9" s="153" t="s">
        <v>525</v>
      </c>
      <c r="G9" s="153" t="s">
        <v>525</v>
      </c>
      <c r="H9" s="153" t="s">
        <v>525</v>
      </c>
      <c r="I9" s="2"/>
      <c r="J9" s="2"/>
      <c r="K9" s="152" t="n">
        <f aca="false">Assumptions!$C$225+2*Assumptions!$C$227</f>
        <v>0.065</v>
      </c>
      <c r="L9" s="154" t="s">
        <v>525</v>
      </c>
      <c r="M9" s="154" t="s">
        <v>525</v>
      </c>
      <c r="N9" s="154" t="s">
        <v>525</v>
      </c>
      <c r="O9" s="154" t="s">
        <v>525</v>
      </c>
      <c r="P9" s="154" t="s">
        <v>525</v>
      </c>
      <c r="Q9" s="154" t="s">
        <v>525</v>
      </c>
      <c r="R9" s="2"/>
    </row>
    <row r="10" customFormat="false" ht="15" hidden="false" customHeight="true" outlineLevel="0" collapsed="false">
      <c r="A10" s="2"/>
      <c r="B10" s="152" t="n">
        <f aca="false">Assumptions!$C$225+3*Assumptions!$C$227</f>
        <v>0.07</v>
      </c>
      <c r="C10" s="153" t="s">
        <v>525</v>
      </c>
      <c r="D10" s="153" t="s">
        <v>525</v>
      </c>
      <c r="E10" s="153" t="s">
        <v>525</v>
      </c>
      <c r="F10" s="153" t="s">
        <v>525</v>
      </c>
      <c r="G10" s="153" t="s">
        <v>525</v>
      </c>
      <c r="H10" s="153" t="s">
        <v>525</v>
      </c>
      <c r="I10" s="2"/>
      <c r="J10" s="2"/>
      <c r="K10" s="152" t="n">
        <f aca="false">Assumptions!$C$225+3*Assumptions!$C$227</f>
        <v>0.07</v>
      </c>
      <c r="L10" s="154" t="s">
        <v>525</v>
      </c>
      <c r="M10" s="154" t="s">
        <v>525</v>
      </c>
      <c r="N10" s="154" t="s">
        <v>525</v>
      </c>
      <c r="O10" s="154" t="s">
        <v>525</v>
      </c>
      <c r="P10" s="154" t="s">
        <v>525</v>
      </c>
      <c r="Q10" s="154" t="s">
        <v>525</v>
      </c>
      <c r="R10" s="2"/>
    </row>
    <row r="11" customFormat="false" ht="15" hidden="false" customHeight="true" outlineLevel="0" collapsed="false">
      <c r="A11" s="2"/>
      <c r="B11" s="152" t="n">
        <f aca="false">Assumptions!$C$225+4*Assumptions!$C$227</f>
        <v>0.075</v>
      </c>
      <c r="C11" s="153" t="s">
        <v>525</v>
      </c>
      <c r="D11" s="153" t="s">
        <v>525</v>
      </c>
      <c r="E11" s="153" t="s">
        <v>525</v>
      </c>
      <c r="F11" s="153" t="s">
        <v>525</v>
      </c>
      <c r="G11" s="153" t="s">
        <v>525</v>
      </c>
      <c r="H11" s="153" t="s">
        <v>525</v>
      </c>
      <c r="I11" s="2"/>
      <c r="J11" s="2"/>
      <c r="K11" s="152" t="n">
        <f aca="false">Assumptions!$C$225+4*Assumptions!$C$227</f>
        <v>0.075</v>
      </c>
      <c r="L11" s="154" t="s">
        <v>525</v>
      </c>
      <c r="M11" s="154" t="s">
        <v>525</v>
      </c>
      <c r="N11" s="154" t="s">
        <v>525</v>
      </c>
      <c r="O11" s="154" t="s">
        <v>525</v>
      </c>
      <c r="P11" s="154" t="s">
        <v>525</v>
      </c>
      <c r="Q11" s="154" t="s">
        <v>525</v>
      </c>
      <c r="R11" s="2"/>
    </row>
    <row r="12" customFormat="false" ht="15" hidden="false" customHeight="true" outlineLevel="0" collapsed="false">
      <c r="A12" s="2"/>
      <c r="B12" s="152" t="n">
        <f aca="false">Assumptions!$C$225+5*Assumptions!$C$227</f>
        <v>0.08</v>
      </c>
      <c r="C12" s="153" t="s">
        <v>525</v>
      </c>
      <c r="D12" s="153" t="s">
        <v>525</v>
      </c>
      <c r="E12" s="153" t="s">
        <v>525</v>
      </c>
      <c r="F12" s="153" t="s">
        <v>525</v>
      </c>
      <c r="G12" s="153" t="s">
        <v>525</v>
      </c>
      <c r="H12" s="153" t="s">
        <v>525</v>
      </c>
      <c r="I12" s="2"/>
      <c r="J12" s="2"/>
      <c r="K12" s="152" t="n">
        <f aca="false">Assumptions!$C$225+5*Assumptions!$C$227</f>
        <v>0.08</v>
      </c>
      <c r="L12" s="154" t="s">
        <v>525</v>
      </c>
      <c r="M12" s="154" t="s">
        <v>525</v>
      </c>
      <c r="N12" s="154" t="s">
        <v>525</v>
      </c>
      <c r="O12" s="154" t="s">
        <v>525</v>
      </c>
      <c r="P12" s="154" t="s">
        <v>525</v>
      </c>
      <c r="Q12" s="154" t="s">
        <v>525</v>
      </c>
      <c r="R12" s="2"/>
    </row>
    <row r="13" customFormat="false" ht="15" hidden="false" customHeight="true" outlineLevel="0" collapsed="false">
      <c r="A13" s="2"/>
      <c r="B13" s="152" t="n">
        <f aca="false">Assumptions!$C$225+6*Assumptions!$C$227</f>
        <v>0.085</v>
      </c>
      <c r="C13" s="153" t="s">
        <v>525</v>
      </c>
      <c r="D13" s="153" t="s">
        <v>525</v>
      </c>
      <c r="E13" s="153" t="s">
        <v>525</v>
      </c>
      <c r="F13" s="153" t="s">
        <v>525</v>
      </c>
      <c r="G13" s="153" t="s">
        <v>525</v>
      </c>
      <c r="H13" s="153" t="s">
        <v>525</v>
      </c>
      <c r="I13" s="2"/>
      <c r="J13" s="2"/>
      <c r="K13" s="152" t="n">
        <f aca="false">Assumptions!$C$225+6*Assumptions!$C$227</f>
        <v>0.085</v>
      </c>
      <c r="L13" s="154" t="s">
        <v>525</v>
      </c>
      <c r="M13" s="154" t="s">
        <v>525</v>
      </c>
      <c r="N13" s="154" t="s">
        <v>525</v>
      </c>
      <c r="O13" s="154" t="s">
        <v>525</v>
      </c>
      <c r="P13" s="154" t="s">
        <v>525</v>
      </c>
      <c r="Q13" s="154" t="s">
        <v>525</v>
      </c>
      <c r="R13" s="2"/>
    </row>
    <row r="14" customFormat="false" ht="15" hidden="false" customHeight="tru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5" hidden="false" customHeight="true" outlineLevel="0" collapsed="false">
      <c r="A15" s="2"/>
      <c r="B15" s="37" t="s">
        <v>526</v>
      </c>
      <c r="C15" s="2"/>
      <c r="D15" s="2"/>
      <c r="E15" s="2"/>
      <c r="F15" s="2"/>
      <c r="G15" s="2"/>
      <c r="H15" s="2"/>
      <c r="I15" s="2"/>
      <c r="J15" s="2"/>
      <c r="K15" s="37" t="s">
        <v>527</v>
      </c>
      <c r="L15" s="2"/>
      <c r="M15" s="2"/>
      <c r="N15" s="2"/>
      <c r="O15" s="2"/>
      <c r="P15" s="2"/>
      <c r="Q15" s="2"/>
      <c r="R15" s="2"/>
    </row>
    <row r="16" customFormat="false" ht="25.5" hidden="false" customHeight="true" outlineLevel="0" collapsed="false">
      <c r="A16" s="25" t="s">
        <v>528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</row>
    <row r="17" customFormat="false" ht="15" hidden="false" customHeight="tru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</row>
    <row r="18" customFormat="false" ht="15" hidden="false" customHeight="true" outlineLevel="0" collapsed="false">
      <c r="A18" s="2"/>
      <c r="B18" s="150" t="s">
        <v>529</v>
      </c>
      <c r="C18" s="150"/>
      <c r="D18" s="150"/>
      <c r="E18" s="150"/>
      <c r="F18" s="150"/>
      <c r="G18" s="150"/>
      <c r="H18" s="150"/>
      <c r="I18" s="2"/>
      <c r="J18" s="2"/>
      <c r="K18" s="150" t="s">
        <v>530</v>
      </c>
      <c r="L18" s="150"/>
      <c r="M18" s="150"/>
      <c r="N18" s="150"/>
      <c r="O18" s="150"/>
      <c r="P18" s="150"/>
      <c r="Q18" s="150"/>
      <c r="R18" s="2"/>
    </row>
    <row r="19" customFormat="false" ht="15" hidden="false" customHeight="true" outlineLevel="0" collapsed="false">
      <c r="A19" s="2"/>
      <c r="B19" s="37" t="s">
        <v>531</v>
      </c>
      <c r="C19" s="2"/>
      <c r="D19" s="2"/>
      <c r="E19" s="2"/>
      <c r="F19" s="2"/>
      <c r="G19" s="2"/>
      <c r="H19" s="2"/>
      <c r="I19" s="2"/>
      <c r="J19" s="2"/>
      <c r="K19" s="37" t="s">
        <v>532</v>
      </c>
      <c r="L19" s="2"/>
      <c r="M19" s="2"/>
      <c r="N19" s="2"/>
      <c r="O19" s="2"/>
      <c r="P19" s="2"/>
      <c r="Q19" s="2"/>
      <c r="R19" s="2"/>
    </row>
    <row r="20" customFormat="false" ht="15" hidden="false" customHeight="true" outlineLevel="0" collapsed="false">
      <c r="A20" s="2"/>
      <c r="B20" s="63" t="s">
        <v>533</v>
      </c>
      <c r="C20" s="151" t="n">
        <v>0.05</v>
      </c>
      <c r="D20" s="151" t="n">
        <v>0.075</v>
      </c>
      <c r="E20" s="151" t="n">
        <v>0.1</v>
      </c>
      <c r="F20" s="151" t="n">
        <v>0.125</v>
      </c>
      <c r="G20" s="151" t="n">
        <v>0.15</v>
      </c>
      <c r="H20" s="151" t="n">
        <v>0.2</v>
      </c>
      <c r="I20" s="2"/>
      <c r="J20" s="2"/>
      <c r="K20" s="63" t="s">
        <v>534</v>
      </c>
      <c r="L20" s="155" t="n">
        <f aca="false">Assumptions!$C$17*(1+-0.15)</f>
        <v>2125000</v>
      </c>
      <c r="M20" s="155" t="n">
        <f aca="false">Assumptions!$C$17*(1+-0.1)</f>
        <v>2250000</v>
      </c>
      <c r="N20" s="155" t="n">
        <f aca="false">Assumptions!$C$17*(1+-0.05)</f>
        <v>2375000</v>
      </c>
      <c r="O20" s="155" t="n">
        <f aca="false">Assumptions!$C$17</f>
        <v>2500000</v>
      </c>
      <c r="P20" s="155" t="n">
        <f aca="false">Assumptions!$C$17*(1+0.05)</f>
        <v>2625000</v>
      </c>
      <c r="Q20" s="155" t="n">
        <f aca="false">Assumptions!$C$17*(1+0.1)</f>
        <v>2750000</v>
      </c>
      <c r="R20" s="2"/>
    </row>
    <row r="21" customFormat="false" ht="15" hidden="false" customHeight="true" outlineLevel="0" collapsed="false">
      <c r="A21" s="2"/>
      <c r="B21" s="156" t="n">
        <v>0.01</v>
      </c>
      <c r="C21" s="157" t="s">
        <v>525</v>
      </c>
      <c r="D21" s="157" t="s">
        <v>525</v>
      </c>
      <c r="E21" s="157" t="s">
        <v>525</v>
      </c>
      <c r="F21" s="157" t="s">
        <v>525</v>
      </c>
      <c r="G21" s="157" t="s">
        <v>525</v>
      </c>
      <c r="H21" s="157" t="s">
        <v>525</v>
      </c>
      <c r="I21" s="2"/>
      <c r="J21" s="2"/>
      <c r="K21" s="156" t="n">
        <v>0.6</v>
      </c>
      <c r="L21" s="158" t="s">
        <v>525</v>
      </c>
      <c r="M21" s="158" t="s">
        <v>525</v>
      </c>
      <c r="N21" s="158" t="s">
        <v>525</v>
      </c>
      <c r="O21" s="158" t="s">
        <v>525</v>
      </c>
      <c r="P21" s="158" t="s">
        <v>525</v>
      </c>
      <c r="Q21" s="158" t="s">
        <v>525</v>
      </c>
      <c r="R21" s="2"/>
    </row>
    <row r="22" customFormat="false" ht="15" hidden="false" customHeight="true" outlineLevel="0" collapsed="false">
      <c r="A22" s="2"/>
      <c r="B22" s="156" t="n">
        <v>0.02</v>
      </c>
      <c r="C22" s="157" t="s">
        <v>525</v>
      </c>
      <c r="D22" s="157" t="s">
        <v>525</v>
      </c>
      <c r="E22" s="157" t="s">
        <v>525</v>
      </c>
      <c r="F22" s="157" t="s">
        <v>525</v>
      </c>
      <c r="G22" s="157" t="s">
        <v>525</v>
      </c>
      <c r="H22" s="157" t="s">
        <v>525</v>
      </c>
      <c r="I22" s="2"/>
      <c r="J22" s="2"/>
      <c r="K22" s="156" t="n">
        <v>0.65</v>
      </c>
      <c r="L22" s="158" t="s">
        <v>525</v>
      </c>
      <c r="M22" s="158" t="s">
        <v>525</v>
      </c>
      <c r="N22" s="158" t="s">
        <v>525</v>
      </c>
      <c r="O22" s="158" t="s">
        <v>525</v>
      </c>
      <c r="P22" s="158" t="s">
        <v>525</v>
      </c>
      <c r="Q22" s="158" t="s">
        <v>525</v>
      </c>
      <c r="R22" s="2"/>
    </row>
    <row r="23" customFormat="false" ht="15" hidden="false" customHeight="true" outlineLevel="0" collapsed="false">
      <c r="A23" s="2"/>
      <c r="B23" s="156" t="n">
        <v>0.03</v>
      </c>
      <c r="C23" s="157" t="s">
        <v>525</v>
      </c>
      <c r="D23" s="157" t="s">
        <v>525</v>
      </c>
      <c r="E23" s="157" t="s">
        <v>525</v>
      </c>
      <c r="F23" s="157" t="s">
        <v>525</v>
      </c>
      <c r="G23" s="157" t="s">
        <v>525</v>
      </c>
      <c r="H23" s="157" t="s">
        <v>525</v>
      </c>
      <c r="I23" s="2"/>
      <c r="J23" s="2"/>
      <c r="K23" s="156" t="n">
        <v>0.7</v>
      </c>
      <c r="L23" s="158" t="s">
        <v>525</v>
      </c>
      <c r="M23" s="158" t="s">
        <v>525</v>
      </c>
      <c r="N23" s="158" t="s">
        <v>525</v>
      </c>
      <c r="O23" s="158" t="s">
        <v>525</v>
      </c>
      <c r="P23" s="158" t="s">
        <v>525</v>
      </c>
      <c r="Q23" s="158" t="s">
        <v>525</v>
      </c>
      <c r="R23" s="2"/>
    </row>
    <row r="24" customFormat="false" ht="15" hidden="false" customHeight="true" outlineLevel="0" collapsed="false">
      <c r="A24" s="2"/>
      <c r="B24" s="156" t="n">
        <v>0.04</v>
      </c>
      <c r="C24" s="157" t="s">
        <v>525</v>
      </c>
      <c r="D24" s="157" t="s">
        <v>525</v>
      </c>
      <c r="E24" s="157" t="s">
        <v>525</v>
      </c>
      <c r="F24" s="157" t="s">
        <v>525</v>
      </c>
      <c r="G24" s="157" t="s">
        <v>525</v>
      </c>
      <c r="H24" s="157" t="s">
        <v>525</v>
      </c>
      <c r="I24" s="2"/>
      <c r="J24" s="2"/>
      <c r="K24" s="156" t="n">
        <v>0.75</v>
      </c>
      <c r="L24" s="158" t="s">
        <v>525</v>
      </c>
      <c r="M24" s="158" t="s">
        <v>525</v>
      </c>
      <c r="N24" s="158" t="s">
        <v>525</v>
      </c>
      <c r="O24" s="158" t="s">
        <v>525</v>
      </c>
      <c r="P24" s="158" t="s">
        <v>525</v>
      </c>
      <c r="Q24" s="158" t="s">
        <v>525</v>
      </c>
      <c r="R24" s="2"/>
    </row>
    <row r="25" customFormat="false" ht="15" hidden="false" customHeight="true" outlineLevel="0" collapsed="false">
      <c r="A25" s="2"/>
      <c r="B25" s="156" t="n">
        <v>0.05</v>
      </c>
      <c r="C25" s="157" t="s">
        <v>525</v>
      </c>
      <c r="D25" s="157" t="s">
        <v>525</v>
      </c>
      <c r="E25" s="157" t="s">
        <v>525</v>
      </c>
      <c r="F25" s="157" t="s">
        <v>525</v>
      </c>
      <c r="G25" s="157" t="s">
        <v>525</v>
      </c>
      <c r="H25" s="157" t="s">
        <v>525</v>
      </c>
      <c r="I25" s="2"/>
      <c r="J25" s="2"/>
      <c r="K25" s="156" t="n">
        <v>0.8</v>
      </c>
      <c r="L25" s="158" t="s">
        <v>525</v>
      </c>
      <c r="M25" s="158" t="s">
        <v>525</v>
      </c>
      <c r="N25" s="158" t="s">
        <v>525</v>
      </c>
      <c r="O25" s="158" t="s">
        <v>525</v>
      </c>
      <c r="P25" s="158" t="s">
        <v>525</v>
      </c>
      <c r="Q25" s="158" t="s">
        <v>525</v>
      </c>
      <c r="R25" s="2"/>
    </row>
    <row r="26" customFormat="false" ht="15" hidden="false" customHeight="true" outlineLevel="0" collapsed="false">
      <c r="A26" s="2"/>
      <c r="B26" s="37" t="s">
        <v>527</v>
      </c>
      <c r="C26" s="2"/>
      <c r="D26" s="2"/>
      <c r="E26" s="2"/>
      <c r="F26" s="2"/>
      <c r="G26" s="2"/>
      <c r="H26" s="2"/>
      <c r="I26" s="2"/>
      <c r="J26" s="2"/>
      <c r="K26" s="37" t="s">
        <v>527</v>
      </c>
      <c r="L26" s="2"/>
      <c r="M26" s="2"/>
      <c r="N26" s="2"/>
      <c r="O26" s="2"/>
      <c r="P26" s="2"/>
      <c r="Q26" s="2"/>
      <c r="R26" s="2"/>
    </row>
  </sheetData>
  <mergeCells count="7">
    <mergeCell ref="A1:R1"/>
    <mergeCell ref="A2:R2"/>
    <mergeCell ref="B4:H4"/>
    <mergeCell ref="K4:Q4"/>
    <mergeCell ref="A16:R16"/>
    <mergeCell ref="B18:H18"/>
    <mergeCell ref="K18:Q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2026-04-01T13:26:46Z</dcterms:created>
  <dc:creator>openpyxl</dc:creator>
  <dc:description/>
  <dc:language>en-US</dc:language>
  <cp:lastModifiedBy/>
  <dcterms:modified xsi:type="dcterms:W3CDTF">2026-04-06T13:46:15Z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